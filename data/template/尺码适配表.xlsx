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52" windowHeight="11055" tabRatio="795" firstSheet="1" activeTab="7"/>
  </bookViews>
  <sheets>
    <sheet name="ref-ALL尺码表" sheetId="529" r:id="rId1"/>
    <sheet name="排序规则" sheetId="530" r:id="rId2"/>
    <sheet name="皮卡前台名" sheetId="443" r:id="rId3"/>
    <sheet name="MODEL缩写" sheetId="520" r:id="rId4"/>
    <sheet name="TYPE缩写" sheetId="440" r:id="rId5"/>
    <sheet name="CAB缩写" sheetId="521" r:id="rId6"/>
    <sheet name="非皮卡压缩表" sheetId="442" r:id="rId7"/>
    <sheet name="皮卡压缩表" sheetId="4" r:id="rId8"/>
  </sheets>
  <definedNames>
    <definedName name="_xlnm._FilterDatabase" localSheetId="7" hidden="1">皮卡压缩表!#REF!</definedName>
    <definedName name="ExternalData_1" localSheetId="6" hidden="1">非皮卡压缩表!$B$1:$H$2</definedName>
    <definedName name="ExternalData_1" localSheetId="7" hidden="1">皮卡压缩表!$B$1:$H$2</definedName>
    <definedName name="_xlnm._FilterDatabase" localSheetId="6" hidden="1">非皮卡压缩表!$A$1:$A$2</definedName>
    <definedName name="ExternalData_1" localSheetId="0" hidden="1">'ref-ALL尺码表'!$A$1:$J$34</definedName>
    <definedName name="_xlnm._FilterDatabase" localSheetId="4" hidden="1">TYPE缩写!$A$18:$F$188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ALL尺码表" description="与工作簿中“ALL尺码表”查询的连接。" type="5" background="1" refreshedVersion="2" saveData="1">
    <dbPr connection="Provider=Microsoft.Mashup.OleDb.1;Data Source=$Workbook$;Location=ALL尺码表;" command="SELECT * FROM [ALL尺码表]" commandType="2"/>
  </connection>
  <connection id="2" name="查询 - 非皮卡适配器1" description="与工作簿中“非皮卡适配器”查询的连接。" type="5" background="1" refreshedVersion="2" saveData="1">
    <dbPr connection="Provider=Microsoft.Mashup.OleDb.1;Data Source=$Workbook$;Location=非皮卡适配器;Extended Properties=&quot;&quot;" command="SELECT * FROM [非皮卡适配器]" commandType="2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<sst xmlns="http://schemas.openxmlformats.org/spreadsheetml/2006/main" count="978" uniqueCount="745">
  <si>
    <t>内部尺码</t>
  </si>
  <si>
    <t>分类</t>
  </si>
  <si>
    <t>CAB</t>
  </si>
  <si>
    <t>长_in</t>
  </si>
  <si>
    <t>宽_in</t>
  </si>
  <si>
    <t>高_in</t>
  </si>
  <si>
    <t>通用尺码</t>
  </si>
  <si>
    <t>原长宽高_in</t>
  </si>
  <si>
    <t>长宽高_mm</t>
  </si>
  <si>
    <t>备注</t>
  </si>
  <si>
    <t>2S</t>
  </si>
  <si>
    <t>两厢车</t>
  </si>
  <si>
    <t>142*67*62</t>
  </si>
  <si>
    <t>3600*1700*1550</t>
  </si>
  <si>
    <t>2M</t>
  </si>
  <si>
    <t>H0</t>
  </si>
  <si>
    <t>163*69*57</t>
  </si>
  <si>
    <t>4150*1750*1450</t>
  </si>
  <si>
    <t>2L+</t>
  </si>
  <si>
    <t>H1</t>
  </si>
  <si>
    <t>178*72*59</t>
  </si>
  <si>
    <t>4500*1850*1500</t>
  </si>
  <si>
    <t>2XL</t>
  </si>
  <si>
    <t>190*72*63</t>
  </si>
  <si>
    <t>4850*1850*1600</t>
  </si>
  <si>
    <t>2XL+</t>
  </si>
  <si>
    <t>200*72*63</t>
  </si>
  <si>
    <t>5050*1850*1600</t>
  </si>
  <si>
    <t>2XXL</t>
  </si>
  <si>
    <t>H2</t>
  </si>
  <si>
    <t>206*75*70</t>
  </si>
  <si>
    <t>5250*1900*1800</t>
  </si>
  <si>
    <t>=2XXL-525</t>
  </si>
  <si>
    <t>2XXL-525</t>
  </si>
  <si>
    <t>3S-0</t>
  </si>
  <si>
    <t>跑车</t>
  </si>
  <si>
    <t>C1</t>
  </si>
  <si>
    <t>165*67*57</t>
  </si>
  <si>
    <t>4200*1700*1450</t>
  </si>
  <si>
    <t>3M-0</t>
  </si>
  <si>
    <t>C2</t>
  </si>
  <si>
    <t>178*68*59</t>
  </si>
  <si>
    <t>4500*1750*1500</t>
  </si>
  <si>
    <t>3L-0</t>
  </si>
  <si>
    <t>C3</t>
  </si>
  <si>
    <t>185*70*59</t>
  </si>
  <si>
    <t>4700*1800*1500</t>
  </si>
  <si>
    <t>3XL-0</t>
  </si>
  <si>
    <t>C4</t>
  </si>
  <si>
    <t>193*72*59</t>
  </si>
  <si>
    <t>4950*1850*1500</t>
  </si>
  <si>
    <t>3XL+0</t>
  </si>
  <si>
    <t>C5</t>
  </si>
  <si>
    <t>203*78*59</t>
  </si>
  <si>
    <t>5150*2000*1500</t>
  </si>
  <si>
    <t>=3XL+-0</t>
  </si>
  <si>
    <t>3XL+-0</t>
  </si>
  <si>
    <t>3XXL-0</t>
  </si>
  <si>
    <t>208*78*59</t>
  </si>
  <si>
    <t>5300*2000*1500</t>
  </si>
  <si>
    <t>3XXXL-0</t>
  </si>
  <si>
    <t>218*78*59</t>
  </si>
  <si>
    <t>5537*2000*1500</t>
  </si>
  <si>
    <t>3XXXXL-0</t>
  </si>
  <si>
    <t>C7</t>
  </si>
  <si>
    <t>5900*1250</t>
  </si>
  <si>
    <t>PK-M</t>
  </si>
  <si>
    <t>皮卡</t>
  </si>
  <si>
    <t>T1</t>
  </si>
  <si>
    <t>PK-M+</t>
  </si>
  <si>
    <t>T2</t>
  </si>
  <si>
    <t>PK-L</t>
  </si>
  <si>
    <t>T3</t>
  </si>
  <si>
    <t>PK-XL</t>
  </si>
  <si>
    <t>Regular</t>
  </si>
  <si>
    <t>T4</t>
  </si>
  <si>
    <t>6300*1750</t>
  </si>
  <si>
    <t>PK-XL+</t>
  </si>
  <si>
    <t>T5</t>
  </si>
  <si>
    <t>6350*1750</t>
  </si>
  <si>
    <t>PK-XXL</t>
  </si>
  <si>
    <t>T6</t>
  </si>
  <si>
    <t>PK-XXXL</t>
  </si>
  <si>
    <t>T7</t>
  </si>
  <si>
    <t>6850*1750</t>
  </si>
  <si>
    <t>3L</t>
  </si>
  <si>
    <t>三厢车</t>
  </si>
  <si>
    <t>A1</t>
  </si>
  <si>
    <t>3XL</t>
  </si>
  <si>
    <t>A2</t>
  </si>
  <si>
    <t>3XXL</t>
  </si>
  <si>
    <t>A4</t>
  </si>
  <si>
    <t>3XXXL</t>
  </si>
  <si>
    <t>C6</t>
  </si>
  <si>
    <t>YM+</t>
  </si>
  <si>
    <t>越野车</t>
  </si>
  <si>
    <t>S1</t>
  </si>
  <si>
    <t>181*72*67</t>
  </si>
  <si>
    <t>4600*1850*1700</t>
  </si>
  <si>
    <t>YL</t>
  </si>
  <si>
    <t>S2</t>
  </si>
  <si>
    <t>190*74*70</t>
  </si>
  <si>
    <t>4850*1900*1800</t>
  </si>
  <si>
    <t>YXL</t>
  </si>
  <si>
    <t>S3</t>
  </si>
  <si>
    <t>201*78*70</t>
  </si>
  <si>
    <t>5100*2000*1800</t>
  </si>
  <si>
    <t>YXXL</t>
  </si>
  <si>
    <t>207*78*75</t>
  </si>
  <si>
    <t>5250*2000*1900</t>
  </si>
  <si>
    <t>YXXL-545</t>
  </si>
  <si>
    <t>S4</t>
  </si>
  <si>
    <t>218*78*78</t>
  </si>
  <si>
    <t>5450*2000*2000</t>
  </si>
  <si>
    <t>YXXL-585</t>
  </si>
  <si>
    <t>S5</t>
  </si>
  <si>
    <t>234*78*78</t>
  </si>
  <si>
    <t>5850*2000*2000</t>
  </si>
  <si>
    <t>MAKE</t>
  </si>
  <si>
    <t>MODEL</t>
  </si>
  <si>
    <t>YEAR</t>
  </si>
  <si>
    <t>升序</t>
  </si>
  <si>
    <t>TITLE</t>
  </si>
  <si>
    <t>DESCRIPTION</t>
  </si>
  <si>
    <t>Toyota</t>
  </si>
  <si>
    <t>Tundra</t>
  </si>
  <si>
    <t>Toyota Tundra</t>
  </si>
  <si>
    <t>Tacoma</t>
  </si>
  <si>
    <t>Toyota Tacoma</t>
  </si>
  <si>
    <t>Includes TRD Pro/Trailhunter</t>
  </si>
  <si>
    <t>Sierra</t>
  </si>
  <si>
    <t>EV</t>
  </si>
  <si>
    <t>GMC Sierra EV</t>
  </si>
  <si>
    <t>2500HD/3500HD</t>
  </si>
  <si>
    <t>GMC Sierra 1500/2500HD/3500HD</t>
  </si>
  <si>
    <t>Rivian</t>
  </si>
  <si>
    <t>R1T</t>
  </si>
  <si>
    <t>Rivian R1T</t>
  </si>
  <si>
    <t>Ram</t>
  </si>
  <si>
    <t>2500/3500</t>
  </si>
  <si>
    <t>Ram 2500/3500</t>
  </si>
  <si>
    <t>1500 Classic</t>
  </si>
  <si>
    <t>Ram 1500 Classic</t>
  </si>
  <si>
    <t>Ram 1500</t>
  </si>
  <si>
    <t>Includes TRX/RHO</t>
  </si>
  <si>
    <t>Nissan</t>
  </si>
  <si>
    <t>Frontier</t>
  </si>
  <si>
    <t>Nissan Frontier</t>
  </si>
  <si>
    <t>Includes SC-V6</t>
  </si>
  <si>
    <t>Jeep</t>
  </si>
  <si>
    <t>Gladiator</t>
  </si>
  <si>
    <t>Jeep Gladiator</t>
  </si>
  <si>
    <t>Ineos Automotive</t>
  </si>
  <si>
    <t>Grenadier</t>
  </si>
  <si>
    <t>Ineos Automotive Grenadier</t>
  </si>
  <si>
    <t>Honda</t>
  </si>
  <si>
    <t>Ridgeline</t>
  </si>
  <si>
    <t>Honda Ridgeline</t>
  </si>
  <si>
    <t>GMC</t>
  </si>
  <si>
    <t>Sierra 2500HD/3500HD</t>
  </si>
  <si>
    <t>Sierra 1500</t>
  </si>
  <si>
    <t>Canyon</t>
  </si>
  <si>
    <t>GMC Canyon</t>
  </si>
  <si>
    <t>Excludes AT4X</t>
  </si>
  <si>
    <t>Ford</t>
  </si>
  <si>
    <t>Ranger</t>
  </si>
  <si>
    <t>Ford Ranger</t>
  </si>
  <si>
    <t>Includes Raptor</t>
  </si>
  <si>
    <t>Maverick</t>
  </si>
  <si>
    <t>Ford Maverick</t>
  </si>
  <si>
    <t>Includes Tremor/Lobo</t>
  </si>
  <si>
    <t>F-350 Super Duty</t>
  </si>
  <si>
    <t>Ford F-350 Super Duty</t>
  </si>
  <si>
    <t>F-250/F-350 Super Duty</t>
  </si>
  <si>
    <t>Ford F-250/F-350 Super Duty</t>
  </si>
  <si>
    <t>SRW only; Excludes DRW</t>
  </si>
  <si>
    <t>F-150</t>
  </si>
  <si>
    <t>Ford F-150</t>
  </si>
  <si>
    <t>Includes Raptor/Lightning/Tremor</t>
  </si>
  <si>
    <t>Explorer</t>
  </si>
  <si>
    <t>Ford Explorer Sport Trac</t>
  </si>
  <si>
    <t>Dodge</t>
  </si>
  <si>
    <t>Dakota</t>
  </si>
  <si>
    <t>Dodge Dakota</t>
  </si>
  <si>
    <t>Chevrolet</t>
  </si>
  <si>
    <t>Suburban</t>
  </si>
  <si>
    <t>Chevrolet Suburban</t>
  </si>
  <si>
    <t>Silverado EV</t>
  </si>
  <si>
    <t>Chevrolet Silverado EV</t>
  </si>
  <si>
    <t>Silverado 2500HD/3500HD</t>
  </si>
  <si>
    <t>Chevrolet Silverado 2500HD/3500HD</t>
  </si>
  <si>
    <t>Silverado 1500</t>
  </si>
  <si>
    <t>Chevrolet Silverado 1500</t>
  </si>
  <si>
    <t>Includes Trail Boss</t>
  </si>
  <si>
    <t>Colorado</t>
  </si>
  <si>
    <t>Chevrolet Colorado</t>
  </si>
  <si>
    <t>Includes ZR2</t>
  </si>
  <si>
    <t>C/K</t>
  </si>
  <si>
    <t>Chevrolet C/K</t>
  </si>
  <si>
    <t>Includes Classic/Longhorn; Excludes DRW</t>
  </si>
  <si>
    <t>Cadillac</t>
  </si>
  <si>
    <t>Escalade EXT</t>
  </si>
  <si>
    <t>Cadillac Escalade EXT</t>
  </si>
  <si>
    <t>F-100</t>
  </si>
  <si>
    <t>Ford F-100</t>
  </si>
  <si>
    <t>Hyundai</t>
  </si>
  <si>
    <t>Santa Cruz</t>
  </si>
  <si>
    <t>Hyundai Hyundai Santa Cruz</t>
  </si>
  <si>
    <t>Includes XRT</t>
  </si>
  <si>
    <t>Sierra EV</t>
  </si>
  <si>
    <t>长MODEL</t>
  </si>
  <si>
    <t>短MODEL</t>
  </si>
  <si>
    <t>字符数</t>
  </si>
  <si>
    <t>Range Rover Evoque</t>
  </si>
  <si>
    <t>RangeRov Evoq</t>
  </si>
  <si>
    <t>A4 allroad quattro</t>
  </si>
  <si>
    <t>A4 allroad qtro</t>
  </si>
  <si>
    <t>A6 allroad quattro</t>
  </si>
  <si>
    <t>A6 allroad qtro</t>
  </si>
  <si>
    <t>A6 e-tron/S6 e-tron</t>
  </si>
  <si>
    <t>A6/S6 etron</t>
  </si>
  <si>
    <t>e-tron GT/RS e-tron GT</t>
  </si>
  <si>
    <t>RS e-tron GT</t>
  </si>
  <si>
    <t>e-tron GT/S e-tron GT/RS e-tron GT</t>
  </si>
  <si>
    <t>S/RS etron GT</t>
  </si>
  <si>
    <t>Grand Highlander</t>
  </si>
  <si>
    <t>Grd Highlander</t>
  </si>
  <si>
    <t>Land Cruiser 250</t>
  </si>
  <si>
    <t>LandCruiser 250</t>
  </si>
  <si>
    <t>Prius Plug-in Hybrid</t>
  </si>
  <si>
    <t>Prius PHEV</t>
  </si>
  <si>
    <t>Q8 e-tron/SQ8 e-tron</t>
  </si>
  <si>
    <t>Q8/SQ8 etron</t>
  </si>
  <si>
    <t>Range Rover Sport</t>
  </si>
  <si>
    <t>RangeRov Sport</t>
  </si>
  <si>
    <t>Range Rover Velar</t>
  </si>
  <si>
    <t>RangeRov Velar</t>
  </si>
  <si>
    <t>结构词缩写</t>
  </si>
  <si>
    <t>记忆移植</t>
  </si>
  <si>
    <t>原结构词</t>
  </si>
  <si>
    <t>SHORT结构词</t>
  </si>
  <si>
    <t>说明</t>
  </si>
  <si>
    <t>HORT-TYPE 缩写项目移植记忆.otl</t>
  </si>
  <si>
    <t>Convertible</t>
  </si>
  <si>
    <t>Conv</t>
  </si>
  <si>
    <t>敞篷</t>
  </si>
  <si>
    <t>Coupe</t>
  </si>
  <si>
    <t>Cpe</t>
  </si>
  <si>
    <t>双门轿跑</t>
  </si>
  <si>
    <t>Roadster</t>
  </si>
  <si>
    <t>Rdstr</t>
  </si>
  <si>
    <t>双座敞篷/跑车</t>
  </si>
  <si>
    <t>Hatchback</t>
  </si>
  <si>
    <t>Hbk</t>
  </si>
  <si>
    <t>两厢</t>
  </si>
  <si>
    <t>Wagon</t>
  </si>
  <si>
    <t>Wgn</t>
  </si>
  <si>
    <t>旅行车</t>
  </si>
  <si>
    <t>Sedan</t>
  </si>
  <si>
    <t>Sdn</t>
  </si>
  <si>
    <t>三厢</t>
  </si>
  <si>
    <t>Coupe SUV</t>
  </si>
  <si>
    <t>CpeSUV</t>
  </si>
  <si>
    <t>轿跑SUV</t>
  </si>
  <si>
    <t>Extended</t>
  </si>
  <si>
    <t>Ext</t>
  </si>
  <si>
    <t>加长版</t>
  </si>
  <si>
    <t>Fastback</t>
  </si>
  <si>
    <t>Fastbk</t>
  </si>
  <si>
    <t>快背</t>
  </si>
  <si>
    <t>Liftback</t>
  </si>
  <si>
    <t>Lftbk</t>
  </si>
  <si>
    <t>掀背/ liftback</t>
  </si>
  <si>
    <t>Sportback</t>
  </si>
  <si>
    <t>Sptbk</t>
  </si>
  <si>
    <t>奥迪/保时捷等 sportback</t>
  </si>
  <si>
    <t>Hardtop</t>
  </si>
  <si>
    <t>HTop</t>
  </si>
  <si>
    <t>硬顶</t>
  </si>
  <si>
    <t>TYPE缩写表</t>
  </si>
  <si>
    <t>CAR</t>
  </si>
  <si>
    <t>LONG-TYPE</t>
  </si>
  <si>
    <t>SHORT-TYPE</t>
  </si>
  <si>
    <t>去除版本说明</t>
  </si>
  <si>
    <t>REDUCED-LEN</t>
  </si>
  <si>
    <t>引用次数</t>
  </si>
  <si>
    <t>Convertible/Coupe</t>
  </si>
  <si>
    <t>Conv/Cpe</t>
  </si>
  <si>
    <t>Hatchback/Wagon</t>
  </si>
  <si>
    <t>Hbk/Wgn</t>
  </si>
  <si>
    <t>Coupe/Sedan</t>
  </si>
  <si>
    <t>Cpe/Sdn</t>
  </si>
  <si>
    <t>Convertible/Coupe/Fastback</t>
  </si>
  <si>
    <t>Conv/Cpe/Fastbk</t>
  </si>
  <si>
    <t>Coupe/Wagon</t>
  </si>
  <si>
    <t>Cpe/Wgn</t>
  </si>
  <si>
    <t>Pontiac LeMans</t>
  </si>
  <si>
    <t>Coupe Tempest/LeMans</t>
  </si>
  <si>
    <t>Cpe Temp/LeMans</t>
  </si>
  <si>
    <t>Mercedes-Benz E-Class</t>
  </si>
  <si>
    <t>Convertible/Coupe Incl: Cabriolet</t>
  </si>
  <si>
    <t>Conv/Cpe Inc:Cabr</t>
  </si>
  <si>
    <t>Porsche Panamera</t>
  </si>
  <si>
    <t>Wagon Sport Turismo</t>
  </si>
  <si>
    <t>Wgn SportTur</t>
  </si>
  <si>
    <t>Jaguar XF</t>
  </si>
  <si>
    <t>Wagon Sportbrake</t>
  </si>
  <si>
    <t>Wgn Sportbrake</t>
  </si>
  <si>
    <t>Porsche Taycan</t>
  </si>
  <si>
    <t>Wagon Incl: Cross Turismo/Sport Turismo</t>
  </si>
  <si>
    <t>Wgn Inc:Cross/Spt</t>
  </si>
  <si>
    <t>Turismo重复语义省略，保留Cross/Sport差异</t>
  </si>
  <si>
    <t>Wagon Incl: All-Terrain</t>
  </si>
  <si>
    <t>Wgn Inc:AllTerr</t>
  </si>
  <si>
    <t>Oldsmobile Cutlass</t>
  </si>
  <si>
    <t>Wagon Ciera/Cutlass/F-85</t>
  </si>
  <si>
    <t>Wgn Ciera/F85</t>
  </si>
  <si>
    <t>Cutlass与主车型重复，短标题省略</t>
  </si>
  <si>
    <t>Sportback/Wagon</t>
  </si>
  <si>
    <t>Sptbk/Wgn</t>
  </si>
  <si>
    <t>Volkswagen Jetta</t>
  </si>
  <si>
    <t>Sedan Incl: Diesel</t>
  </si>
  <si>
    <t>Diesel为动力类型，短标题不单独区分</t>
  </si>
  <si>
    <t>Sedan Incl: Turbo GT</t>
  </si>
  <si>
    <t>Sdn Inc:TurboGT</t>
  </si>
  <si>
    <t>Chevrolet Impala</t>
  </si>
  <si>
    <t>Sedan Incl: Impala SS</t>
  </si>
  <si>
    <t>Sdn Inc:SS</t>
  </si>
  <si>
    <t>Impala与主车型重复，仅保留SS</t>
  </si>
  <si>
    <t>Mercedes-Benz C-Class</t>
  </si>
  <si>
    <t>Sedan Incl: PHEV</t>
  </si>
  <si>
    <t>Sdn Inc:PHEV</t>
  </si>
  <si>
    <t>Cadillac CTS</t>
  </si>
  <si>
    <t>Sedan Incl: CTS-V</t>
  </si>
  <si>
    <t>Sdn Inc:CTS-V</t>
  </si>
  <si>
    <t>Sedan Incl: AMG/PHEV</t>
  </si>
  <si>
    <t>Sdn Inc:AMG/PHEV</t>
  </si>
  <si>
    <t>BMW 2 Series</t>
  </si>
  <si>
    <t>Sedan Gran Coupe</t>
  </si>
  <si>
    <t>Sdn GranCoupe</t>
  </si>
  <si>
    <t>Mercedes-Benz SL-Class</t>
  </si>
  <si>
    <t>Roadster Incl: AMG</t>
  </si>
  <si>
    <t>Rdstr Inc:AMG</t>
  </si>
  <si>
    <t>Roadster 300SL/560SL/AMG</t>
  </si>
  <si>
    <t>Rdstr 300/560/AMG</t>
  </si>
  <si>
    <t>Pickup/SUV</t>
  </si>
  <si>
    <t>Liftback/Sportback Incl: Executive LWB</t>
  </si>
  <si>
    <t>Lftbk/Sptbk Inc:LW</t>
  </si>
  <si>
    <t>Executive因长度限制去除，保留LWB语义</t>
  </si>
  <si>
    <t>Subaru Crosstrek</t>
  </si>
  <si>
    <t>Incl: Wilderness</t>
  </si>
  <si>
    <t>Inc:Wild</t>
  </si>
  <si>
    <t>Wilderness压缩为Wild</t>
  </si>
  <si>
    <t>Honda Pilot</t>
  </si>
  <si>
    <t>Incl: TrailSport</t>
  </si>
  <si>
    <t>Inc:TrailSport</t>
  </si>
  <si>
    <t>Ford Explorer</t>
  </si>
  <si>
    <t>Incl: Timberline</t>
  </si>
  <si>
    <t>Inc:Timber</t>
  </si>
  <si>
    <t>Timberline压缩为Timber</t>
  </si>
  <si>
    <t>Nissan Pathfinder</t>
  </si>
  <si>
    <t>Incl: Rock Creek</t>
  </si>
  <si>
    <t>Inc:RockCrk</t>
  </si>
  <si>
    <t>Rock Creek压缩为RockCrk</t>
  </si>
  <si>
    <t>Mazda Miata</t>
  </si>
  <si>
    <t>Incl: RF/soft top</t>
  </si>
  <si>
    <t>Inc:RF/Sf</t>
  </si>
  <si>
    <t>soft top压缩为Sf</t>
  </si>
  <si>
    <t>Jaguar F-Type</t>
  </si>
  <si>
    <t>Incl: P450/P575/R/R75/SVR/V6/V8 S</t>
  </si>
  <si>
    <t>Inc:R/SVR</t>
  </si>
  <si>
    <t>P450/P575/R75/V6/V8 S为动力/马力标识，因长度限制去除</t>
  </si>
  <si>
    <t>Alfa Romeo GIULIA</t>
  </si>
  <si>
    <t>Incl: Quadrifoglio</t>
  </si>
  <si>
    <t>Inc:Quad</t>
  </si>
  <si>
    <t>Quadrifoglio压缩为Quad</t>
  </si>
  <si>
    <t>Tesla Model Y</t>
  </si>
  <si>
    <t>Incl: Performance</t>
  </si>
  <si>
    <t>Inc:Perf</t>
  </si>
  <si>
    <t>Performance压缩为Perf</t>
  </si>
  <si>
    <t>Subaru Outback Sport</t>
  </si>
  <si>
    <t>Incl: Outback Sport</t>
  </si>
  <si>
    <t>Inc:Outbk</t>
  </si>
  <si>
    <t>Sport后缀省略，保留Outback核心识别</t>
  </si>
  <si>
    <t>Nissan Armada</t>
  </si>
  <si>
    <t>Incl: NISMO/PRO-4X</t>
  </si>
  <si>
    <t>Inc:NIS/PRO4X</t>
  </si>
  <si>
    <t>NISMO/PRO-4X压缩为NIS/PRO4X</t>
  </si>
  <si>
    <t>Incl: Sedona/Sedona LWB/Sedona SWB</t>
  </si>
  <si>
    <t>Inc:LWB/SWB</t>
  </si>
  <si>
    <t>Sedona与车型语义重复，仅保留LWB/SWB</t>
  </si>
  <si>
    <t>Kia Optima</t>
  </si>
  <si>
    <t>Incl: Hybrid/PHEV</t>
  </si>
  <si>
    <t>Inc:Hy/PHEV</t>
  </si>
  <si>
    <t>Hybrid压缩为Hy</t>
  </si>
  <si>
    <t>Dodge Durango</t>
  </si>
  <si>
    <t>Incl: Hellcat/SRT</t>
  </si>
  <si>
    <t>Inc:HC/SRT</t>
  </si>
  <si>
    <t>Hellcat压缩为HC</t>
  </si>
  <si>
    <t>Volkswagen Atlas</t>
  </si>
  <si>
    <t>Incl: Cross Sport</t>
  </si>
  <si>
    <t>Inc:CrossSpt</t>
  </si>
  <si>
    <t>Cross Sport压缩为CrossSpt</t>
  </si>
  <si>
    <t>Incl: Cross Country</t>
  </si>
  <si>
    <t>Inc:CrossCtry</t>
  </si>
  <si>
    <t>Cross Country压缩为CrossCtry</t>
  </si>
  <si>
    <t>Cadillac CT6</t>
  </si>
  <si>
    <t>Incl: Blackwing/PHEV</t>
  </si>
  <si>
    <t>Inc:Black/PHEV</t>
  </si>
  <si>
    <t>Blackwing压缩为Black</t>
  </si>
  <si>
    <t>Mercedes-Benz M-Class</t>
  </si>
  <si>
    <t>Incl: AMG/Diesel</t>
  </si>
  <si>
    <t>Inc:AMG</t>
  </si>
  <si>
    <t>Diesel为动力类型，短标题仅保留AMG</t>
  </si>
  <si>
    <t>Hyundai Genesis</t>
  </si>
  <si>
    <t>Incl: 5.0 R-Spec</t>
  </si>
  <si>
    <t>Inc:5.0RSpc</t>
  </si>
  <si>
    <t>5.0 R-Spec压缩为5.0RSpc</t>
  </si>
  <si>
    <t>Subaru WRX</t>
  </si>
  <si>
    <t>Hatchback/Wagon STI/WRX</t>
  </si>
  <si>
    <t>Hbk/Wgn STI/WRX</t>
  </si>
  <si>
    <t>Hatchback/Wagon Incl: Safari</t>
  </si>
  <si>
    <t>Hbk/Wgn Inc:Safari</t>
  </si>
  <si>
    <t>Hatchback/Wagon Incl: LeMans/Safari/Tempest</t>
  </si>
  <si>
    <t>Hbk/Wgn Inc:Saf/T</t>
  </si>
  <si>
    <t>LeMans与主车型重复；Safari/Tempest压缩保留</t>
  </si>
  <si>
    <t>Subaru Impreza</t>
  </si>
  <si>
    <t>Hatchback/Wagon Incl: Outback Sport</t>
  </si>
  <si>
    <t>Hbk/Wgn Inc:Outbk</t>
  </si>
  <si>
    <t>Sport后缀因长度限制去除，保留Outback核心识别</t>
  </si>
  <si>
    <t>BMW 3 Series</t>
  </si>
  <si>
    <t>Hatchback/Wagon Incl: GT</t>
  </si>
  <si>
    <t>Hbk/Wgn Inc:GT</t>
  </si>
  <si>
    <t>Toyota Corolla</t>
  </si>
  <si>
    <t>Hatchback/Wagon Incl: GR Corolla</t>
  </si>
  <si>
    <t>Hbk/Wgn Inc:GR</t>
  </si>
  <si>
    <t>Corolla与主车型重复，仅保留GR</t>
  </si>
  <si>
    <t>Kia Soul</t>
  </si>
  <si>
    <t>Hatchback/Wagon Incl: EV</t>
  </si>
  <si>
    <t>Hbk/Wgn Inc:EV</t>
  </si>
  <si>
    <t>Toyota Tercel</t>
  </si>
  <si>
    <t>Hatchback/Wagon Incl: 4WD</t>
  </si>
  <si>
    <t>Hbk/Wgn Inc:4WD</t>
  </si>
  <si>
    <t>Hatchback/Sportback</t>
  </si>
  <si>
    <t>Hbk/Sptbk</t>
  </si>
  <si>
    <t>Hatchback/Liftback Incl: Executive LWB</t>
  </si>
  <si>
    <t>Hbk/Lftbk Inc:LWB</t>
  </si>
  <si>
    <t>Executive因长度限制去除，保留LWB</t>
  </si>
  <si>
    <t>Honda Civic</t>
  </si>
  <si>
    <t>Hatchback Type R</t>
  </si>
  <si>
    <t>Hbk Type R</t>
  </si>
  <si>
    <t>Hatchback SportCoupe</t>
  </si>
  <si>
    <t>Hbk SportCoupe</t>
  </si>
  <si>
    <t>Mazda Protege</t>
  </si>
  <si>
    <t>Hatchback Protege5</t>
  </si>
  <si>
    <t>Hbk Protege5</t>
  </si>
  <si>
    <t>Acura Integra</t>
  </si>
  <si>
    <t>Hatchback Incl: Type S</t>
  </si>
  <si>
    <t>Hbk Inc:TypeS</t>
  </si>
  <si>
    <t>Ford Fiesta</t>
  </si>
  <si>
    <t>Hatchback Incl: ST</t>
  </si>
  <si>
    <t>Hbk Inc:ST</t>
  </si>
  <si>
    <t>Ford Focus</t>
  </si>
  <si>
    <t>Hatchback Incl: RS/ZX3/ZX5</t>
  </si>
  <si>
    <t>Hbk Inc:RS/Z3/Z5</t>
  </si>
  <si>
    <t>Volkswagen Golf</t>
  </si>
  <si>
    <t>Hatchback Incl: Diesel/R</t>
  </si>
  <si>
    <t>Hbk Inc:R</t>
  </si>
  <si>
    <t>Diesel为动力类型，短标题仅保留R</t>
  </si>
  <si>
    <t>Volkswagen Rabbit</t>
  </si>
  <si>
    <t>Hatchback Incl: GTI</t>
  </si>
  <si>
    <t>Hbk Inc:GTI</t>
  </si>
  <si>
    <t>BMW 6 Series</t>
  </si>
  <si>
    <t>Hatchback Incl: GT</t>
  </si>
  <si>
    <t>Hbk Inc:GT</t>
  </si>
  <si>
    <t>Volkswagen Beetle</t>
  </si>
  <si>
    <t>Hatchback Incl: Dune</t>
  </si>
  <si>
    <t>Hbk Inc:Dune</t>
  </si>
  <si>
    <t>Kia Forte</t>
  </si>
  <si>
    <t>Hatchback Forte5</t>
  </si>
  <si>
    <t>Hbk Forte5</t>
  </si>
  <si>
    <t>Dodge Caravan</t>
  </si>
  <si>
    <t>Grand Caravan/LWB</t>
  </si>
  <si>
    <t>Grand/LWB</t>
  </si>
  <si>
    <t>Caravan与主车型重复，保留Grand/LWB</t>
  </si>
  <si>
    <t>Porsche 911</t>
  </si>
  <si>
    <t>Coupe/Roadster GT2 RS/GT3 RS/Speedster</t>
  </si>
  <si>
    <t>Cpe/Rdstr RS/Spd</t>
  </si>
  <si>
    <t>GT2 RS/GT3 RS合并为RS；Speedster压缩为Spd</t>
  </si>
  <si>
    <t>Coupe/Roadster</t>
  </si>
  <si>
    <t>Cpe/Rdstr</t>
  </si>
  <si>
    <t>Coupe/Fastback</t>
  </si>
  <si>
    <t>Cpe/Fastbk</t>
  </si>
  <si>
    <t>Coupe RWD/Supreme</t>
  </si>
  <si>
    <t>Cpe RWD/Supr</t>
  </si>
  <si>
    <t>Supreme压缩为Supr</t>
  </si>
  <si>
    <t>Chevrolet Corvette</t>
  </si>
  <si>
    <t>Coupe Incl: Z06/ZR1</t>
  </si>
  <si>
    <t>Cpe Inc:Z06/ZR1</t>
  </si>
  <si>
    <t>Chevrolet Chevelle</t>
  </si>
  <si>
    <t>Coupe Incl: Laguna Type S-3</t>
  </si>
  <si>
    <t>Cpe Inc:LagunaS3</t>
  </si>
  <si>
    <t>Coupe GT2/GT3/GT3 RS/Turbo</t>
  </si>
  <si>
    <t>Cpe GT2/GT3/Turb</t>
  </si>
  <si>
    <t>GT3 RS并入GT3；Turbo压缩为Turb</t>
  </si>
  <si>
    <t>Coupe GT2/GT3/GT3 RS</t>
  </si>
  <si>
    <t>Cpe GT2/GT3</t>
  </si>
  <si>
    <t>GT3 RS并入GT3，避免重复</t>
  </si>
  <si>
    <t>Plymouth Valiant</t>
  </si>
  <si>
    <t>Coupe Duster/Scamp</t>
  </si>
  <si>
    <t>Cpe Duster/Scamp</t>
  </si>
  <si>
    <t>Coupe Dakar/GT3/GT3 RS/Turbo</t>
  </si>
  <si>
    <t>Cpe Dakar/GT3/T</t>
  </si>
  <si>
    <t>GT3 RS并入GT3；Turbo压缩为T</t>
  </si>
  <si>
    <t>Convertible/Roadster</t>
  </si>
  <si>
    <t>Conv/Rdstr</t>
  </si>
  <si>
    <t>Convertible/Coupe/Targa</t>
  </si>
  <si>
    <t>Conv/Cpe/Targa</t>
  </si>
  <si>
    <t>Convertible/Coupe/Targa Incl: GT2 RS</t>
  </si>
  <si>
    <t>GT2 RS因长度限制去除，优先保留三结构</t>
  </si>
  <si>
    <t>Convertible/Coupe/Hatchback</t>
  </si>
  <si>
    <t>Conv/Cpe/Hbk</t>
  </si>
  <si>
    <t>Pontiac Firebird</t>
  </si>
  <si>
    <t>Convertible/Coupe Trans Am</t>
  </si>
  <si>
    <t>Conv/Cpe TransAm</t>
  </si>
  <si>
    <t>Convertible/Coupe Incl: ZR-1</t>
  </si>
  <si>
    <t>Conv/Cpe Inc:ZR1</t>
  </si>
  <si>
    <t>Chevrolet Camaro</t>
  </si>
  <si>
    <t>Convertible/Coupe Incl: ZL1</t>
  </si>
  <si>
    <t>Conv/Cpe Inc:ZL1</t>
  </si>
  <si>
    <t>Convertible/Coupe Incl: Z28</t>
  </si>
  <si>
    <t>Conv/Cpe Inc:Z28</t>
  </si>
  <si>
    <t>Convertible/Coupe Incl: Trans Am</t>
  </si>
  <si>
    <t>Conv/Cpe Inc:TAm</t>
  </si>
  <si>
    <t>Mercedes-Benz S-Class</t>
  </si>
  <si>
    <t>Convertible/Coupe Incl: PHEV</t>
  </si>
  <si>
    <t>Conv/Cpe Inc:PHEV</t>
  </si>
  <si>
    <t>Ford Mustang</t>
  </si>
  <si>
    <t>Convertible/Coupe Incl: Mach 1/SVO/SVT Cobra</t>
  </si>
  <si>
    <t>Conv/Cpe Inc:M1+</t>
  </si>
  <si>
    <t>Mach 1/SVO/SVT Cobra压缩为M1+</t>
  </si>
  <si>
    <t>Convertible/Coupe Incl: IROC-Z/Z28</t>
  </si>
  <si>
    <t>Conv/Cpe Inc:IZ28</t>
  </si>
  <si>
    <t>IROC-Z/Z28压缩为IZ28</t>
  </si>
  <si>
    <t>Convertible/Coupe Incl: GT3</t>
  </si>
  <si>
    <t>Conv/Cpe Inc:GT3</t>
  </si>
  <si>
    <t>Convertible/Coupe Incl: Dark Horse</t>
  </si>
  <si>
    <t>Conv/Cpe Inc:DH</t>
  </si>
  <si>
    <t>Dark Horse压缩为DH</t>
  </si>
  <si>
    <t>Convertible/Coupe Incl: All-Trac</t>
  </si>
  <si>
    <t>Conv/Cpe Inc:ATrac</t>
  </si>
  <si>
    <t>Nissan 300ZX</t>
  </si>
  <si>
    <t>Convertible/Coupe Incl: 2+2</t>
  </si>
  <si>
    <t>Conv/Cpe Inc:2+2</t>
  </si>
  <si>
    <t>Convertible Tempest/LeMans</t>
  </si>
  <si>
    <t>Conv Temp/LeMans</t>
  </si>
  <si>
    <t>Convertible Incl: Dune</t>
  </si>
  <si>
    <t>Conv Inc:Dune</t>
  </si>
  <si>
    <t>Fiat 500</t>
  </si>
  <si>
    <t>Convertible Incl: Abarth</t>
  </si>
  <si>
    <t>Conv Inc:Abarth</t>
  </si>
  <si>
    <t>Jeep Wrangler</t>
  </si>
  <si>
    <t>4dr SUV Rubicon/Unlimited</t>
  </si>
  <si>
    <t>4dr SUV Rub/Un</t>
  </si>
  <si>
    <t>Rubicon/Unlimited压缩为Rub/Un</t>
  </si>
  <si>
    <t>2dr SUV/4dr SUV Rubicon/Unlimited</t>
  </si>
  <si>
    <t>2dr/4drSUV Rub/Un</t>
  </si>
  <si>
    <t>2dr SUV Incl: Xtreme</t>
  </si>
  <si>
    <t>2dr SUV Inc:Xtrm</t>
  </si>
  <si>
    <t>Xtreme压缩为Xtrm</t>
  </si>
  <si>
    <t>Chevrolet Bel Air</t>
  </si>
  <si>
    <t>Wagon Incl: Kingswood/Parkwood</t>
  </si>
  <si>
    <t>Wgn Inc:King/Park</t>
  </si>
  <si>
    <t>Kingswood/Parkwood压缩为King/Park</t>
  </si>
  <si>
    <t>Pontiac Bonneville</t>
  </si>
  <si>
    <t>Wagon Grand Safari</t>
  </si>
  <si>
    <t>Wgn GrandSafari</t>
  </si>
  <si>
    <t>Sedan/Wagon</t>
  </si>
  <si>
    <t>Sdn/Wgn</t>
  </si>
  <si>
    <t>Sedan RWD/Supreme</t>
  </si>
  <si>
    <t>Sdn RWD/Supr</t>
  </si>
  <si>
    <t>Sedan Incl: Cutlass/F-85</t>
  </si>
  <si>
    <t>Sdn Inc:F85</t>
  </si>
  <si>
    <t>Cutlass与主车型重复，仅保留F85</t>
  </si>
  <si>
    <t>Sedan FWD/RWD/Supreme</t>
  </si>
  <si>
    <t>Sdn FWD/RWD/Supr</t>
  </si>
  <si>
    <t>Sedan F-85/Cutlass</t>
  </si>
  <si>
    <t>Sdn F85/Cutlass</t>
  </si>
  <si>
    <t>Ford Expedition</t>
  </si>
  <si>
    <t>Incl: EL/MAX/Tremor</t>
  </si>
  <si>
    <t>Inc:EL/MAX/T</t>
  </si>
  <si>
    <t>Tremor压缩为T</t>
  </si>
  <si>
    <t>Plymouth Fury</t>
  </si>
  <si>
    <t>Hardtop Belvedere Fury</t>
  </si>
  <si>
    <t>HTop BelvFury</t>
  </si>
  <si>
    <t>Belvedere压缩为Belv</t>
  </si>
  <si>
    <t>Kia Rio</t>
  </si>
  <si>
    <t>Hatchback/Wagon Rio5</t>
  </si>
  <si>
    <t>Hbk/Wgn Rio5</t>
  </si>
  <si>
    <t>Hatchback/Wagon Incl: Grand Safari/Safari</t>
  </si>
  <si>
    <t>Grand Safari压缩并入Safari</t>
  </si>
  <si>
    <t>Mercury Cougar</t>
  </si>
  <si>
    <t>Coupe/Sedan/Wagon Incl: XR-7</t>
  </si>
  <si>
    <t>Cpe/Sdn/Wgn</t>
  </si>
  <si>
    <t>XR-7因长度限制去除，优先保留三种结构</t>
  </si>
  <si>
    <t>Coupe/Hardtop Incl: Belvedere Fury</t>
  </si>
  <si>
    <t>Cpe/HTop Inc:Belv</t>
  </si>
  <si>
    <t>Fury与主车型重复；Belvedere缩写保留</t>
  </si>
  <si>
    <t>Coupe/Hatchback/Wagon</t>
  </si>
  <si>
    <t>Cpe/Hbk/Wgn</t>
  </si>
  <si>
    <t>Coupe Incl: XR-7</t>
  </si>
  <si>
    <t>Cpe Inc:XR7</t>
  </si>
  <si>
    <t>XR-7压缩为XR7</t>
  </si>
  <si>
    <t>Coupe Incl: Ciera</t>
  </si>
  <si>
    <t>Cpe Inc:Ciera</t>
  </si>
  <si>
    <t>Coupe Incl: Can Am</t>
  </si>
  <si>
    <t>Cpe Inc:CanAm</t>
  </si>
  <si>
    <t>Convertible/Wagon</t>
  </si>
  <si>
    <t>Conv/Wgn</t>
  </si>
  <si>
    <t>Convertible/Sedan</t>
  </si>
  <si>
    <t>Conv/Sdn</t>
  </si>
  <si>
    <t>Convertible/Coupe/Wagon</t>
  </si>
  <si>
    <t>Conv/Cpe/Wgn</t>
  </si>
  <si>
    <t>Convertible/Coupe/Wagon Incl: Hardtop/Kingswood/Parkwood</t>
  </si>
  <si>
    <t>Hardtop/Kingswood/Parkwood因长度限制去除，优先保留三结构</t>
  </si>
  <si>
    <t>Convertible/Coupe/Sedan Cutlass/F-85/FWD</t>
  </si>
  <si>
    <t>Conv/Cpe/Sdn F85</t>
  </si>
  <si>
    <t>Cutlass与主车型重复；FWD为驱动/平台标识，因长度限制去除</t>
  </si>
  <si>
    <t>Convertible/Coupe/Sedan</t>
  </si>
  <si>
    <t>Conv/Cpe/Sdn</t>
  </si>
  <si>
    <t>Convertible/Coupe/Hardtop Incl: Belvedere Fury</t>
  </si>
  <si>
    <t>Conv/Cpe/HTop</t>
  </si>
  <si>
    <t>Belvedere Fury因长度限制去除，优先保留三结构</t>
  </si>
  <si>
    <t>Convertible/Coupe/Hatchback/Wagon Incl: Grand Safari/Safari</t>
  </si>
  <si>
    <t>Conv/Cpe/Hbk/Wgn</t>
  </si>
  <si>
    <t>Grand Safari/Safari因长度限制去除，优先保留多结构信息</t>
  </si>
  <si>
    <t>BMW 4 Series</t>
  </si>
  <si>
    <t>Convertible/Coupe/Sedan Gran Coupe/M4</t>
  </si>
  <si>
    <t>Conv/Cpe/GC/M4</t>
  </si>
  <si>
    <t>Sedan Gran Coupe压缩为GC</t>
  </si>
  <si>
    <t>Convertible/Coupe M4</t>
  </si>
  <si>
    <t>Conv/Cpe M4</t>
  </si>
  <si>
    <t>Convertible/Coupe Incl: Hardtop</t>
  </si>
  <si>
    <t>Conv/Cpe Inc:HTop</t>
  </si>
  <si>
    <t>Convertible/Coupe Incl: Can Am</t>
  </si>
  <si>
    <t>Conv/Cpe Inc:CanAm</t>
  </si>
  <si>
    <t>Convertible/Coupe Ciera/Cutlass/F-85</t>
  </si>
  <si>
    <t>Conv/Cpe Cie/F85</t>
  </si>
  <si>
    <t>Land Rover Defender</t>
  </si>
  <si>
    <t>90 NAS/110 NAS/130</t>
  </si>
  <si>
    <t>90/110/130 NAS</t>
  </si>
  <si>
    <t>NAS重复合并到末尾</t>
  </si>
  <si>
    <t>MINI Hardtop</t>
  </si>
  <si>
    <t>2dr Hatchback/4dr Hatchback</t>
  </si>
  <si>
    <t>2dr/4dr Hbk</t>
  </si>
  <si>
    <t>MINI Hatchback</t>
  </si>
  <si>
    <t>2dr Hatchback/4dr Hatchback Incl: Cooper SE</t>
  </si>
  <si>
    <t>Cooper SE因长度限制去除，优先保留2dr/4dr结构</t>
  </si>
  <si>
    <t>2dr Hatchback Incl: Cooper SE</t>
  </si>
  <si>
    <t>2dr Hbk Inc:SE</t>
  </si>
  <si>
    <t>Cooper与MINI常规版本语义重复，仅保留SE</t>
  </si>
  <si>
    <t>Sportback/SUV</t>
  </si>
  <si>
    <t>Sptbk/SUV</t>
  </si>
  <si>
    <t>Sdn Inc:AMG</t>
  </si>
  <si>
    <t>PHEV为动力类型，短标题仅保留AMG</t>
  </si>
  <si>
    <t>Sdn F85</t>
  </si>
  <si>
    <t>Liftback/Sportback</t>
  </si>
  <si>
    <t>Lftbk/Sptbk</t>
  </si>
  <si>
    <t>Hatchback/Liftback</t>
  </si>
  <si>
    <t>Hbk/Lftbk</t>
  </si>
  <si>
    <t>CUV/SUV</t>
  </si>
  <si>
    <t>Coupe SUV/SUV</t>
  </si>
  <si>
    <t>CpeSUV/SUV</t>
  </si>
  <si>
    <t>Coupe SUV/CUV</t>
  </si>
  <si>
    <t>CpeSUV/CUV</t>
  </si>
  <si>
    <t>Coupe/Sedan/Wagon</t>
  </si>
  <si>
    <t>Coupe/Hardtop</t>
  </si>
  <si>
    <t>Cpe/HTop</t>
  </si>
  <si>
    <t>Coupe/Fastback/Liftback</t>
  </si>
  <si>
    <t>Cpe/Fastbk/Lftbk</t>
  </si>
  <si>
    <t>Convertible/Coupe/Targa Incl: GT3 RS</t>
  </si>
  <si>
    <t>GT3 RS因长度限制去除，优先保留三种结构</t>
  </si>
  <si>
    <t>Convertible/Coupe/Roadster</t>
  </si>
  <si>
    <t>Conv/Cpe/Rdstr</t>
  </si>
  <si>
    <t>Convertible/Coupe/Hardtop</t>
  </si>
  <si>
    <t>Convertible/Coupe/Hatchback/Wagon</t>
  </si>
  <si>
    <t>2dr SUV/4dr SUV</t>
  </si>
  <si>
    <t>2dr/4dr SUV</t>
  </si>
  <si>
    <t>2/4dr Rub/Unlimit</t>
  </si>
  <si>
    <t>Coupe Laguna Type S-3</t>
  </si>
  <si>
    <t>Cpe LagunaS3</t>
  </si>
  <si>
    <t>Laguna Type S-3压缩为LagunaS3</t>
  </si>
  <si>
    <t>Kia Carnival</t>
  </si>
  <si>
    <t>Incl: Sedona/Sedona LWB</t>
  </si>
  <si>
    <t>Inc:Sedona/LWB</t>
  </si>
  <si>
    <t>Sedona LWB压缩为LWB</t>
  </si>
  <si>
    <t>Wagon F-85/Cutlass</t>
  </si>
  <si>
    <t>Wgn F85</t>
  </si>
  <si>
    <t>Pontiac Astre</t>
  </si>
  <si>
    <t>Grand Safari并入Safari表达</t>
  </si>
  <si>
    <t>Wagon LeMans/Safari/Tempest</t>
  </si>
  <si>
    <t>Wgn Saf/Temp</t>
  </si>
  <si>
    <t>LeMans与主车型重复；Safari/Tempest压缩为Saf/Temp</t>
  </si>
  <si>
    <t>Hatchback/Wagon Incl: Sport Turismo</t>
  </si>
  <si>
    <t>Hbk/Wgn Inc:SptTur</t>
  </si>
  <si>
    <t>Sport Turismo压缩为SptTur</t>
  </si>
  <si>
    <t>Liftback Executive LWB</t>
  </si>
  <si>
    <t>Lftbk Exec LWB</t>
  </si>
  <si>
    <t>Executive因长度限制去除，LWB压缩为LW</t>
  </si>
  <si>
    <t>Toyota Celica</t>
  </si>
  <si>
    <t>All-Trac压缩为ATrac</t>
  </si>
  <si>
    <t>Volvo V90</t>
  </si>
  <si>
    <t>LONG-CAB</t>
  </si>
  <si>
    <t>SHORT-CAB</t>
  </si>
  <si>
    <t>Crew/Regular/Extended</t>
  </si>
  <si>
    <t>Crew/Reg/Ext</t>
  </si>
  <si>
    <t>Extended/Regular</t>
  </si>
  <si>
    <t>Ext/Reg</t>
  </si>
  <si>
    <t>Crew/Extended/Regular</t>
  </si>
  <si>
    <t>Crew/Ext/Reg</t>
  </si>
  <si>
    <t>SuperCab/SuperCrew</t>
  </si>
  <si>
    <t>SCab/SCrew</t>
  </si>
  <si>
    <t>店铺</t>
  </si>
  <si>
    <t>VERSION</t>
  </si>
  <si>
    <t>CONST</t>
  </si>
  <si>
    <t>BACKSIZE</t>
  </si>
  <si>
    <t>CATAGORY</t>
  </si>
  <si>
    <t>LONG-TYPE-LEN</t>
  </si>
  <si>
    <t>TYPE</t>
  </si>
  <si>
    <t xml:space="preserve">TYPE-LEN
</t>
  </si>
  <si>
    <t>SHORT-MODEL</t>
  </si>
  <si>
    <t>MODEL-LEN</t>
  </si>
  <si>
    <t>SIZE</t>
  </si>
  <si>
    <t>ALL</t>
  </si>
  <si>
    <t>Acura ADX</t>
  </si>
  <si>
    <t>Acura</t>
  </si>
  <si>
    <t>ADX</t>
  </si>
  <si>
    <t>2025-2026</t>
  </si>
  <si>
    <t>SUV</t>
  </si>
  <si>
    <t>BED</t>
  </si>
  <si>
    <t>CAB-LEN</t>
  </si>
  <si>
    <t>2002-2013</t>
  </si>
  <si>
    <t/>
  </si>
  <si>
    <t>Crew</t>
  </si>
  <si>
    <t>5.3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</si>
</sst>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9"/>
      <color theme="1"/>
      <name val="微软雅黑"/>
      <charset val="134"/>
      <scheme val="minor"/>
    </font>
    <font>
      <b/>
      <sz val="9"/>
      <color theme="1"/>
      <name val="微软雅黑"/>
      <charset val="134"/>
      <scheme val="major"/>
    </font>
    <font>
      <sz val="9"/>
      <color theme="1"/>
      <name val="微软雅黑"/>
      <charset val="134"/>
      <scheme val="major"/>
    </font>
    <font>
      <b/>
      <sz val="9"/>
      <color theme="0"/>
      <name val="微软雅黑"/>
      <charset val="134"/>
      <scheme val="major"/>
    </font>
    <font>
      <sz val="9"/>
      <color rgb="FF000000"/>
      <name val="微软雅黑"/>
      <charset val="134"/>
      <scheme val="major"/>
    </font>
    <font>
      <b/>
      <sz val="9"/>
      <color rgb="FF000000"/>
      <name val="微软雅黑"/>
      <charset val="134"/>
      <scheme val="major"/>
    </font>
    <font>
      <sz val="9"/>
      <color theme="1"/>
      <name val="微软雅黑"/>
      <charset val="134"/>
    </font>
    <font>
      <sz val="9"/>
      <color theme="0"/>
      <name val="微软雅黑"/>
      <charset val="134"/>
    </font>
    <font>
      <b/>
      <sz val="18"/>
      <color theme="3"/>
      <name val="微软雅黑"/>
      <charset val="134"/>
      <scheme val="minor"/>
    </font>
    <font>
      <u/>
      <sz val="11"/>
      <color rgb="FF800080"/>
      <name val="微软雅黑"/>
      <charset val="0"/>
      <scheme val="minor"/>
    </font>
    <font>
      <b/>
      <sz val="9"/>
      <color theme="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Alignment="1">
      <alignment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2" xfId="0" applyNumberFormat="1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5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Border="1" applyAlignment="1" applyProtection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 applyProtection="1">
      <alignment vertical="center"/>
    </xf>
    <xf numFmtId="49" fontId="4" fillId="3" borderId="1" xfId="0" applyNumberFormat="1" applyFont="1" applyFill="1" applyBorder="1" applyAlignment="1" applyProtection="1">
      <alignment horizontal="left" vertical="center"/>
    </xf>
    <xf numFmtId="0" fontId="4" fillId="3" borderId="1" xfId="0" applyNumberFormat="1" applyFont="1" applyFill="1" applyBorder="1" applyAlignment="1" applyProtection="1">
      <alignment horizontal="left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/>
    </xf>
    <xf numFmtId="0" fontId="0" fillId="0" borderId="0" xfId="3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8" fillId="0" borderId="0" xfId="10" applyAlignment="1">
      <alignment horizontal="center" vertical="center"/>
    </xf>
    <xf numFmtId="0" fontId="9" fillId="0" borderId="0" xfId="6" applyFont="1" applyAlignme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6" fillId="0" borderId="0" xfId="0" applyNumberFormat="1" applyFont="1">
      <alignment vertical="center"/>
    </xf>
    <xf numFmtId="0" fontId="6" fillId="0" borderId="0" xfId="0" applyNumberFormat="1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6" fillId="0" borderId="0" xfId="0" applyNumberFormat="1" applyFont="1" applyFill="1" applyAlignment="1">
      <alignment vertical="center"/>
    </xf>
    <xf numFmtId="0" fontId="6" fillId="0" borderId="0" xfId="0" applyNumberFormat="1" applyFont="1" applyAlignment="1">
      <alignment vertical="center" wrapText="1"/>
    </xf>
    <xf numFmtId="49" fontId="6" fillId="0" borderId="0" xfId="0" applyNumberFormat="1" applyFont="1">
      <alignment vertical="center"/>
    </xf>
    <xf numFmtId="49" fontId="6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5">
    <dxf>
      <font>
        <name val="微软雅黑"/>
        <scheme val="none"/>
        <charset val="134"/>
        <family val="0"/>
        <b val="0"/>
        <i val="0"/>
        <strike val="0"/>
        <u val="none"/>
        <sz val="9"/>
        <color theme="1"/>
      </font>
      <numFmt numFmtId="49" formatCode="@"/>
    </dxf>
    <dxf>
      <numFmt numFmtId="49" formatCode="@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theme="1"/>
      </font>
      <numFmt numFmtId="49" formatCode="@"/>
    </dxf>
    <dxf>
      <numFmt numFmtId="49" formatCode="@"/>
    </dxf>
    <dxf>
      <font>
        <name val="微软雅黑"/>
        <scheme val="none"/>
        <sz val="9"/>
      </font>
    </dxf>
    <dxf>
      <font>
        <name val="微软雅黑"/>
        <scheme val="none"/>
        <sz val="9"/>
        <color rgb="FF000000"/>
      </font>
      <alignment wrapText="1"/>
    </dxf>
    <dxf>
      <font>
        <name val="微软雅黑"/>
        <scheme val="none"/>
        <sz val="9"/>
        <color rgb="FF000000"/>
      </font>
      <alignment wrapText="1"/>
    </dxf>
    <dxf>
      <font>
        <name val="微软雅黑"/>
        <scheme val="none"/>
        <sz val="9"/>
      </font>
    </dxf>
    <dxf>
      <font>
        <name val="微软雅黑"/>
        <scheme val="none"/>
        <sz val="9"/>
      </font>
      <numFmt numFmtId="0" formatCode="General"/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theme="1"/>
      </font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9"/>
        <color rgb="FF000000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000000" tint="0.79973754081850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000000" tint="0.79973754081850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2" defaultPivotStyle="PivotStyleLight16">
    <tableStyle name="中色系标题行表格样式_a1c4d4" count="10" xr9:uid="{4EDDE9F7-CB55-4170-A728-3F44A25642F7}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secondRowStripe" dxfId="49"/>
      <tableStyleElement type="firstColumnStripe" dxfId="48"/>
      <tableStyleElement type="secondColumnStripe" dxfId="47"/>
      <tableStyleElement type="firstTotalCell" dxfId="46"/>
      <tableStyleElement type="lastTotalCell" dxfId="45"/>
    </tableStyle>
    <tableStyle name="浅色系标题行表格样式_b4126a" count="10" xr9:uid="{A991AA20-7CB6-48F8-9B3A-63AEB96AE2B1}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secondRowStripe" dxfId="59"/>
      <tableStyleElement type="firstColumnStripe" dxfId="58"/>
      <tableStyleElement type="secondColumnStripe" dxfId="57"/>
      <tableStyleElement type="firstTotalCell" dxfId="56"/>
      <tableStyleElement type="lastTotalCell" dxfId="55"/>
    </tableStyle>
    <tableStyle name="表样式 1" pivot="0" count="0" xr9:uid="{5D91753A-58A0-457F-9F71-1B7C2BD6C42E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onnections" Target="connections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customXml" Target="../customXml/item4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内部尺码" tableColumnId="1"/>
      <queryTableField id="2" name="分类" tableColumnId="2"/>
      <queryTableField id="3" name="CAB" tableColumnId="3"/>
      <queryTableField id="4" name="长_in" tableColumnId="4"/>
      <queryTableField id="5" name="宽_in" tableColumnId="5"/>
      <queryTableField id="6" name="高_in" tableColumnId="6"/>
      <queryTableField id="7" name="通用尺码" tableColumnId="7"/>
      <queryTableField id="8" name="原长宽高_in" tableColumnId="8"/>
      <queryTableField id="9" name="长宽高_mm" tableColumnId="9"/>
      <queryTableField id="10" name="备注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0" name="ALL尺码表" displayName="ALL尺码表" ref="A1:J34" tableType="queryTable" totalsRowShown="0">
  <autoFilter xmlns:etc="http://www.wps.cn/officeDocument/2017/etCustomData" ref="A1:J34" etc:filterBottomFollowUsedRange="0"/>
  <tableColumns count="10">
    <tableColumn id="1" name="内部尺码" uniqueName="1" queryTableFieldId="1"/>
    <tableColumn id="2" name="分类" uniqueName="2" queryTableFieldId="2"/>
    <tableColumn id="3" name="CAB" uniqueName="3" queryTableFieldId="3"/>
    <tableColumn id="4" name="长_in" uniqueName="4" queryTableFieldId="4"/>
    <tableColumn id="5" name="宽_in" uniqueName="5" queryTableFieldId="5"/>
    <tableColumn id="6" name="高_in" uniqueName="6" queryTableFieldId="6"/>
    <tableColumn id="7" name="通用尺码" uniqueName="7" queryTableFieldId="7"/>
    <tableColumn id="8" name="原长宽高_in" uniqueName="8" queryTableFieldId="8"/>
    <tableColumn id="9" name="长宽高_mm" uniqueName="9" queryTableFieldId="9"/>
    <tableColumn id="10" name="备注" uniqueName="10" queryTableFieldId="10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totalsRowShown="0">
  <autoFilter xmlns:etc="http://www.wps.cn/officeDocument/2017/etCustomData" ref="A1:D34" etc:filterBottomFollowUsedRange="0"/>
  <sortState ref="A1:D34">
    <sortCondition ref="A1" descending="1"/>
  </sortState>
  <tableColumns count="4">
    <tableColumn id="1" name="MAKE" dataDxfId="0"/>
    <tableColumn id="4" name="MODEL" dataDxfId="1"/>
    <tableColumn id="2" name="TITLE" dataDxfId="2"/>
    <tableColumn id="3" name="DESCRIPTION" dataDxfId="3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5" name="MODEL缩写表" displayName="MODEL缩写表" ref="A1:C13" totalsRowShown="0">
  <autoFilter xmlns:etc="http://www.wps.cn/officeDocument/2017/etCustomData" ref="A1:C13" etc:filterBottomFollowUsedRange="0"/>
  <tableColumns count="3">
    <tableColumn id="1" name="长MODEL"/>
    <tableColumn id="2" name="短MODEL"/>
    <tableColumn id="3" name="字符数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11" name="TYPE缩写表" displayName="TYPE缩写表" ref="A18:F188" totalsRowShown="0">
  <sortState ref="A18:F188">
    <sortCondition ref="F18" descending="1"/>
  </sortState>
  <tableColumns count="6">
    <tableColumn id="5" name="CAR" dataDxfId="4"/>
    <tableColumn id="1" name="LONG-TYPE" dataDxfId="5"/>
    <tableColumn id="2" name="SHORT-TYPE" dataDxfId="6"/>
    <tableColumn id="4" name="去除版本说明" dataDxfId="7"/>
    <tableColumn id="3" name="REDUCED-LEN" dataDxfId="8">
      <calculatedColumnFormula>LEN(表8[[#This Row],[说明]])</calculatedColumnFormula>
    </tableColumn>
    <tableColumn id="6" name="引用次数" dataDxfId="9"/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8" name="表8" displayName="表8" ref="B2:D14" totalsRowShown="0">
  <autoFilter xmlns:etc="http://www.wps.cn/officeDocument/2017/etCustomData" ref="B2:D14" etc:filterBottomFollowUsedRange="0"/>
  <tableColumns count="3">
    <tableColumn id="1" name="原结构词" dataDxfId="10"/>
    <tableColumn id="2" name="SHORT结构词" dataDxfId="11"/>
    <tableColumn id="3" name="说明" dataDxfId="12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totalsRowShown="0">
  <autoFilter xmlns:etc="http://www.wps.cn/officeDocument/2017/etCustomData" ref="A1:C11" etc:filterBottomFollowUsedRange="0"/>
  <tableColumns count="3">
    <tableColumn id="1" name="LONG-CAB"/>
    <tableColumn id="2" name="SHORT-CAB"/>
    <tableColumn id="3" name="字符数" dataDxfId="13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17" name="非皮卡压缩表" displayName="非皮卡压缩表" ref="A1:P2" totalsRowShown="0">
  <autoFilter xmlns:etc="http://www.wps.cn/officeDocument/2017/etCustomData" ref="A1:P2" etc:filterBottomFollowUsedRange="0"/>
  <sortState ref="A1:P2">
    <sortCondition ref="A2:A3966"/>
    <sortCondition ref="C2:C3966"/>
    <sortCondition ref="D2:D3966"/>
    <sortCondition ref="I2:I3966" customList="越野车, 三厢车, 跑车, 两厢车, 皮卡"/>
    <sortCondition ref="E2:E3966"/>
  </sortState>
  <tableColumns count="16">
    <tableColumn id="1" name="店铺" dataDxfId="14"/>
    <tableColumn id="2" name="CAR" dataDxfId="15"/>
    <tableColumn id="3" name="MAKE" dataDxfId="16"/>
    <tableColumn id="4" name="MODEL" dataDxfId="17"/>
    <tableColumn id="5" name="YEAR" dataDxfId="18"/>
    <tableColumn id="6" name="VERSION" dataDxfId="19"/>
    <tableColumn id="7" name="CONST" dataDxfId="20"/>
    <tableColumn id="8" name="BACKSIZE" dataDxfId="21"/>
    <tableColumn id="16" name="CATAGORY" dataDxfId="22">
      <calculatedColumnFormula array="1">TRIM(_xlfn.XLOOKUP(非皮卡压缩表[[#This Row],[BACKSIZE]],ALL尺码表[内部尺码],ALL尺码表[分类],""))</calculatedColumnFormula>
    </tableColumn>
    <tableColumn id="9" name="LONG-TYPE" dataDxfId="23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24">
      <calculatedColumnFormula>LEN(非皮卡压缩表[[#This Row],[LONG-TYPE]])</calculatedColumnFormula>
    </tableColumn>
    <tableColumn id="11" name="TYPE" dataDxfId="25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&#10;" dataDxfId="26">
      <calculatedColumnFormula>LEN(非皮卡压缩表[[#This Row],[TYPE]])</calculatedColumnFormula>
    </tableColumn>
    <tableColumn id="13" name="SHORT-MODEL" dataDxfId="27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28">
      <calculatedColumnFormula>LEN(非皮卡压缩表[[#This Row],[SHORT-MODEL]])</calculatedColumnFormula>
    </tableColumn>
    <tableColumn id="15" name="SIZE" dataDxfId="29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5" name="皮卡压缩表" displayName="皮卡压缩表" ref="A1:M2" totalsRowShown="0">
  <autoFilter xmlns:etc="http://www.wps.cn/officeDocument/2017/etCustomData" ref="A1:M2" etc:filterBottomFollowUsedRange="0"/>
  <sortState ref="A1:M2">
    <sortCondition ref="A2:A430"/>
    <sortCondition ref="K2:K430"/>
    <sortCondition ref="C2:C430"/>
    <sortCondition ref="F2:F430"/>
    <sortCondition ref="D2:D430"/>
  </sortState>
  <tableColumns count="13">
    <tableColumn id="1" name="店铺" dataDxfId="31"/>
    <tableColumn id="3" name="MAKE" dataDxfId="32"/>
    <tableColumn id="4" name="MODEL" dataDxfId="33"/>
    <tableColumn id="5" name="YEAR" dataDxfId="34"/>
    <tableColumn id="6" name="VERSION" dataDxfId="35"/>
    <tableColumn id="7" name="CAB" dataDxfId="36"/>
    <tableColumn id="8" name="BED" dataDxfId="37"/>
    <tableColumn id="9" name="BACKSIZE" dataDxfId="38"/>
    <tableColumn id="10" name="CAB-LEN" dataDxfId="39">
      <calculatedColumnFormula>LEN(皮卡压缩表[[#This Row],[CAB]])</calculatedColumnFormula>
    </tableColumn>
    <tableColumn id="11" name="SHORT-CAB" dataDxfId="40">
      <calculatedColumnFormula array="1">_xlfn.XLOOKUP(皮卡压缩表[[#This Row],[CAB]],CAB缩写表[LONG-CAB],CAB缩写表[SHORT-CAB],皮卡压缩表[[#This Row],[CAB]])</calculatedColumnFormula>
    </tableColumn>
    <tableColumn id="12" name="TITLE" dataDxfId="41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42">
      <calculatedColumnFormula>TRIM(_xlfn.XLOOKUP(皮卡压缩表[[#This Row],[MAKE]],皮卡前台名表[MAKE],皮卡前台名表[DESCRIPTION],""))</calculatedColumnFormula>
    </tableColumn>
    <tableColumn id="14" name="SIZE" dataDxfId="43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docs.cn/l/ce71bxjn0g6m" TargetMode="Externa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workbookViewId="0">
      <selection activeCell="I8" sqref="I8"/>
    </sheetView>
  </sheetViews>
  <sheetFormatPr defaultColWidth="8.57142857142857" defaultRowHeight="12.35"/>
  <cols>
    <col min="1" max="1" width="9.71428571428571" customWidth="1"/>
    <col min="2" max="2" width="6.71428571428571" customWidth="1"/>
    <col min="3" max="3" width="8" customWidth="1"/>
    <col min="4" max="4" width="6.57142857142857" customWidth="1"/>
    <col min="5" max="6" width="5.71428571428571" customWidth="1"/>
    <col min="7" max="7" width="8.42857142857143" customWidth="1"/>
    <col min="8" max="8" width="11" customWidth="1"/>
    <col min="9" max="9" width="15.5714285714286" customWidth="1"/>
    <col min="10" max="10" width="10.8571428571429" customWidth="1"/>
    <col min="11" max="11" width="9.52380952380952" customWidth="1"/>
    <col min="12" max="12" width="19.8571428571429" customWidth="1"/>
    <col min="13" max="13" width="17.8761904761905" customWidth="1"/>
    <col min="14" max="15" width="9.52380952380952" customWidth="1"/>
  </cols>
  <sheetData>
    <row r="1" spans="1:1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/>
      <c r="L1" s="44"/>
      <c r="M1" s="44"/>
      <c r="N1" s="44"/>
      <c r="O1" s="44"/>
    </row>
    <row r="2" spans="1:15">
      <c r="A2" s="44" t="s">
        <v>10</v>
      </c>
      <c r="B2" s="44" t="s">
        <v>11</v>
      </c>
      <c r="D2" s="44">
        <v>142</v>
      </c>
      <c r="E2" s="44">
        <v>67</v>
      </c>
      <c r="F2" s="44">
        <v>62</v>
      </c>
      <c r="H2" s="44" t="s">
        <v>12</v>
      </c>
      <c r="I2" s="44" t="s">
        <v>13</v>
      </c>
      <c r="L2" s="44"/>
      <c r="M2" s="44"/>
      <c r="N2" s="44"/>
      <c r="O2" s="44"/>
    </row>
    <row r="3" spans="1:15">
      <c r="A3" s="44" t="s">
        <v>14</v>
      </c>
      <c r="B3" s="44" t="s">
        <v>11</v>
      </c>
      <c r="D3" s="44">
        <v>163</v>
      </c>
      <c r="E3" s="44">
        <v>69</v>
      </c>
      <c r="F3" s="44">
        <v>57</v>
      </c>
      <c r="G3" s="44" t="s">
        <v>15</v>
      </c>
      <c r="H3" s="44" t="s">
        <v>16</v>
      </c>
      <c r="I3" s="44" t="s">
        <v>17</v>
      </c>
      <c r="L3" s="44"/>
      <c r="M3" s="44"/>
      <c r="N3" s="44"/>
      <c r="O3" s="44"/>
    </row>
    <row r="4" spans="1:15">
      <c r="A4" s="44" t="s">
        <v>18</v>
      </c>
      <c r="B4" s="44" t="s">
        <v>11</v>
      </c>
      <c r="D4" s="44">
        <v>178</v>
      </c>
      <c r="E4" s="44">
        <v>72</v>
      </c>
      <c r="F4" s="44">
        <v>59</v>
      </c>
      <c r="G4" s="44" t="s">
        <v>19</v>
      </c>
      <c r="H4" s="44" t="s">
        <v>20</v>
      </c>
      <c r="I4" s="44" t="s">
        <v>21</v>
      </c>
      <c r="L4" s="44"/>
      <c r="M4" s="44"/>
      <c r="N4" s="44"/>
      <c r="O4" s="44"/>
    </row>
    <row r="5" spans="1:15">
      <c r="A5" s="44" t="s">
        <v>22</v>
      </c>
      <c r="B5" s="44" t="s">
        <v>11</v>
      </c>
      <c r="D5" s="44">
        <v>190</v>
      </c>
      <c r="E5" s="44">
        <v>72</v>
      </c>
      <c r="F5" s="44">
        <v>63</v>
      </c>
      <c r="H5" s="44" t="s">
        <v>23</v>
      </c>
      <c r="I5" s="44" t="s">
        <v>24</v>
      </c>
      <c r="L5" s="44"/>
      <c r="M5" s="44"/>
      <c r="N5" s="44"/>
    </row>
    <row r="6" spans="1:15">
      <c r="A6" s="44" t="s">
        <v>25</v>
      </c>
      <c r="B6" s="44" t="s">
        <v>11</v>
      </c>
      <c r="D6" s="44">
        <v>200</v>
      </c>
      <c r="E6" s="44">
        <v>72</v>
      </c>
      <c r="F6" s="44">
        <v>63</v>
      </c>
      <c r="H6" s="44" t="s">
        <v>26</v>
      </c>
      <c r="I6" s="44" t="s">
        <v>27</v>
      </c>
      <c r="J6" s="44"/>
      <c r="L6" s="44"/>
      <c r="M6" s="44"/>
      <c r="N6" s="44"/>
    </row>
    <row r="7" spans="1:15">
      <c r="A7" s="44" t="s">
        <v>28</v>
      </c>
      <c r="B7" s="44" t="s">
        <v>11</v>
      </c>
      <c r="D7" s="44">
        <v>206</v>
      </c>
      <c r="E7" s="44">
        <v>75</v>
      </c>
      <c r="F7" s="44">
        <v>70</v>
      </c>
      <c r="G7" s="44" t="s">
        <v>29</v>
      </c>
      <c r="H7" s="44" t="s">
        <v>30</v>
      </c>
      <c r="I7" s="44" t="s">
        <v>31</v>
      </c>
      <c r="J7" s="44" t="s">
        <v>32</v>
      </c>
      <c r="L7" s="44"/>
      <c r="M7" s="44"/>
      <c r="N7" s="44"/>
    </row>
    <row r="8" spans="1:15">
      <c r="A8" s="44" t="s">
        <v>33</v>
      </c>
      <c r="B8" s="44" t="s">
        <v>11</v>
      </c>
      <c r="D8" s="44">
        <v>206</v>
      </c>
      <c r="E8" s="44">
        <v>75</v>
      </c>
      <c r="F8" s="44">
        <v>70</v>
      </c>
      <c r="G8" s="44" t="s">
        <v>29</v>
      </c>
      <c r="H8" s="44" t="s">
        <v>30</v>
      </c>
      <c r="I8" s="44" t="s">
        <v>31</v>
      </c>
      <c r="L8" s="44"/>
      <c r="M8" s="44"/>
      <c r="N8" s="44"/>
    </row>
    <row r="9" spans="1:15">
      <c r="A9" s="44" t="s">
        <v>34</v>
      </c>
      <c r="B9" s="44" t="s">
        <v>35</v>
      </c>
      <c r="D9" s="44">
        <v>165</v>
      </c>
      <c r="E9" s="44">
        <v>67</v>
      </c>
      <c r="F9" s="44">
        <v>57</v>
      </c>
      <c r="G9" s="44" t="s">
        <v>36</v>
      </c>
      <c r="H9" s="44" t="s">
        <v>37</v>
      </c>
      <c r="I9" s="44" t="s">
        <v>38</v>
      </c>
      <c r="L9" s="44"/>
      <c r="M9" s="44"/>
      <c r="N9" s="44"/>
      <c r="O9" s="44"/>
    </row>
    <row r="10" spans="1:15">
      <c r="A10" s="44" t="s">
        <v>39</v>
      </c>
      <c r="B10" s="44" t="s">
        <v>35</v>
      </c>
      <c r="D10" s="44">
        <v>178</v>
      </c>
      <c r="E10" s="44">
        <v>68</v>
      </c>
      <c r="F10" s="44">
        <v>59</v>
      </c>
      <c r="G10" s="44" t="s">
        <v>40</v>
      </c>
      <c r="H10" s="44" t="s">
        <v>41</v>
      </c>
      <c r="I10" s="44" t="s">
        <v>42</v>
      </c>
      <c r="L10" s="44"/>
    </row>
    <row r="11" spans="1:15">
      <c r="A11" s="44" t="s">
        <v>43</v>
      </c>
      <c r="B11" s="44" t="s">
        <v>35</v>
      </c>
      <c r="D11" s="44">
        <v>185</v>
      </c>
      <c r="E11" s="44">
        <v>70</v>
      </c>
      <c r="F11" s="44">
        <v>59</v>
      </c>
      <c r="G11" s="44" t="s">
        <v>44</v>
      </c>
      <c r="H11" s="44" t="s">
        <v>45</v>
      </c>
      <c r="I11" s="44" t="s">
        <v>46</v>
      </c>
      <c r="L11" s="44"/>
      <c r="M11" s="44"/>
      <c r="N11" s="44"/>
      <c r="O11" s="44"/>
    </row>
    <row r="12" spans="1:15">
      <c r="A12" s="44" t="s">
        <v>47</v>
      </c>
      <c r="B12" s="44" t="s">
        <v>35</v>
      </c>
      <c r="D12" s="44">
        <v>193</v>
      </c>
      <c r="E12" s="44">
        <v>72</v>
      </c>
      <c r="F12" s="44">
        <v>59</v>
      </c>
      <c r="G12" s="44" t="s">
        <v>48</v>
      </c>
      <c r="H12" s="44" t="s">
        <v>49</v>
      </c>
      <c r="I12" s="44" t="s">
        <v>50</v>
      </c>
      <c r="L12" s="44"/>
      <c r="M12" s="44"/>
      <c r="N12" s="44"/>
    </row>
    <row r="13" spans="1:15">
      <c r="A13" s="44" t="s">
        <v>51</v>
      </c>
      <c r="B13" s="44" t="s">
        <v>35</v>
      </c>
      <c r="D13" s="44">
        <v>203</v>
      </c>
      <c r="E13" s="44">
        <v>78</v>
      </c>
      <c r="F13" s="44">
        <v>59</v>
      </c>
      <c r="G13" s="44" t="s">
        <v>52</v>
      </c>
      <c r="H13" s="44" t="s">
        <v>53</v>
      </c>
      <c r="I13" s="44" t="s">
        <v>54</v>
      </c>
      <c r="J13" s="44" t="s">
        <v>55</v>
      </c>
      <c r="L13" s="44"/>
      <c r="M13" s="44"/>
      <c r="N13" s="44"/>
    </row>
    <row r="14" spans="1:15">
      <c r="A14" s="44" t="s">
        <v>56</v>
      </c>
      <c r="B14" s="44" t="s">
        <v>35</v>
      </c>
      <c r="D14" s="44">
        <v>203</v>
      </c>
      <c r="E14" s="44">
        <v>78</v>
      </c>
      <c r="F14" s="44">
        <v>59</v>
      </c>
      <c r="G14" s="44" t="s">
        <v>52</v>
      </c>
      <c r="H14" s="44" t="s">
        <v>53</v>
      </c>
      <c r="I14" s="44" t="s">
        <v>54</v>
      </c>
      <c r="L14" s="44"/>
      <c r="M14" s="44"/>
      <c r="N14" s="44"/>
    </row>
    <row r="15" spans="1:15">
      <c r="A15" s="44" t="s">
        <v>57</v>
      </c>
      <c r="B15" s="44" t="s">
        <v>35</v>
      </c>
      <c r="D15" s="44">
        <v>208</v>
      </c>
      <c r="E15" s="44">
        <v>78</v>
      </c>
      <c r="F15" s="44">
        <v>59</v>
      </c>
      <c r="H15" s="44" t="s">
        <v>58</v>
      </c>
      <c r="I15" s="44" t="s">
        <v>59</v>
      </c>
      <c r="L15" s="44"/>
      <c r="M15" s="44"/>
      <c r="N15" s="44"/>
    </row>
    <row r="16" spans="1:15">
      <c r="A16" s="44" t="s">
        <v>60</v>
      </c>
      <c r="B16" s="44" t="s">
        <v>35</v>
      </c>
      <c r="D16" s="44">
        <v>218</v>
      </c>
      <c r="E16" s="44">
        <v>78</v>
      </c>
      <c r="F16" s="44">
        <v>59</v>
      </c>
      <c r="G16" s="44"/>
      <c r="H16" s="44" t="s">
        <v>61</v>
      </c>
      <c r="I16" s="44" t="s">
        <v>62</v>
      </c>
      <c r="L16" s="44"/>
      <c r="M16" s="44"/>
      <c r="N16" s="44"/>
    </row>
    <row r="17" spans="1:15">
      <c r="A17" s="44" t="s">
        <v>63</v>
      </c>
      <c r="B17" s="44" t="s">
        <v>35</v>
      </c>
      <c r="D17" s="44">
        <v>232</v>
      </c>
      <c r="E17" s="44">
        <v>78</v>
      </c>
      <c r="F17" s="44">
        <v>59</v>
      </c>
      <c r="G17" s="44" t="s">
        <v>64</v>
      </c>
      <c r="H17" s="44">
        <v>232</v>
      </c>
      <c r="I17" s="44" t="s">
        <v>65</v>
      </c>
      <c r="L17" s="44"/>
      <c r="M17" s="44"/>
      <c r="N17" s="44"/>
    </row>
    <row r="18" spans="1:15">
      <c r="A18" s="44" t="s">
        <v>66</v>
      </c>
      <c r="B18" s="44" t="s">
        <v>67</v>
      </c>
      <c r="D18" s="44">
        <v>210</v>
      </c>
      <c r="E18" s="44">
        <v>74</v>
      </c>
      <c r="F18" s="44">
        <v>68</v>
      </c>
      <c r="G18" s="44" t="s">
        <v>68</v>
      </c>
      <c r="L18" s="44"/>
      <c r="M18" s="44"/>
      <c r="N18" s="44"/>
    </row>
    <row r="19" spans="1:15">
      <c r="A19" s="44" t="s">
        <v>69</v>
      </c>
      <c r="B19" s="44" t="s">
        <v>67</v>
      </c>
      <c r="D19" s="44">
        <v>220</v>
      </c>
      <c r="E19" s="44">
        <v>74</v>
      </c>
      <c r="F19" s="44">
        <v>68</v>
      </c>
      <c r="G19" s="44" t="s">
        <v>70</v>
      </c>
      <c r="L19" s="44"/>
      <c r="M19" s="44"/>
      <c r="N19" s="44"/>
    </row>
    <row r="20" spans="1:15">
      <c r="A20" s="44" t="s">
        <v>71</v>
      </c>
      <c r="B20" s="44" t="s">
        <v>67</v>
      </c>
      <c r="C20" s="44"/>
      <c r="D20" s="44">
        <v>230</v>
      </c>
      <c r="E20" s="44">
        <v>79</v>
      </c>
      <c r="F20" s="44">
        <v>69</v>
      </c>
      <c r="G20" s="44" t="s">
        <v>72</v>
      </c>
      <c r="I20" s="44"/>
      <c r="L20" s="44"/>
    </row>
    <row r="21" spans="1:15">
      <c r="A21" s="44" t="s">
        <v>73</v>
      </c>
      <c r="B21" s="44" t="s">
        <v>67</v>
      </c>
      <c r="C21" s="44" t="s">
        <v>74</v>
      </c>
      <c r="D21" s="44">
        <v>242</v>
      </c>
      <c r="E21" s="44">
        <v>79</v>
      </c>
      <c r="F21" s="44">
        <v>70</v>
      </c>
      <c r="G21" s="44" t="s">
        <v>75</v>
      </c>
      <c r="H21" s="44"/>
      <c r="I21" s="44" t="s">
        <v>76</v>
      </c>
      <c r="L21" s="44"/>
      <c r="M21" s="44"/>
      <c r="N21" s="44"/>
      <c r="O21" s="44"/>
    </row>
    <row r="22" spans="1:15">
      <c r="A22" s="44" t="s">
        <v>77</v>
      </c>
      <c r="B22" s="44" t="s">
        <v>67</v>
      </c>
      <c r="D22" s="44">
        <v>242</v>
      </c>
      <c r="E22" s="44">
        <v>79</v>
      </c>
      <c r="F22" s="44">
        <v>70</v>
      </c>
      <c r="G22" s="44" t="s">
        <v>78</v>
      </c>
      <c r="H22" s="44">
        <v>250</v>
      </c>
      <c r="I22" s="44" t="s">
        <v>79</v>
      </c>
      <c r="L22" s="44"/>
      <c r="M22" s="44"/>
      <c r="N22" s="44"/>
      <c r="O22" s="44"/>
    </row>
    <row r="23" spans="1:15">
      <c r="A23" s="44" t="s">
        <v>80</v>
      </c>
      <c r="B23" s="44" t="s">
        <v>67</v>
      </c>
      <c r="D23" s="44">
        <v>250</v>
      </c>
      <c r="E23" s="44">
        <v>79</v>
      </c>
      <c r="F23" s="44">
        <v>71</v>
      </c>
      <c r="G23" s="44" t="s">
        <v>81</v>
      </c>
      <c r="H23" s="44"/>
      <c r="I23" s="44"/>
      <c r="L23" s="44"/>
      <c r="M23" s="44"/>
      <c r="N23" s="44"/>
    </row>
    <row r="24" spans="1:15">
      <c r="A24" s="44" t="s">
        <v>82</v>
      </c>
      <c r="B24" s="44" t="s">
        <v>67</v>
      </c>
      <c r="D24" s="44">
        <v>262</v>
      </c>
      <c r="E24" s="44">
        <v>79</v>
      </c>
      <c r="F24" s="44">
        <v>71</v>
      </c>
      <c r="G24" s="44" t="s">
        <v>83</v>
      </c>
      <c r="H24" s="44">
        <v>270</v>
      </c>
      <c r="I24" s="44" t="s">
        <v>84</v>
      </c>
      <c r="L24" s="44"/>
      <c r="M24" s="44"/>
      <c r="N24" s="44"/>
    </row>
    <row r="25" spans="1:15">
      <c r="A25" s="44" t="s">
        <v>85</v>
      </c>
      <c r="B25" s="44" t="s">
        <v>86</v>
      </c>
      <c r="D25" s="44">
        <v>185</v>
      </c>
      <c r="E25" s="44">
        <v>70</v>
      </c>
      <c r="F25" s="44">
        <v>59</v>
      </c>
      <c r="G25" s="44" t="s">
        <v>87</v>
      </c>
      <c r="H25" s="44" t="s">
        <v>45</v>
      </c>
      <c r="I25" s="44" t="s">
        <v>46</v>
      </c>
      <c r="L25" s="44"/>
      <c r="M25" s="44"/>
      <c r="N25" s="44"/>
    </row>
    <row r="26" spans="1:15">
      <c r="A26" s="44" t="s">
        <v>88</v>
      </c>
      <c r="B26" s="44" t="s">
        <v>86</v>
      </c>
      <c r="D26" s="44">
        <v>191.9</v>
      </c>
      <c r="E26" s="44">
        <v>72</v>
      </c>
      <c r="F26" s="44">
        <v>59</v>
      </c>
      <c r="G26" s="44" t="s">
        <v>89</v>
      </c>
      <c r="H26" s="44" t="s">
        <v>49</v>
      </c>
      <c r="I26" s="44" t="s">
        <v>50</v>
      </c>
      <c r="L26" s="44"/>
      <c r="M26" s="44"/>
      <c r="N26" s="44"/>
    </row>
    <row r="27" spans="1:15">
      <c r="A27" s="44" t="s">
        <v>90</v>
      </c>
      <c r="B27" s="44" t="s">
        <v>86</v>
      </c>
      <c r="D27" s="44">
        <v>208</v>
      </c>
      <c r="E27" s="44">
        <v>78</v>
      </c>
      <c r="F27" s="44">
        <v>59</v>
      </c>
      <c r="G27" s="44" t="s">
        <v>91</v>
      </c>
      <c r="H27" s="44" t="s">
        <v>58</v>
      </c>
      <c r="I27" s="44" t="s">
        <v>59</v>
      </c>
      <c r="L27" s="44"/>
      <c r="M27" s="44"/>
      <c r="N27" s="44"/>
    </row>
    <row r="28" spans="1:15">
      <c r="A28" s="44" t="s">
        <v>92</v>
      </c>
      <c r="B28" s="44" t="s">
        <v>86</v>
      </c>
      <c r="D28" s="44">
        <v>218</v>
      </c>
      <c r="E28" s="44">
        <v>78</v>
      </c>
      <c r="F28" s="44">
        <v>59</v>
      </c>
      <c r="G28" s="44" t="s">
        <v>93</v>
      </c>
      <c r="H28" s="44" t="s">
        <v>61</v>
      </c>
      <c r="I28" s="44" t="s">
        <v>62</v>
      </c>
    </row>
    <row r="29" spans="1:15">
      <c r="A29" s="44" t="s">
        <v>94</v>
      </c>
      <c r="B29" s="44" t="s">
        <v>95</v>
      </c>
      <c r="D29" s="44">
        <v>181</v>
      </c>
      <c r="E29" s="44">
        <v>72</v>
      </c>
      <c r="F29" s="44">
        <v>67</v>
      </c>
      <c r="G29" s="44" t="s">
        <v>96</v>
      </c>
      <c r="H29" s="44" t="s">
        <v>97</v>
      </c>
      <c r="I29" s="44" t="s">
        <v>98</v>
      </c>
    </row>
    <row r="30" spans="1:15">
      <c r="A30" s="44" t="s">
        <v>99</v>
      </c>
      <c r="B30" s="44" t="s">
        <v>95</v>
      </c>
      <c r="D30" s="44">
        <v>190</v>
      </c>
      <c r="E30" s="44">
        <v>74</v>
      </c>
      <c r="F30" s="44">
        <v>70</v>
      </c>
      <c r="G30" s="44" t="s">
        <v>100</v>
      </c>
      <c r="H30" s="44" t="s">
        <v>101</v>
      </c>
      <c r="I30" s="44" t="s">
        <v>102</v>
      </c>
    </row>
    <row r="31" spans="1:15">
      <c r="A31" s="44" t="s">
        <v>103</v>
      </c>
      <c r="B31" s="44" t="s">
        <v>95</v>
      </c>
      <c r="D31" s="44">
        <v>201</v>
      </c>
      <c r="E31" s="44">
        <v>78</v>
      </c>
      <c r="F31" s="44">
        <v>70</v>
      </c>
      <c r="G31" s="44" t="s">
        <v>104</v>
      </c>
      <c r="H31" s="44" t="s">
        <v>105</v>
      </c>
      <c r="I31" s="44" t="s">
        <v>106</v>
      </c>
    </row>
    <row r="32" spans="1:15">
      <c r="A32" s="44" t="s">
        <v>107</v>
      </c>
      <c r="B32" s="44" t="s">
        <v>95</v>
      </c>
      <c r="D32" s="44">
        <v>207</v>
      </c>
      <c r="E32" s="44">
        <v>78</v>
      </c>
      <c r="F32" s="44">
        <v>75</v>
      </c>
      <c r="G32" s="44"/>
      <c r="H32" s="44" t="s">
        <v>108</v>
      </c>
      <c r="I32" s="44" t="s">
        <v>109</v>
      </c>
    </row>
    <row r="33" spans="1:9">
      <c r="A33" s="44" t="s">
        <v>110</v>
      </c>
      <c r="B33" s="44" t="s">
        <v>95</v>
      </c>
      <c r="D33" s="44">
        <v>214</v>
      </c>
      <c r="E33" s="44">
        <v>78</v>
      </c>
      <c r="F33" s="44">
        <v>78</v>
      </c>
      <c r="G33" s="44" t="s">
        <v>111</v>
      </c>
      <c r="H33" s="44" t="s">
        <v>112</v>
      </c>
      <c r="I33" s="44" t="s">
        <v>113</v>
      </c>
    </row>
    <row r="34" spans="1:9">
      <c r="A34" s="44" t="s">
        <v>114</v>
      </c>
      <c r="B34" s="44" t="s">
        <v>95</v>
      </c>
      <c r="D34" s="44">
        <v>230</v>
      </c>
      <c r="E34" s="44">
        <v>78</v>
      </c>
      <c r="F34" s="44">
        <v>78</v>
      </c>
      <c r="G34" s="44" t="s">
        <v>115</v>
      </c>
      <c r="H34" s="44" t="s">
        <v>116</v>
      </c>
      <c r="I34" s="44" t="s">
        <v>117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7"/>
  <sheetViews>
    <sheetView workbookViewId="0">
      <selection activeCell="H9" sqref="H9"/>
    </sheetView>
  </sheetViews>
  <sheetFormatPr defaultColWidth="9.14285714285714" defaultRowHeight="12.35" outlineLevelRow="6" outlineLevelCol="3"/>
  <sheetData>
    <row r="1" spans="1:4">
      <c r="A1" t="s">
        <v>118</v>
      </c>
      <c r="B1" t="s">
        <v>119</v>
      </c>
      <c r="C1" t="s">
        <v>1</v>
      </c>
      <c r="D1" t="s">
        <v>120</v>
      </c>
    </row>
    <row r="2" spans="1:4">
      <c r="A2" t="s">
        <v>121</v>
      </c>
      <c r="B2" t="s">
        <v>121</v>
      </c>
      <c r="C2" t="s">
        <v>95</v>
      </c>
      <c r="D2" t="s">
        <v>121</v>
      </c>
    </row>
    <row r="3" spans="1:4">
      <c r="C3" t="s">
        <v>86</v>
      </c>
    </row>
    <row r="4" spans="1:4">
      <c r="C4" t="s">
        <v>35</v>
      </c>
    </row>
    <row r="5" spans="1:4">
      <c r="C5" t="s">
        <v>11</v>
      </c>
    </row>
    <row r="6" spans="1:4">
      <c r="C6" t="s">
        <v>67</v>
      </c>
    </row>
    <row r="7" spans="1:4">
      <c r="C7" t="str">
        <f>_xlfn.TEXTJOIN(", ",TRUE,C2:C6)</f>
        <v>越野车, 三厢车, 跑车, 两厢车, 皮卡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D34"/>
  <sheetViews>
    <sheetView workbookViewId="0">
      <selection activeCell="C32" sqref="C32"/>
    </sheetView>
  </sheetViews>
  <sheetFormatPr defaultColWidth="8.71428571428571" defaultRowHeight="12.35" outlineLevelCol="3"/>
  <cols>
    <col min="1" max="1" width="34.2190476190476" style="42" customWidth="1"/>
    <col min="2" max="2" width="36.7142857142857" style="42" customWidth="1"/>
    <col min="3" max="3" width="63.9333333333333" style="42" customWidth="1"/>
    <col min="4" max="4" width="41.4571428571429" style="42" customWidth="1"/>
    <col min="5" max="16384" width="8.71428571428571" style="29"/>
  </cols>
  <sheetData>
    <row r="1" spans="1:4">
      <c r="A1" s="43" t="s">
        <v>118</v>
      </c>
      <c r="B1" s="43" t="s">
        <v>119</v>
      </c>
      <c r="C1" s="43" t="s">
        <v>122</v>
      </c>
      <c r="D1" s="42" t="s">
        <v>123</v>
      </c>
    </row>
    <row r="2" spans="1:4">
      <c r="A2" s="43" t="s">
        <v>124</v>
      </c>
      <c r="B2" s="43" t="s">
        <v>125</v>
      </c>
      <c r="C2" s="43" t="s">
        <v>126</v>
      </c>
    </row>
    <row r="3" spans="1:4">
      <c r="A3" s="43" t="s">
        <v>124</v>
      </c>
      <c r="B3" s="43" t="s">
        <v>127</v>
      </c>
      <c r="C3" s="43" t="s">
        <v>128</v>
      </c>
      <c r="D3" s="42" t="s">
        <v>129</v>
      </c>
    </row>
    <row r="4" spans="1:4">
      <c r="A4" s="43" t="s">
        <v>130</v>
      </c>
      <c r="B4" s="43" t="s">
        <v>131</v>
      </c>
      <c r="C4" s="43" t="s">
        <v>132</v>
      </c>
    </row>
    <row r="5" spans="1:4">
      <c r="A5" s="43" t="s">
        <v>130</v>
      </c>
      <c r="B5" s="43" t="s">
        <v>133</v>
      </c>
      <c r="C5" s="43" t="s">
        <v>134</v>
      </c>
    </row>
    <row r="6" spans="1:4">
      <c r="A6" s="43" t="s">
        <v>130</v>
      </c>
      <c r="B6" s="43">
        <v>1500</v>
      </c>
      <c r="C6" s="43" t="s">
        <v>134</v>
      </c>
    </row>
    <row r="7" spans="1:4">
      <c r="A7" s="43" t="s">
        <v>135</v>
      </c>
      <c r="B7" s="43" t="s">
        <v>136</v>
      </c>
      <c r="C7" s="43" t="s">
        <v>137</v>
      </c>
    </row>
    <row r="8" spans="1:4">
      <c r="A8" s="43" t="s">
        <v>138</v>
      </c>
      <c r="B8" s="43" t="s">
        <v>139</v>
      </c>
      <c r="C8" s="43" t="s">
        <v>140</v>
      </c>
    </row>
    <row r="9" spans="1:4">
      <c r="A9" s="43" t="s">
        <v>138</v>
      </c>
      <c r="B9" s="43" t="s">
        <v>141</v>
      </c>
      <c r="C9" s="43" t="s">
        <v>142</v>
      </c>
    </row>
    <row r="10" spans="1:4">
      <c r="A10" s="43" t="s">
        <v>138</v>
      </c>
      <c r="B10" s="43">
        <v>1500</v>
      </c>
      <c r="C10" s="43" t="s">
        <v>143</v>
      </c>
      <c r="D10" s="42" t="s">
        <v>144</v>
      </c>
    </row>
    <row r="11" spans="1:4">
      <c r="A11" s="43" t="s">
        <v>145</v>
      </c>
      <c r="B11" s="43" t="s">
        <v>146</v>
      </c>
      <c r="C11" s="43" t="s">
        <v>147</v>
      </c>
      <c r="D11" s="42" t="s">
        <v>148</v>
      </c>
    </row>
    <row r="12" spans="1:4">
      <c r="A12" s="43" t="s">
        <v>149</v>
      </c>
      <c r="B12" s="43" t="s">
        <v>150</v>
      </c>
      <c r="C12" s="43" t="s">
        <v>151</v>
      </c>
    </row>
    <row r="13" spans="1:4">
      <c r="A13" s="43" t="s">
        <v>152</v>
      </c>
      <c r="B13" s="43" t="s">
        <v>153</v>
      </c>
      <c r="C13" s="43" t="s">
        <v>154</v>
      </c>
    </row>
    <row r="14" spans="1:4">
      <c r="A14" s="43" t="s">
        <v>155</v>
      </c>
      <c r="B14" s="43" t="s">
        <v>156</v>
      </c>
      <c r="C14" s="43" t="s">
        <v>157</v>
      </c>
    </row>
    <row r="15" spans="1:4">
      <c r="A15" s="42" t="s">
        <v>158</v>
      </c>
      <c r="B15" s="42" t="s">
        <v>159</v>
      </c>
      <c r="C15" s="42" t="s">
        <v>134</v>
      </c>
    </row>
    <row r="16" spans="1:4">
      <c r="A16" s="42" t="s">
        <v>158</v>
      </c>
      <c r="B16" s="42" t="s">
        <v>160</v>
      </c>
      <c r="C16" s="42" t="s">
        <v>134</v>
      </c>
    </row>
    <row r="17" spans="1:4">
      <c r="A17" s="43" t="s">
        <v>158</v>
      </c>
      <c r="B17" s="43" t="s">
        <v>161</v>
      </c>
      <c r="C17" s="43" t="s">
        <v>162</v>
      </c>
      <c r="D17" s="42" t="s">
        <v>163</v>
      </c>
    </row>
    <row r="18" spans="1:4">
      <c r="A18" s="43" t="s">
        <v>164</v>
      </c>
      <c r="B18" s="43" t="s">
        <v>165</v>
      </c>
      <c r="C18" s="43" t="s">
        <v>166</v>
      </c>
      <c r="D18" s="42" t="s">
        <v>167</v>
      </c>
    </row>
    <row r="19" spans="1:4">
      <c r="A19" s="43" t="s">
        <v>164</v>
      </c>
      <c r="B19" s="43" t="s">
        <v>168</v>
      </c>
      <c r="C19" s="43" t="s">
        <v>169</v>
      </c>
      <c r="D19" s="42" t="s">
        <v>170</v>
      </c>
    </row>
    <row r="20" spans="1:4">
      <c r="A20" s="43" t="s">
        <v>164</v>
      </c>
      <c r="B20" s="43" t="s">
        <v>171</v>
      </c>
      <c r="C20" s="43" t="s">
        <v>172</v>
      </c>
    </row>
    <row r="21" spans="1:4">
      <c r="A21" s="43" t="s">
        <v>164</v>
      </c>
      <c r="B21" s="43" t="s">
        <v>173</v>
      </c>
      <c r="C21" s="43" t="s">
        <v>174</v>
      </c>
      <c r="D21" s="42" t="s">
        <v>175</v>
      </c>
    </row>
    <row r="22" spans="1:4">
      <c r="A22" s="43" t="s">
        <v>164</v>
      </c>
      <c r="B22" s="43" t="s">
        <v>176</v>
      </c>
      <c r="C22" s="43" t="s">
        <v>177</v>
      </c>
      <c r="D22" s="42" t="s">
        <v>178</v>
      </c>
    </row>
    <row r="23" spans="1:4">
      <c r="A23" s="42" t="s">
        <v>164</v>
      </c>
      <c r="B23" s="42" t="s">
        <v>179</v>
      </c>
      <c r="C23" s="42" t="s">
        <v>180</v>
      </c>
    </row>
    <row r="24" spans="1:4">
      <c r="A24" s="43" t="s">
        <v>181</v>
      </c>
      <c r="B24" s="43" t="s">
        <v>182</v>
      </c>
      <c r="C24" s="43" t="s">
        <v>183</v>
      </c>
    </row>
    <row r="25" spans="1:4">
      <c r="A25" s="42" t="s">
        <v>184</v>
      </c>
      <c r="B25" s="42" t="s">
        <v>185</v>
      </c>
      <c r="C25" s="42" t="s">
        <v>186</v>
      </c>
    </row>
    <row r="26" spans="1:4">
      <c r="A26" s="43" t="s">
        <v>184</v>
      </c>
      <c r="B26" s="43" t="s">
        <v>187</v>
      </c>
      <c r="C26" s="43" t="s">
        <v>188</v>
      </c>
    </row>
    <row r="27" spans="1:4">
      <c r="A27" s="43" t="s">
        <v>184</v>
      </c>
      <c r="B27" s="43" t="s">
        <v>189</v>
      </c>
      <c r="C27" s="43" t="s">
        <v>190</v>
      </c>
      <c r="D27" s="42" t="s">
        <v>175</v>
      </c>
    </row>
    <row r="28" spans="1:4">
      <c r="A28" s="43" t="s">
        <v>184</v>
      </c>
      <c r="B28" s="43" t="s">
        <v>191</v>
      </c>
      <c r="C28" s="43" t="s">
        <v>192</v>
      </c>
      <c r="D28" s="42" t="s">
        <v>193</v>
      </c>
    </row>
    <row r="29" spans="1:4">
      <c r="A29" s="43" t="s">
        <v>184</v>
      </c>
      <c r="B29" s="43" t="s">
        <v>194</v>
      </c>
      <c r="C29" s="43" t="s">
        <v>195</v>
      </c>
      <c r="D29" s="42" t="s">
        <v>196</v>
      </c>
    </row>
    <row r="30" spans="1:4">
      <c r="A30" s="42" t="s">
        <v>184</v>
      </c>
      <c r="B30" s="42" t="s">
        <v>197</v>
      </c>
      <c r="C30" s="42" t="s">
        <v>198</v>
      </c>
      <c r="D30" s="42" t="s">
        <v>199</v>
      </c>
    </row>
    <row r="31" spans="1:4">
      <c r="A31" s="43" t="s">
        <v>200</v>
      </c>
      <c r="B31" s="43" t="s">
        <v>201</v>
      </c>
      <c r="C31" s="43" t="s">
        <v>202</v>
      </c>
    </row>
    <row r="32" spans="1:4">
      <c r="A32" s="43" t="s">
        <v>164</v>
      </c>
      <c r="B32" s="43" t="s">
        <v>203</v>
      </c>
      <c r="C32" s="43" t="s">
        <v>204</v>
      </c>
    </row>
    <row r="33" spans="1:4">
      <c r="A33" s="43" t="s">
        <v>205</v>
      </c>
      <c r="B33" s="43" t="s">
        <v>206</v>
      </c>
      <c r="C33" s="43" t="s">
        <v>207</v>
      </c>
      <c r="D33" s="42" t="s">
        <v>208</v>
      </c>
    </row>
    <row r="34" spans="1:4">
      <c r="A34" s="42" t="s">
        <v>158</v>
      </c>
      <c r="B34" s="42" t="s">
        <v>209</v>
      </c>
      <c r="C34" s="42" t="s">
        <v>132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13"/>
  <sheetViews>
    <sheetView zoomScale="145" zoomScaleNormal="145" workbookViewId="0">
      <selection activeCell="B13" sqref="B13"/>
    </sheetView>
  </sheetViews>
  <sheetFormatPr defaultColWidth="8.14285714285714" defaultRowHeight="12.35" outlineLevelCol="2"/>
  <cols>
    <col min="1" max="1" width="33.1619047619048" customWidth="1"/>
    <col min="2" max="2" width="17.4190476190476" customWidth="1"/>
  </cols>
  <sheetData>
    <row r="1" spans="1:3">
      <c r="A1" t="s">
        <v>210</v>
      </c>
      <c r="B1" t="s">
        <v>211</v>
      </c>
      <c r="C1" t="s">
        <v>212</v>
      </c>
    </row>
    <row r="2" spans="1:3">
      <c r="A2" t="s">
        <v>213</v>
      </c>
      <c r="B2" t="s">
        <v>214</v>
      </c>
      <c r="C2">
        <f t="shared" ref="C2:C13" si="0">LEN(B2)</f>
        <v>13</v>
      </c>
    </row>
    <row r="3" spans="1:3">
      <c r="A3" t="s">
        <v>215</v>
      </c>
      <c r="B3" t="s">
        <v>216</v>
      </c>
      <c r="C3">
        <f t="shared" si="0"/>
        <v>15</v>
      </c>
    </row>
    <row r="4" spans="1:3">
      <c r="A4" t="s">
        <v>217</v>
      </c>
      <c r="B4" t="s">
        <v>218</v>
      </c>
      <c r="C4">
        <f t="shared" si="0"/>
        <v>15</v>
      </c>
    </row>
    <row r="5" spans="1:3">
      <c r="A5" t="s">
        <v>219</v>
      </c>
      <c r="B5" t="s">
        <v>220</v>
      </c>
      <c r="C5">
        <f t="shared" si="0"/>
        <v>11</v>
      </c>
    </row>
    <row r="6" spans="1:3">
      <c r="A6" t="s">
        <v>221</v>
      </c>
      <c r="B6" t="s">
        <v>222</v>
      </c>
      <c r="C6">
        <f t="shared" si="0"/>
        <v>12</v>
      </c>
    </row>
    <row r="7" spans="1:3">
      <c r="A7" t="s">
        <v>223</v>
      </c>
      <c r="B7" t="s">
        <v>224</v>
      </c>
      <c r="C7">
        <f t="shared" si="0"/>
        <v>13</v>
      </c>
    </row>
    <row r="8" spans="1:3">
      <c r="A8" t="s">
        <v>225</v>
      </c>
      <c r="B8" t="s">
        <v>226</v>
      </c>
      <c r="C8">
        <f t="shared" si="0"/>
        <v>14</v>
      </c>
    </row>
    <row r="9" spans="1:3">
      <c r="A9" t="s">
        <v>227</v>
      </c>
      <c r="B9" t="s">
        <v>228</v>
      </c>
      <c r="C9">
        <f t="shared" si="0"/>
        <v>15</v>
      </c>
    </row>
    <row r="10" spans="1:3">
      <c r="A10" t="s">
        <v>229</v>
      </c>
      <c r="B10" t="s">
        <v>230</v>
      </c>
      <c r="C10">
        <f t="shared" si="0"/>
        <v>10</v>
      </c>
    </row>
    <row r="11" spans="1:3">
      <c r="A11" t="s">
        <v>231</v>
      </c>
      <c r="B11" t="s">
        <v>232</v>
      </c>
      <c r="C11">
        <f t="shared" si="0"/>
        <v>12</v>
      </c>
    </row>
    <row r="12" spans="1:3">
      <c r="A12" t="s">
        <v>233</v>
      </c>
      <c r="B12" t="s">
        <v>234</v>
      </c>
      <c r="C12">
        <f t="shared" si="0"/>
        <v>14</v>
      </c>
    </row>
    <row r="13" spans="1:3">
      <c r="A13" t="s">
        <v>235</v>
      </c>
      <c r="B13" t="s">
        <v>236</v>
      </c>
      <c r="C13">
        <f t="shared" si="0"/>
        <v>14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6"/>
  <dimension ref="A1:I188"/>
  <sheetViews>
    <sheetView topLeftCell="A15" workbookViewId="0">
      <selection activeCell="D168" sqref="D168"/>
    </sheetView>
  </sheetViews>
  <sheetFormatPr defaultColWidth="8.71428571428571" defaultRowHeight="12.35"/>
  <cols>
    <col min="1" max="1" width="27.6857142857143" style="31" customWidth="1"/>
    <col min="2" max="2" width="37.3619047619048" style="31" customWidth="1"/>
    <col min="3" max="3" width="23.0190476190476" style="29" customWidth="1"/>
    <col min="4" max="4" width="37.3333333333333" style="29" customWidth="1"/>
    <col min="5" max="5" width="13.2190476190476" style="29" customWidth="1"/>
    <col min="6" max="7" width="8.71428571428571" style="31"/>
    <col min="8" max="8" width="15.8666666666667" style="31" customWidth="1"/>
    <col min="9" max="9" width="14.6190476190476" style="31" customWidth="1"/>
    <col min="10" max="10" width="25.5142857142857" style="31" customWidth="1"/>
    <col min="11" max="12" width="8.71428571428571" style="31"/>
    <col min="13" max="13" width="62.5333333333333" style="31" customWidth="1"/>
    <col min="14" max="16384" width="8.71428571428571" style="31"/>
  </cols>
  <sheetData>
    <row r="1" s="29" customFormat="1" ht="25.5" spans="2:9">
      <c r="B1" s="32" t="s">
        <v>237</v>
      </c>
      <c r="C1" s="32"/>
      <c r="D1" s="32"/>
      <c r="G1" s="32" t="s">
        <v>238</v>
      </c>
      <c r="H1" s="32"/>
      <c r="I1" s="32"/>
    </row>
    <row r="2" s="30" customFormat="1" ht="15" spans="2:9">
      <c r="B2" s="30" t="s">
        <v>239</v>
      </c>
      <c r="C2" s="30" t="s">
        <v>240</v>
      </c>
      <c r="D2" s="30" t="s">
        <v>241</v>
      </c>
      <c r="G2" s="33" t="s">
        <v>242</v>
      </c>
    </row>
    <row r="3" s="29" customFormat="1" spans="2:9">
      <c r="B3" s="29" t="s">
        <v>243</v>
      </c>
      <c r="C3" s="29" t="s">
        <v>244</v>
      </c>
      <c r="D3" s="29" t="s">
        <v>245</v>
      </c>
    </row>
    <row r="4" s="29" customFormat="1" spans="2:9">
      <c r="B4" s="29" t="s">
        <v>246</v>
      </c>
      <c r="C4" s="29" t="s">
        <v>247</v>
      </c>
      <c r="D4" s="29" t="s">
        <v>248</v>
      </c>
    </row>
    <row r="5" s="29" customFormat="1" spans="2:9">
      <c r="B5" s="29" t="s">
        <v>249</v>
      </c>
      <c r="C5" s="29" t="s">
        <v>250</v>
      </c>
      <c r="D5" s="29" t="s">
        <v>251</v>
      </c>
    </row>
    <row r="6" s="29" customFormat="1" spans="2:9">
      <c r="B6" s="29" t="s">
        <v>252</v>
      </c>
      <c r="C6" s="29" t="s">
        <v>253</v>
      </c>
      <c r="D6" s="29" t="s">
        <v>254</v>
      </c>
    </row>
    <row r="7" s="29" customFormat="1" spans="2:9">
      <c r="B7" s="29" t="s">
        <v>255</v>
      </c>
      <c r="C7" s="29" t="s">
        <v>256</v>
      </c>
      <c r="D7" s="29" t="s">
        <v>257</v>
      </c>
    </row>
    <row r="8" s="29" customFormat="1" spans="2:9">
      <c r="B8" s="29" t="s">
        <v>258</v>
      </c>
      <c r="C8" s="29" t="s">
        <v>259</v>
      </c>
      <c r="D8" s="29" t="s">
        <v>260</v>
      </c>
    </row>
    <row r="9" s="29" customFormat="1" spans="2:9">
      <c r="B9" s="29" t="s">
        <v>261</v>
      </c>
      <c r="C9" s="29" t="s">
        <v>262</v>
      </c>
      <c r="D9" s="29" t="s">
        <v>263</v>
      </c>
    </row>
    <row r="10" s="29" customFormat="1" spans="2:9">
      <c r="B10" s="29" t="s">
        <v>264</v>
      </c>
      <c r="C10" s="29" t="s">
        <v>265</v>
      </c>
      <c r="D10" s="29" t="s">
        <v>266</v>
      </c>
    </row>
    <row r="11" s="29" customFormat="1" spans="2:9">
      <c r="B11" s="29" t="s">
        <v>267</v>
      </c>
      <c r="C11" s="29" t="s">
        <v>268</v>
      </c>
      <c r="D11" s="29" t="s">
        <v>269</v>
      </c>
    </row>
    <row r="12" s="29" customFormat="1" spans="2:9">
      <c r="B12" s="29" t="s">
        <v>270</v>
      </c>
      <c r="C12" s="29" t="s">
        <v>271</v>
      </c>
      <c r="D12" s="29" t="s">
        <v>272</v>
      </c>
    </row>
    <row r="13" s="29" customFormat="1" spans="2:9">
      <c r="B13" s="29" t="s">
        <v>273</v>
      </c>
      <c r="C13" s="29" t="s">
        <v>274</v>
      </c>
      <c r="D13" s="29" t="s">
        <v>275</v>
      </c>
    </row>
    <row r="14" s="29" customFormat="1" spans="2:9">
      <c r="B14" s="29" t="s">
        <v>276</v>
      </c>
      <c r="C14" s="29" t="s">
        <v>277</v>
      </c>
      <c r="D14" s="29" t="s">
        <v>278</v>
      </c>
    </row>
    <row r="15" s="29" customFormat="1"/>
    <row r="16" s="29" customFormat="1"/>
    <row r="17" s="29" customFormat="1" ht="25.5" spans="1:6">
      <c r="A17" s="32" t="s">
        <v>279</v>
      </c>
      <c r="B17" s="32"/>
      <c r="C17" s="32"/>
      <c r="D17" s="32"/>
      <c r="E17" s="32"/>
      <c r="F17" s="32"/>
    </row>
    <row r="18" s="29" customFormat="1" ht="12.4" spans="1:6">
      <c r="A18" s="34" t="s">
        <v>280</v>
      </c>
      <c r="B18" s="35" t="s">
        <v>281</v>
      </c>
      <c r="C18" s="35" t="s">
        <v>282</v>
      </c>
      <c r="D18" s="35" t="s">
        <v>283</v>
      </c>
      <c r="E18" s="35" t="s">
        <v>284</v>
      </c>
      <c r="F18" s="30" t="s">
        <v>285</v>
      </c>
    </row>
    <row r="19" s="29" customFormat="1" ht="12.4" spans="1:6">
      <c r="B19" s="36" t="s">
        <v>286</v>
      </c>
      <c r="C19" s="36" t="s">
        <v>287</v>
      </c>
      <c r="D19" s="29"/>
      <c r="E19" s="37">
        <f>LEN(TYPE缩写表[[#This Row],[SHORT-TYPE]])</f>
        <v>8</v>
      </c>
      <c r="F19" s="38">
        <f>COUNTIFS(非皮卡压缩表[LONG-TYPE],TYPE缩写表[[#This Row],[LONG-TYPE]],非皮卡压缩表[TYPE],TYPE缩写表[[#This Row],[SHORT-TYPE]])</f>
        <v>0</v>
      </c>
    </row>
    <row r="20" s="29" customFormat="1" ht="12.4" spans="1:6">
      <c r="A20" s="31"/>
      <c r="B20" s="36" t="s">
        <v>288</v>
      </c>
      <c r="C20" s="29" t="s">
        <v>289</v>
      </c>
      <c r="D20" s="29"/>
      <c r="E20" s="37">
        <f>LEN(TYPE缩写表[[#This Row],[SHORT-TYPE]])</f>
        <v>7</v>
      </c>
      <c r="F20" s="38">
        <f>COUNTIFS(非皮卡压缩表[LONG-TYPE],TYPE缩写表[[#This Row],[LONG-TYPE]],非皮卡压缩表[TYPE],TYPE缩写表[[#This Row],[SHORT-TYPE]])</f>
        <v>0</v>
      </c>
    </row>
    <row r="21" s="29" customFormat="1" ht="12.4" spans="1:6">
      <c r="A21" s="31"/>
      <c r="B21" s="36" t="s">
        <v>290</v>
      </c>
      <c r="C21" s="29" t="s">
        <v>291</v>
      </c>
      <c r="D21" s="29"/>
      <c r="E21" s="37">
        <f>LEN(TYPE缩写表[[#This Row],[SHORT-TYPE]])</f>
        <v>7</v>
      </c>
      <c r="F21" s="38">
        <f>COUNTIFS(非皮卡压缩表[LONG-TYPE],TYPE缩写表[[#This Row],[LONG-TYPE]],非皮卡压缩表[TYPE],TYPE缩写表[[#This Row],[SHORT-TYPE]])</f>
        <v>0</v>
      </c>
    </row>
    <row r="22" s="29" customFormat="1" spans="1:6">
      <c r="B22" s="29" t="s">
        <v>292</v>
      </c>
      <c r="C22" s="29" t="s">
        <v>293</v>
      </c>
      <c r="D22" s="37"/>
      <c r="E22" s="37">
        <f>LEN(TYPE缩写表[[#This Row],[SHORT-TYPE]])</f>
        <v>15</v>
      </c>
      <c r="F22" s="37">
        <f>COUNTIFS(非皮卡压缩表[LONG-TYPE],TYPE缩写表[[#This Row],[LONG-TYPE]],非皮卡压缩表[TYPE],TYPE缩写表[[#This Row],[SHORT-TYPE]])</f>
        <v>0</v>
      </c>
    </row>
    <row r="23" s="29" customFormat="1" ht="12.4" spans="1:6">
      <c r="A23" s="31"/>
      <c r="B23" s="36" t="s">
        <v>294</v>
      </c>
      <c r="C23" s="29" t="s">
        <v>295</v>
      </c>
      <c r="D23" s="29"/>
      <c r="E23" s="37">
        <f>LEN(TYPE缩写表[[#This Row],[SHORT-TYPE]])</f>
        <v>7</v>
      </c>
      <c r="F23" s="38">
        <f>COUNTIFS(非皮卡压缩表[LONG-TYPE],TYPE缩写表[[#This Row],[LONG-TYPE]],非皮卡压缩表[TYPE],TYPE缩写表[[#This Row],[SHORT-TYPE]])</f>
        <v>0</v>
      </c>
    </row>
    <row r="24" s="29" customFormat="1" spans="1:6">
      <c r="A24" s="29" t="s">
        <v>296</v>
      </c>
      <c r="B24" s="29" t="s">
        <v>297</v>
      </c>
      <c r="C24" s="29" t="s">
        <v>298</v>
      </c>
      <c r="D24" s="37"/>
      <c r="E24" s="37">
        <f>LEN(TYPE缩写表[[#This Row],[SHORT-TYPE]])</f>
        <v>15</v>
      </c>
      <c r="F24" s="37">
        <f>COUNTIFS(非皮卡压缩表[LONG-TYPE],TYPE缩写表[[#This Row],[LONG-TYPE]],非皮卡压缩表[TYPE],TYPE缩写表[[#This Row],[SHORT-TYPE]])</f>
        <v>0</v>
      </c>
    </row>
    <row r="25" s="29" customFormat="1" spans="1:6">
      <c r="A25" s="29" t="s">
        <v>299</v>
      </c>
      <c r="B25" s="29" t="s">
        <v>300</v>
      </c>
      <c r="C25" s="29" t="s">
        <v>301</v>
      </c>
      <c r="D25" s="37"/>
      <c r="E25" s="37">
        <f>LEN(TYPE缩写表[[#This Row],[SHORT-TYPE]])</f>
        <v>17</v>
      </c>
      <c r="F25" s="37">
        <f>COUNTIFS(非皮卡压缩表[LONG-TYPE],TYPE缩写表[[#This Row],[LONG-TYPE]],非皮卡压缩表[TYPE],TYPE缩写表[[#This Row],[SHORT-TYPE]])</f>
        <v>0</v>
      </c>
    </row>
    <row r="26" s="29" customFormat="1" spans="1:6">
      <c r="A26" s="29" t="s">
        <v>302</v>
      </c>
      <c r="B26" s="29" t="s">
        <v>303</v>
      </c>
      <c r="C26" s="29" t="s">
        <v>304</v>
      </c>
      <c r="D26" s="37"/>
      <c r="E26" s="37">
        <f>LEN(TYPE缩写表[[#This Row],[SHORT-TYPE]])</f>
        <v>12</v>
      </c>
      <c r="F26" s="37">
        <f>COUNTIFS(非皮卡压缩表[LONG-TYPE],TYPE缩写表[[#This Row],[LONG-TYPE]],非皮卡压缩表[TYPE],TYPE缩写表[[#This Row],[SHORT-TYPE]])</f>
        <v>0</v>
      </c>
    </row>
    <row r="27" s="29" customFormat="1" ht="12.4" spans="1:6">
      <c r="A27" s="31" t="s">
        <v>305</v>
      </c>
      <c r="B27" s="39" t="s">
        <v>306</v>
      </c>
      <c r="C27" s="36" t="s">
        <v>307</v>
      </c>
      <c r="D27" s="29"/>
      <c r="E27" s="37">
        <f>LEN(TYPE缩写表[[#This Row],[SHORT-TYPE]])</f>
        <v>14</v>
      </c>
      <c r="F27" s="40">
        <f>COUNTIFS(非皮卡压缩表[LONG-TYPE],TYPE缩写表[[#This Row],[LONG-TYPE]],非皮卡压缩表[TYPE],TYPE缩写表[[#This Row],[SHORT-TYPE]])</f>
        <v>0</v>
      </c>
    </row>
    <row r="28" s="29" customFormat="1" spans="1:6">
      <c r="A28" s="29" t="s">
        <v>308</v>
      </c>
      <c r="B28" s="29" t="s">
        <v>309</v>
      </c>
      <c r="C28" s="29" t="s">
        <v>310</v>
      </c>
      <c r="D28" s="37" t="s">
        <v>311</v>
      </c>
      <c r="E28" s="37">
        <f>LEN(TYPE缩写表[[#This Row],[SHORT-TYPE]])</f>
        <v>17</v>
      </c>
      <c r="F28" s="37">
        <f>COUNTIFS(非皮卡压缩表[LONG-TYPE],TYPE缩写表[[#This Row],[LONG-TYPE]],非皮卡压缩表[TYPE],TYPE缩写表[[#This Row],[SHORT-TYPE]])</f>
        <v>0</v>
      </c>
    </row>
    <row r="29" s="29" customFormat="1" spans="1:6">
      <c r="A29" s="29" t="s">
        <v>299</v>
      </c>
      <c r="B29" s="29" t="s">
        <v>312</v>
      </c>
      <c r="C29" s="29" t="s">
        <v>313</v>
      </c>
      <c r="D29" s="37"/>
      <c r="E29" s="37">
        <f>LEN(TYPE缩写表[[#This Row],[SHORT-TYPE]])</f>
        <v>15</v>
      </c>
      <c r="F29" s="37">
        <f>COUNTIFS(非皮卡压缩表[LONG-TYPE],TYPE缩写表[[#This Row],[LONG-TYPE]],非皮卡压缩表[TYPE],TYPE缩写表[[#This Row],[SHORT-TYPE]])</f>
        <v>0</v>
      </c>
    </row>
    <row r="30" s="29" customFormat="1" spans="1:6">
      <c r="A30" s="29" t="s">
        <v>314</v>
      </c>
      <c r="B30" s="29" t="s">
        <v>315</v>
      </c>
      <c r="C30" s="29" t="s">
        <v>316</v>
      </c>
      <c r="D30" s="37" t="s">
        <v>317</v>
      </c>
      <c r="E30" s="37">
        <f>LEN(TYPE缩写表[[#This Row],[SHORT-TYPE]])</f>
        <v>13</v>
      </c>
      <c r="F30" s="37">
        <f>COUNTIFS(非皮卡压缩表[LONG-TYPE],TYPE缩写表[[#This Row],[LONG-TYPE]],非皮卡压缩表[TYPE],TYPE缩写表[[#This Row],[SHORT-TYPE]])</f>
        <v>0</v>
      </c>
    </row>
    <row r="31" s="29" customFormat="1" ht="12.4" spans="1:6">
      <c r="A31" s="31"/>
      <c r="B31" s="36" t="s">
        <v>318</v>
      </c>
      <c r="C31" s="29" t="s">
        <v>319</v>
      </c>
      <c r="D31" s="29"/>
      <c r="E31" s="37">
        <f>LEN(TYPE缩写表[[#This Row],[SHORT-TYPE]])</f>
        <v>9</v>
      </c>
      <c r="F31" s="38">
        <f>COUNTIFS(非皮卡压缩表[LONG-TYPE],TYPE缩写表[[#This Row],[LONG-TYPE]],非皮卡压缩表[TYPE],TYPE缩写表[[#This Row],[SHORT-TYPE]])</f>
        <v>0</v>
      </c>
    </row>
    <row r="32" s="29" customFormat="1" spans="1:6">
      <c r="A32" s="29" t="s">
        <v>320</v>
      </c>
      <c r="B32" s="29" t="s">
        <v>321</v>
      </c>
      <c r="C32" s="29" t="s">
        <v>258</v>
      </c>
      <c r="D32" s="37" t="s">
        <v>322</v>
      </c>
      <c r="E32" s="37">
        <f>LEN(TYPE缩写表[[#This Row],[SHORT-TYPE]])</f>
        <v>5</v>
      </c>
      <c r="F32" s="37">
        <f>COUNTIFS(非皮卡压缩表[LONG-TYPE],TYPE缩写表[[#This Row],[LONG-TYPE]],非皮卡压缩表[TYPE],TYPE缩写表[[#This Row],[SHORT-TYPE]])</f>
        <v>0</v>
      </c>
    </row>
    <row r="33" s="29" customFormat="1" spans="1:6">
      <c r="A33" s="29" t="s">
        <v>308</v>
      </c>
      <c r="B33" s="29" t="s">
        <v>323</v>
      </c>
      <c r="C33" s="29" t="s">
        <v>324</v>
      </c>
      <c r="D33" s="37"/>
      <c r="E33" s="37">
        <f>LEN(TYPE缩写表[[#This Row],[SHORT-TYPE]])</f>
        <v>15</v>
      </c>
      <c r="F33" s="37">
        <f>COUNTIFS(非皮卡压缩表[LONG-TYPE],TYPE缩写表[[#This Row],[LONG-TYPE]],非皮卡压缩表[TYPE],TYPE缩写表[[#This Row],[SHORT-TYPE]])</f>
        <v>0</v>
      </c>
    </row>
    <row r="34" s="29" customFormat="1" spans="1:6">
      <c r="A34" s="29" t="s">
        <v>325</v>
      </c>
      <c r="B34" s="29" t="s">
        <v>326</v>
      </c>
      <c r="C34" s="29" t="s">
        <v>327</v>
      </c>
      <c r="D34" s="37" t="s">
        <v>328</v>
      </c>
      <c r="E34" s="37">
        <f>LEN(TYPE缩写表[[#This Row],[SHORT-TYPE]])</f>
        <v>10</v>
      </c>
      <c r="F34" s="37">
        <f>COUNTIFS(非皮卡压缩表[LONG-TYPE],TYPE缩写表[[#This Row],[LONG-TYPE]],非皮卡压缩表[TYPE],TYPE缩写表[[#This Row],[SHORT-TYPE]])</f>
        <v>0</v>
      </c>
    </row>
    <row r="35" s="29" customFormat="1" ht="12.4" spans="1:6">
      <c r="A35" s="31" t="s">
        <v>329</v>
      </c>
      <c r="B35" s="39" t="s">
        <v>330</v>
      </c>
      <c r="C35" s="36" t="s">
        <v>331</v>
      </c>
      <c r="D35" s="29"/>
      <c r="E35" s="37">
        <f>LEN(TYPE缩写表[[#This Row],[SHORT-TYPE]])</f>
        <v>12</v>
      </c>
      <c r="F35" s="40">
        <f>COUNTIFS(非皮卡压缩表[LONG-TYPE],TYPE缩写表[[#This Row],[LONG-TYPE]],非皮卡压缩表[TYPE],TYPE缩写表[[#This Row],[SHORT-TYPE]])</f>
        <v>0</v>
      </c>
    </row>
    <row r="36" s="29" customFormat="1" ht="12.4" spans="1:6">
      <c r="A36" s="31" t="s">
        <v>332</v>
      </c>
      <c r="B36" s="39" t="s">
        <v>333</v>
      </c>
      <c r="C36" s="36" t="s">
        <v>334</v>
      </c>
      <c r="D36" s="29"/>
      <c r="E36" s="37">
        <f>LEN(TYPE缩写表[[#This Row],[SHORT-TYPE]])</f>
        <v>13</v>
      </c>
      <c r="F36" s="40">
        <f>COUNTIFS(非皮卡压缩表[LONG-TYPE],TYPE缩写表[[#This Row],[LONG-TYPE]],非皮卡压缩表[TYPE],TYPE缩写表[[#This Row],[SHORT-TYPE]])</f>
        <v>0</v>
      </c>
    </row>
    <row r="37" s="29" customFormat="1" ht="12.4" spans="1:6">
      <c r="A37" s="31" t="s">
        <v>299</v>
      </c>
      <c r="B37" s="39" t="s">
        <v>335</v>
      </c>
      <c r="C37" s="36" t="s">
        <v>336</v>
      </c>
      <c r="D37" s="29"/>
      <c r="E37" s="37">
        <f>LEN(TYPE缩写表[[#This Row],[SHORT-TYPE]])</f>
        <v>16</v>
      </c>
      <c r="F37" s="40">
        <f>COUNTIFS(非皮卡压缩表[LONG-TYPE],TYPE缩写表[[#This Row],[LONG-TYPE]],非皮卡压缩表[TYPE],TYPE缩写表[[#This Row],[SHORT-TYPE]])</f>
        <v>0</v>
      </c>
    </row>
    <row r="38" s="29" customFormat="1" ht="12.4" spans="1:6">
      <c r="A38" s="29" t="s">
        <v>337</v>
      </c>
      <c r="B38" s="36" t="s">
        <v>338</v>
      </c>
      <c r="C38" s="36" t="s">
        <v>339</v>
      </c>
      <c r="D38" s="29"/>
      <c r="E38" s="37">
        <f>LEN(TYPE缩写表[[#This Row],[SHORT-TYPE]])</f>
        <v>13</v>
      </c>
      <c r="F38" s="40">
        <f>COUNTIFS(非皮卡压缩表[LONG-TYPE],TYPE缩写表[[#This Row],[LONG-TYPE]],非皮卡压缩表[TYPE],TYPE缩写表[[#This Row],[SHORT-TYPE]])</f>
        <v>0</v>
      </c>
    </row>
    <row r="39" s="29" customFormat="1" spans="1:6">
      <c r="A39" s="29" t="s">
        <v>340</v>
      </c>
      <c r="B39" s="29" t="s">
        <v>341</v>
      </c>
      <c r="C39" s="29" t="s">
        <v>342</v>
      </c>
      <c r="D39" s="37"/>
      <c r="E39" s="37">
        <f>LEN(TYPE缩写表[[#This Row],[SHORT-TYPE]])</f>
        <v>13</v>
      </c>
      <c r="F39" s="37">
        <f>COUNTIFS(非皮卡压缩表[LONG-TYPE],TYPE缩写表[[#This Row],[LONG-TYPE]],非皮卡压缩表[TYPE],TYPE缩写表[[#This Row],[SHORT-TYPE]])</f>
        <v>0</v>
      </c>
    </row>
    <row r="40" s="29" customFormat="1" spans="1:6">
      <c r="A40" s="29" t="s">
        <v>340</v>
      </c>
      <c r="B40" s="29" t="s">
        <v>343</v>
      </c>
      <c r="C40" s="29" t="s">
        <v>344</v>
      </c>
      <c r="D40" s="37"/>
      <c r="E40" s="37">
        <f>LEN(TYPE缩写表[[#This Row],[SHORT-TYPE]])</f>
        <v>17</v>
      </c>
      <c r="F40" s="37">
        <f>COUNTIFS(非皮卡压缩表[LONG-TYPE],TYPE缩写表[[#This Row],[LONG-TYPE]],非皮卡压缩表[TYPE],TYPE缩写表[[#This Row],[SHORT-TYPE]])</f>
        <v>0</v>
      </c>
    </row>
    <row r="41" s="29" customFormat="1" ht="12.4" spans="1:6">
      <c r="A41" s="31"/>
      <c r="B41" s="36" t="s">
        <v>345</v>
      </c>
      <c r="C41" s="29" t="s">
        <v>345</v>
      </c>
      <c r="D41" s="29"/>
      <c r="E41" s="37">
        <f>LEN(TYPE缩写表[[#This Row],[SHORT-TYPE]])</f>
        <v>10</v>
      </c>
      <c r="F41" s="38">
        <f>COUNTIFS(非皮卡压缩表[LONG-TYPE],TYPE缩写表[[#This Row],[LONG-TYPE]],非皮卡压缩表[TYPE],TYPE缩写表[[#This Row],[SHORT-TYPE]])</f>
        <v>0</v>
      </c>
    </row>
    <row r="42" s="29" customFormat="1" spans="1:6">
      <c r="B42" s="29" t="s">
        <v>346</v>
      </c>
      <c r="C42" s="29" t="s">
        <v>347</v>
      </c>
      <c r="D42" s="37" t="s">
        <v>348</v>
      </c>
      <c r="E42" s="37">
        <f>LEN(TYPE缩写表[[#This Row],[SHORT-TYPE]])</f>
        <v>18</v>
      </c>
      <c r="F42" s="37">
        <f>COUNTIFS(非皮卡压缩表[LONG-TYPE],TYPE缩写表[[#This Row],[LONG-TYPE]],非皮卡压缩表[TYPE],TYPE缩写表[[#This Row],[SHORT-TYPE]])</f>
        <v>0</v>
      </c>
    </row>
    <row r="43" s="29" customFormat="1" ht="12.4" spans="1:6">
      <c r="A43" s="31" t="s">
        <v>349</v>
      </c>
      <c r="B43" s="39" t="s">
        <v>350</v>
      </c>
      <c r="C43" s="36" t="s">
        <v>351</v>
      </c>
      <c r="D43" s="29" t="s">
        <v>352</v>
      </c>
      <c r="E43" s="37">
        <f>LEN(TYPE缩写表[[#This Row],[SHORT-TYPE]])</f>
        <v>8</v>
      </c>
      <c r="F43" s="40">
        <f>COUNTIFS(非皮卡压缩表[LONG-TYPE],TYPE缩写表[[#This Row],[LONG-TYPE]],非皮卡压缩表[TYPE],TYPE缩写表[[#This Row],[SHORT-TYPE]])</f>
        <v>0</v>
      </c>
    </row>
    <row r="44" s="29" customFormat="1" ht="12.4" spans="1:6">
      <c r="A44" s="31" t="s">
        <v>353</v>
      </c>
      <c r="B44" s="39" t="s">
        <v>354</v>
      </c>
      <c r="C44" s="36" t="s">
        <v>355</v>
      </c>
      <c r="D44" s="29"/>
      <c r="E44" s="37">
        <f>LEN(TYPE缩写表[[#This Row],[SHORT-TYPE]])</f>
        <v>14</v>
      </c>
      <c r="F44" s="40">
        <f>COUNTIFS(非皮卡压缩表[LONG-TYPE],TYPE缩写表[[#This Row],[LONG-TYPE]],非皮卡压缩表[TYPE],TYPE缩写表[[#This Row],[SHORT-TYPE]])</f>
        <v>0</v>
      </c>
    </row>
    <row r="45" s="29" customFormat="1" ht="12.4" spans="1:6">
      <c r="A45" s="31" t="s">
        <v>356</v>
      </c>
      <c r="B45" s="39" t="s">
        <v>357</v>
      </c>
      <c r="C45" s="36" t="s">
        <v>358</v>
      </c>
      <c r="D45" s="29" t="s">
        <v>359</v>
      </c>
      <c r="E45" s="37">
        <f>LEN(TYPE缩写表[[#This Row],[SHORT-TYPE]])</f>
        <v>10</v>
      </c>
      <c r="F45" s="40">
        <f>COUNTIFS(非皮卡压缩表[LONG-TYPE],TYPE缩写表[[#This Row],[LONG-TYPE]],非皮卡压缩表[TYPE],TYPE缩写表[[#This Row],[SHORT-TYPE]])</f>
        <v>0</v>
      </c>
    </row>
    <row r="46" s="29" customFormat="1" ht="12.4" spans="1:6">
      <c r="A46" s="31" t="s">
        <v>360</v>
      </c>
      <c r="B46" s="39" t="s">
        <v>361</v>
      </c>
      <c r="C46" s="36" t="s">
        <v>362</v>
      </c>
      <c r="D46" s="29" t="s">
        <v>363</v>
      </c>
      <c r="E46" s="37">
        <f>LEN(TYPE缩写表[[#This Row],[SHORT-TYPE]])</f>
        <v>11</v>
      </c>
      <c r="F46" s="40">
        <f>COUNTIFS(非皮卡压缩表[LONG-TYPE],TYPE缩写表[[#This Row],[LONG-TYPE]],非皮卡压缩表[TYPE],TYPE缩写表[[#This Row],[SHORT-TYPE]])</f>
        <v>0</v>
      </c>
    </row>
    <row r="47" s="29" customFormat="1" ht="12.4" spans="1:6">
      <c r="A47" s="31" t="s">
        <v>364</v>
      </c>
      <c r="B47" s="39" t="s">
        <v>365</v>
      </c>
      <c r="C47" s="36" t="s">
        <v>366</v>
      </c>
      <c r="D47" s="29" t="s">
        <v>367</v>
      </c>
      <c r="E47" s="37">
        <f>LEN(TYPE缩写表[[#This Row],[SHORT-TYPE]])</f>
        <v>9</v>
      </c>
      <c r="F47" s="40">
        <f>COUNTIFS(非皮卡压缩表[LONG-TYPE],TYPE缩写表[[#This Row],[LONG-TYPE]],非皮卡压缩表[TYPE],TYPE缩写表[[#This Row],[SHORT-TYPE]])</f>
        <v>0</v>
      </c>
    </row>
    <row r="48" s="29" customFormat="1" ht="12.4" spans="1:6">
      <c r="A48" s="31" t="s">
        <v>368</v>
      </c>
      <c r="B48" s="39" t="s">
        <v>369</v>
      </c>
      <c r="C48" s="36" t="s">
        <v>370</v>
      </c>
      <c r="D48" s="29" t="s">
        <v>371</v>
      </c>
      <c r="E48" s="37">
        <f>LEN(TYPE缩写表[[#This Row],[SHORT-TYPE]])</f>
        <v>9</v>
      </c>
      <c r="F48" s="40">
        <f>COUNTIFS(非皮卡压缩表[LONG-TYPE],TYPE缩写表[[#This Row],[LONG-TYPE]],非皮卡压缩表[TYPE],TYPE缩写表[[#This Row],[SHORT-TYPE]])</f>
        <v>0</v>
      </c>
    </row>
    <row r="49" s="29" customFormat="1" ht="12.4" spans="1:6">
      <c r="A49" s="29" t="s">
        <v>372</v>
      </c>
      <c r="B49" s="36" t="s">
        <v>373</v>
      </c>
      <c r="C49" s="36" t="s">
        <v>374</v>
      </c>
      <c r="D49" s="29" t="s">
        <v>375</v>
      </c>
      <c r="E49" s="37">
        <f>LEN(TYPE缩写表[[#This Row],[SHORT-TYPE]])</f>
        <v>8</v>
      </c>
      <c r="F49" s="40">
        <f>COUNTIFS(非皮卡压缩表[LONG-TYPE],TYPE缩写表[[#This Row],[LONG-TYPE]],非皮卡压缩表[TYPE],TYPE缩写表[[#This Row],[SHORT-TYPE]])</f>
        <v>0</v>
      </c>
    </row>
    <row r="50" s="29" customFormat="1" ht="12.4" spans="1:6">
      <c r="A50" s="31" t="s">
        <v>376</v>
      </c>
      <c r="B50" s="39" t="s">
        <v>377</v>
      </c>
      <c r="C50" s="36" t="s">
        <v>378</v>
      </c>
      <c r="D50" s="29" t="s">
        <v>379</v>
      </c>
      <c r="E50" s="37">
        <f>LEN(TYPE缩写表[[#This Row],[SHORT-TYPE]])</f>
        <v>8</v>
      </c>
      <c r="F50" s="40">
        <f>COUNTIFS(非皮卡压缩表[LONG-TYPE],TYPE缩写表[[#This Row],[LONG-TYPE]],非皮卡压缩表[TYPE],TYPE缩写表[[#This Row],[SHORT-TYPE]])</f>
        <v>0</v>
      </c>
    </row>
    <row r="51" s="29" customFormat="1" ht="12.4" spans="1:6">
      <c r="A51" s="31" t="s">
        <v>380</v>
      </c>
      <c r="B51" s="39" t="s">
        <v>381</v>
      </c>
      <c r="C51" s="36" t="s">
        <v>382</v>
      </c>
      <c r="D51" s="29" t="s">
        <v>383</v>
      </c>
      <c r="E51" s="37">
        <f>LEN(TYPE缩写表[[#This Row],[SHORT-TYPE]])</f>
        <v>9</v>
      </c>
      <c r="F51" s="40">
        <f>COUNTIFS(非皮卡压缩表[LONG-TYPE],TYPE缩写表[[#This Row],[LONG-TYPE]],非皮卡压缩表[TYPE],TYPE缩写表[[#This Row],[SHORT-TYPE]])</f>
        <v>0</v>
      </c>
    </row>
    <row r="52" s="29" customFormat="1" ht="12.4" spans="1:6">
      <c r="A52" s="31" t="s">
        <v>384</v>
      </c>
      <c r="B52" s="39" t="s">
        <v>385</v>
      </c>
      <c r="C52" s="36" t="s">
        <v>386</v>
      </c>
      <c r="D52" s="29" t="s">
        <v>387</v>
      </c>
      <c r="E52" s="37">
        <f>LEN(TYPE缩写表[[#This Row],[SHORT-TYPE]])</f>
        <v>13</v>
      </c>
      <c r="F52" s="40">
        <f>COUNTIFS(非皮卡压缩表[LONG-TYPE],TYPE缩写表[[#This Row],[LONG-TYPE]],非皮卡压缩表[TYPE],TYPE缩写表[[#This Row],[SHORT-TYPE]])</f>
        <v>0</v>
      </c>
    </row>
    <row r="53" s="29" customFormat="1" ht="12.4" spans="1:6">
      <c r="A53" s="31"/>
      <c r="B53" s="39" t="s">
        <v>388</v>
      </c>
      <c r="C53" s="36" t="s">
        <v>389</v>
      </c>
      <c r="D53" s="29" t="s">
        <v>390</v>
      </c>
      <c r="E53" s="37">
        <f>LEN(TYPE缩写表[[#This Row],[SHORT-TYPE]])</f>
        <v>11</v>
      </c>
      <c r="F53" s="40">
        <f>COUNTIFS(非皮卡压缩表[LONG-TYPE],TYPE缩写表[[#This Row],[LONG-TYPE]],非皮卡压缩表[TYPE],TYPE缩写表[[#This Row],[SHORT-TYPE]])</f>
        <v>0</v>
      </c>
    </row>
    <row r="54" s="29" customFormat="1" ht="12.4" spans="1:6">
      <c r="A54" s="31" t="s">
        <v>391</v>
      </c>
      <c r="B54" s="39" t="s">
        <v>392</v>
      </c>
      <c r="C54" s="36" t="s">
        <v>393</v>
      </c>
      <c r="D54" s="29" t="s">
        <v>394</v>
      </c>
      <c r="E54" s="37">
        <f>LEN(TYPE缩写表[[#This Row],[SHORT-TYPE]])</f>
        <v>11</v>
      </c>
      <c r="F54" s="40">
        <f>COUNTIFS(非皮卡压缩表[LONG-TYPE],TYPE缩写表[[#This Row],[LONG-TYPE]],非皮卡压缩表[TYPE],TYPE缩写表[[#This Row],[SHORT-TYPE]])</f>
        <v>0</v>
      </c>
    </row>
    <row r="55" s="29" customFormat="1" ht="12.4" spans="1:6">
      <c r="A55" s="31" t="s">
        <v>395</v>
      </c>
      <c r="B55" s="39" t="s">
        <v>396</v>
      </c>
      <c r="C55" s="36" t="s">
        <v>397</v>
      </c>
      <c r="D55" s="29" t="s">
        <v>398</v>
      </c>
      <c r="E55" s="37">
        <f>LEN(TYPE缩写表[[#This Row],[SHORT-TYPE]])</f>
        <v>10</v>
      </c>
      <c r="F55" s="40">
        <f>COUNTIFS(非皮卡压缩表[LONG-TYPE],TYPE缩写表[[#This Row],[LONG-TYPE]],非皮卡压缩表[TYPE],TYPE缩写表[[#This Row],[SHORT-TYPE]])</f>
        <v>0</v>
      </c>
    </row>
    <row r="56" s="29" customFormat="1" ht="12.4" spans="1:6">
      <c r="A56" s="31" t="s">
        <v>399</v>
      </c>
      <c r="B56" s="39" t="s">
        <v>400</v>
      </c>
      <c r="C56" s="36" t="s">
        <v>401</v>
      </c>
      <c r="D56" s="29" t="s">
        <v>402</v>
      </c>
      <c r="E56" s="37">
        <f>LEN(TYPE缩写表[[#This Row],[SHORT-TYPE]])</f>
        <v>12</v>
      </c>
      <c r="F56" s="40">
        <f>COUNTIFS(非皮卡压缩表[LONG-TYPE],TYPE缩写表[[#This Row],[LONG-TYPE]],非皮卡压缩表[TYPE],TYPE缩写表[[#This Row],[SHORT-TYPE]])</f>
        <v>0</v>
      </c>
    </row>
    <row r="57" s="29" customFormat="1" ht="12.4" spans="1:6">
      <c r="A57" s="31"/>
      <c r="B57" s="39" t="s">
        <v>403</v>
      </c>
      <c r="C57" s="36" t="s">
        <v>404</v>
      </c>
      <c r="D57" s="29" t="s">
        <v>405</v>
      </c>
      <c r="E57" s="37">
        <f>LEN(TYPE缩写表[[#This Row],[SHORT-TYPE]])</f>
        <v>13</v>
      </c>
      <c r="F57" s="40">
        <f>COUNTIFS(非皮卡压缩表[LONG-TYPE],TYPE缩写表[[#This Row],[LONG-TYPE]],非皮卡压缩表[TYPE],TYPE缩写表[[#This Row],[SHORT-TYPE]])</f>
        <v>0</v>
      </c>
    </row>
    <row r="58" s="29" customFormat="1" ht="12.4" spans="1:6">
      <c r="A58" s="31" t="s">
        <v>406</v>
      </c>
      <c r="B58" s="39" t="s">
        <v>407</v>
      </c>
      <c r="C58" s="36" t="s">
        <v>408</v>
      </c>
      <c r="D58" s="29" t="s">
        <v>409</v>
      </c>
      <c r="E58" s="37">
        <f>LEN(TYPE缩写表[[#This Row],[SHORT-TYPE]])</f>
        <v>14</v>
      </c>
      <c r="F58" s="40">
        <f>COUNTIFS(非皮卡压缩表[LONG-TYPE],TYPE缩写表[[#This Row],[LONG-TYPE]],非皮卡压缩表[TYPE],TYPE缩写表[[#This Row],[SHORT-TYPE]])</f>
        <v>0</v>
      </c>
    </row>
    <row r="59" s="29" customFormat="1" ht="12.4" spans="1:6">
      <c r="A59" s="31" t="s">
        <v>410</v>
      </c>
      <c r="B59" s="39" t="s">
        <v>411</v>
      </c>
      <c r="C59" s="36" t="s">
        <v>412</v>
      </c>
      <c r="D59" s="29" t="s">
        <v>413</v>
      </c>
      <c r="E59" s="37">
        <f>LEN(TYPE缩写表[[#This Row],[SHORT-TYPE]])</f>
        <v>7</v>
      </c>
      <c r="F59" s="40">
        <f>COUNTIFS(非皮卡压缩表[LONG-TYPE],TYPE缩写表[[#This Row],[LONG-TYPE]],非皮卡压缩表[TYPE],TYPE缩写表[[#This Row],[SHORT-TYPE]])</f>
        <v>0</v>
      </c>
    </row>
    <row r="60" s="29" customFormat="1" ht="12.4" spans="1:6">
      <c r="A60" s="31" t="s">
        <v>414</v>
      </c>
      <c r="B60" s="39" t="s">
        <v>415</v>
      </c>
      <c r="C60" s="36" t="s">
        <v>416</v>
      </c>
      <c r="D60" s="29" t="s">
        <v>417</v>
      </c>
      <c r="E60" s="37">
        <f>LEN(TYPE缩写表[[#This Row],[SHORT-TYPE]])</f>
        <v>11</v>
      </c>
      <c r="F60" s="40">
        <f>COUNTIFS(非皮卡压缩表[LONG-TYPE],TYPE缩写表[[#This Row],[LONG-TYPE]],非皮卡压缩表[TYPE],TYPE缩写表[[#This Row],[SHORT-TYPE]])</f>
        <v>0</v>
      </c>
    </row>
    <row r="61" s="29" customFormat="1" spans="1:6">
      <c r="A61" s="29" t="s">
        <v>418</v>
      </c>
      <c r="B61" s="29" t="s">
        <v>419</v>
      </c>
      <c r="C61" s="29" t="s">
        <v>420</v>
      </c>
      <c r="D61" s="37"/>
      <c r="E61" s="37">
        <f>LEN(TYPE缩写表[[#This Row],[SHORT-TYPE]])</f>
        <v>15</v>
      </c>
      <c r="F61" s="37">
        <f>COUNTIFS(非皮卡压缩表[LONG-TYPE],TYPE缩写表[[#This Row],[LONG-TYPE]],非皮卡压缩表[TYPE],TYPE缩写表[[#This Row],[SHORT-TYPE]])</f>
        <v>0</v>
      </c>
    </row>
    <row r="62" s="29" customFormat="1" spans="1:6">
      <c r="B62" s="29" t="s">
        <v>421</v>
      </c>
      <c r="C62" s="29" t="s">
        <v>422</v>
      </c>
      <c r="D62" s="37"/>
      <c r="E62" s="37">
        <f>LEN(TYPE缩写表[[#This Row],[SHORT-TYPE]])</f>
        <v>18</v>
      </c>
      <c r="F62" s="37">
        <f>COUNTIFS(非皮卡压缩表[LONG-TYPE],TYPE缩写表[[#This Row],[LONG-TYPE]],非皮卡压缩表[TYPE],TYPE缩写表[[#This Row],[SHORT-TYPE]])</f>
        <v>0</v>
      </c>
    </row>
    <row r="63" s="29" customFormat="1" spans="1:6">
      <c r="A63" s="29" t="s">
        <v>296</v>
      </c>
      <c r="B63" s="29" t="s">
        <v>423</v>
      </c>
      <c r="C63" s="29" t="s">
        <v>424</v>
      </c>
      <c r="D63" s="37" t="s">
        <v>425</v>
      </c>
      <c r="E63" s="37">
        <f>LEN(TYPE缩写表[[#This Row],[SHORT-TYPE]])</f>
        <v>17</v>
      </c>
      <c r="F63" s="37">
        <f>COUNTIFS(非皮卡压缩表[LONG-TYPE],TYPE缩写表[[#This Row],[LONG-TYPE]],非皮卡压缩表[TYPE],TYPE缩写表[[#This Row],[SHORT-TYPE]])</f>
        <v>0</v>
      </c>
    </row>
    <row r="64" s="29" customFormat="1" spans="1:6">
      <c r="A64" s="29" t="s">
        <v>426</v>
      </c>
      <c r="B64" s="29" t="s">
        <v>427</v>
      </c>
      <c r="C64" s="29" t="s">
        <v>428</v>
      </c>
      <c r="D64" s="37" t="s">
        <v>429</v>
      </c>
      <c r="E64" s="37">
        <f>LEN(TYPE缩写表[[#This Row],[SHORT-TYPE]])</f>
        <v>17</v>
      </c>
      <c r="F64" s="37">
        <f>COUNTIFS(非皮卡压缩表[LONG-TYPE],TYPE缩写表[[#This Row],[LONG-TYPE]],非皮卡压缩表[TYPE],TYPE缩写表[[#This Row],[SHORT-TYPE]])</f>
        <v>0</v>
      </c>
    </row>
    <row r="65" s="29" customFormat="1" spans="1:6">
      <c r="A65" s="29" t="s">
        <v>430</v>
      </c>
      <c r="B65" s="29" t="s">
        <v>431</v>
      </c>
      <c r="C65" s="29" t="s">
        <v>432</v>
      </c>
      <c r="D65" s="29"/>
      <c r="E65" s="37">
        <f>LEN(TYPE缩写表[[#This Row],[SHORT-TYPE]])</f>
        <v>14</v>
      </c>
      <c r="F65" s="37">
        <f>COUNTIFS(非皮卡压缩表[LONG-TYPE],TYPE缩写表[[#This Row],[LONG-TYPE]],非皮卡压缩表[TYPE],TYPE缩写表[[#This Row],[SHORT-TYPE]])</f>
        <v>0</v>
      </c>
    </row>
    <row r="66" s="29" customFormat="1" spans="1:6">
      <c r="A66" s="29" t="s">
        <v>433</v>
      </c>
      <c r="B66" s="29" t="s">
        <v>434</v>
      </c>
      <c r="C66" s="29" t="s">
        <v>435</v>
      </c>
      <c r="D66" s="37" t="s">
        <v>436</v>
      </c>
      <c r="E66" s="37">
        <f>LEN(TYPE缩写表[[#This Row],[SHORT-TYPE]])</f>
        <v>14</v>
      </c>
      <c r="F66" s="37">
        <f>COUNTIFS(非皮卡压缩表[LONG-TYPE],TYPE缩写表[[#This Row],[LONG-TYPE]],非皮卡压缩表[TYPE],TYPE缩写表[[#This Row],[SHORT-TYPE]])</f>
        <v>0</v>
      </c>
    </row>
    <row r="67" s="29" customFormat="1" spans="1:6">
      <c r="A67" s="29" t="s">
        <v>437</v>
      </c>
      <c r="B67" s="29" t="s">
        <v>438</v>
      </c>
      <c r="C67" s="29" t="s">
        <v>439</v>
      </c>
      <c r="D67" s="37"/>
      <c r="E67" s="37">
        <f>LEN(TYPE缩写表[[#This Row],[SHORT-TYPE]])</f>
        <v>14</v>
      </c>
      <c r="F67" s="37">
        <f>COUNTIFS(非皮卡压缩表[LONG-TYPE],TYPE缩写表[[#This Row],[LONG-TYPE]],非皮卡压缩表[TYPE],TYPE缩写表[[#This Row],[SHORT-TYPE]])</f>
        <v>0</v>
      </c>
    </row>
    <row r="68" s="29" customFormat="1" spans="1:6">
      <c r="A68" s="29" t="s">
        <v>440</v>
      </c>
      <c r="B68" s="29" t="s">
        <v>441</v>
      </c>
      <c r="C68" s="29" t="s">
        <v>442</v>
      </c>
      <c r="D68" s="37"/>
      <c r="E68" s="37">
        <f>LEN(TYPE缩写表[[#This Row],[SHORT-TYPE]])</f>
        <v>15</v>
      </c>
      <c r="F68" s="37">
        <f>COUNTIFS(非皮卡压缩表[LONG-TYPE],TYPE缩写表[[#This Row],[LONG-TYPE]],非皮卡压缩表[TYPE],TYPE缩写表[[#This Row],[SHORT-TYPE]])</f>
        <v>0</v>
      </c>
    </row>
    <row r="69" s="29" customFormat="1" spans="1:6">
      <c r="B69" s="29" t="s">
        <v>443</v>
      </c>
      <c r="C69" s="29" t="s">
        <v>444</v>
      </c>
      <c r="D69" s="37"/>
      <c r="E69" s="37">
        <f>LEN(TYPE缩写表[[#This Row],[SHORT-TYPE]])</f>
        <v>9</v>
      </c>
      <c r="F69" s="37">
        <f>COUNTIFS(非皮卡压缩表[LONG-TYPE],TYPE缩写表[[#This Row],[LONG-TYPE]],非皮卡压缩表[TYPE],TYPE缩写表[[#This Row],[SHORT-TYPE]])</f>
        <v>0</v>
      </c>
    </row>
    <row r="70" s="29" customFormat="1" spans="1:6">
      <c r="A70" s="29" t="s">
        <v>302</v>
      </c>
      <c r="B70" s="29" t="s">
        <v>445</v>
      </c>
      <c r="C70" s="29" t="s">
        <v>446</v>
      </c>
      <c r="D70" s="37" t="s">
        <v>447</v>
      </c>
      <c r="E70" s="37">
        <f>LEN(TYPE缩写表[[#This Row],[SHORT-TYPE]])</f>
        <v>17</v>
      </c>
      <c r="F70" s="37">
        <f>COUNTIFS(非皮卡压缩表[LONG-TYPE],TYPE缩写表[[#This Row],[LONG-TYPE]],非皮卡压缩表[TYPE],TYPE缩写表[[#This Row],[SHORT-TYPE]])</f>
        <v>0</v>
      </c>
    </row>
    <row r="71" s="29" customFormat="1" ht="12.4" spans="1:6">
      <c r="A71" s="31" t="s">
        <v>448</v>
      </c>
      <c r="B71" s="39" t="s">
        <v>449</v>
      </c>
      <c r="C71" s="36" t="s">
        <v>450</v>
      </c>
      <c r="D71" s="29"/>
      <c r="E71" s="37">
        <f>LEN(TYPE缩写表[[#This Row],[SHORT-TYPE]])</f>
        <v>10</v>
      </c>
      <c r="F71" s="40">
        <f>COUNTIFS(非皮卡压缩表[LONG-TYPE],TYPE缩写表[[#This Row],[LONG-TYPE]],非皮卡压缩表[TYPE],TYPE缩写表[[#This Row],[SHORT-TYPE]])</f>
        <v>0</v>
      </c>
    </row>
    <row r="72" s="29" customFormat="1" spans="1:6">
      <c r="A72" s="29" t="s">
        <v>329</v>
      </c>
      <c r="B72" s="29" t="s">
        <v>451</v>
      </c>
      <c r="C72" s="29" t="s">
        <v>452</v>
      </c>
      <c r="D72" s="37"/>
      <c r="E72" s="37">
        <f>LEN(TYPE缩写表[[#This Row],[SHORT-TYPE]])</f>
        <v>14</v>
      </c>
      <c r="F72" s="37">
        <f>COUNTIFS(非皮卡压缩表[LONG-TYPE],TYPE缩写表[[#This Row],[LONG-TYPE]],非皮卡压缩表[TYPE],TYPE缩写表[[#This Row],[SHORT-TYPE]])</f>
        <v>0</v>
      </c>
    </row>
    <row r="73" s="31" customFormat="1" spans="1:6">
      <c r="A73" s="29" t="s">
        <v>453</v>
      </c>
      <c r="B73" s="29" t="s">
        <v>454</v>
      </c>
      <c r="C73" s="29" t="s">
        <v>455</v>
      </c>
      <c r="D73" s="37"/>
      <c r="E73" s="37">
        <f>LEN(TYPE缩写表[[#This Row],[SHORT-TYPE]])</f>
        <v>12</v>
      </c>
      <c r="F73" s="37">
        <f>COUNTIFS(非皮卡压缩表[LONG-TYPE],TYPE缩写表[[#This Row],[LONG-TYPE]],非皮卡压缩表[TYPE],TYPE缩写表[[#This Row],[SHORT-TYPE]])</f>
        <v>0</v>
      </c>
    </row>
    <row r="74" s="31" customFormat="1" spans="1:6">
      <c r="A74" s="29" t="s">
        <v>456</v>
      </c>
      <c r="B74" s="29" t="s">
        <v>457</v>
      </c>
      <c r="C74" s="29" t="s">
        <v>458</v>
      </c>
      <c r="D74" s="37"/>
      <c r="E74" s="37">
        <f>LEN(TYPE缩写表[[#This Row],[SHORT-TYPE]])</f>
        <v>13</v>
      </c>
      <c r="F74" s="41">
        <f>COUNTIFS(非皮卡压缩表[LONG-TYPE],TYPE缩写表[[#This Row],[LONG-TYPE]],非皮卡压缩表[TYPE],TYPE缩写表[[#This Row],[SHORT-TYPE]])</f>
        <v>0</v>
      </c>
    </row>
    <row r="75" s="31" customFormat="1" spans="1:6">
      <c r="A75" s="29" t="s">
        <v>459</v>
      </c>
      <c r="B75" s="29" t="s">
        <v>460</v>
      </c>
      <c r="C75" s="29" t="s">
        <v>461</v>
      </c>
      <c r="D75" s="37"/>
      <c r="E75" s="37">
        <f>LEN(TYPE缩写表[[#This Row],[SHORT-TYPE]])</f>
        <v>10</v>
      </c>
      <c r="F75" s="37">
        <f>COUNTIFS(非皮卡压缩表[LONG-TYPE],TYPE缩写表[[#This Row],[LONG-TYPE]],非皮卡压缩表[TYPE],TYPE缩写表[[#This Row],[SHORT-TYPE]])</f>
        <v>0</v>
      </c>
    </row>
    <row r="76" s="31" customFormat="1" spans="1:6">
      <c r="A76" s="29" t="s">
        <v>462</v>
      </c>
      <c r="B76" s="29" t="s">
        <v>463</v>
      </c>
      <c r="C76" s="29" t="s">
        <v>464</v>
      </c>
      <c r="D76" s="37"/>
      <c r="E76" s="37">
        <f>LEN(TYPE缩写表[[#This Row],[SHORT-TYPE]])</f>
        <v>16</v>
      </c>
      <c r="F76" s="37">
        <f>COUNTIFS(非皮卡压缩表[LONG-TYPE],TYPE缩写表[[#This Row],[LONG-TYPE]],非皮卡压缩表[TYPE],TYPE缩写表[[#This Row],[SHORT-TYPE]])</f>
        <v>0</v>
      </c>
    </row>
    <row r="77" s="31" customFormat="1" spans="1:6">
      <c r="A77" s="29" t="s">
        <v>465</v>
      </c>
      <c r="B77" s="29" t="s">
        <v>466</v>
      </c>
      <c r="C77" s="29" t="s">
        <v>467</v>
      </c>
      <c r="D77" s="37" t="s">
        <v>468</v>
      </c>
      <c r="E77" s="37">
        <f>LEN(TYPE缩写表[[#This Row],[SHORT-TYPE]])</f>
        <v>9</v>
      </c>
      <c r="F77" s="37">
        <f>COUNTIFS(非皮卡压缩表[LONG-TYPE],TYPE缩写表[[#This Row],[LONG-TYPE]],非皮卡压缩表[TYPE],TYPE缩写表[[#This Row],[SHORT-TYPE]])</f>
        <v>0</v>
      </c>
    </row>
    <row r="78" s="31" customFormat="1" spans="1:6">
      <c r="A78" s="29" t="s">
        <v>469</v>
      </c>
      <c r="B78" s="29" t="s">
        <v>470</v>
      </c>
      <c r="C78" s="29" t="s">
        <v>471</v>
      </c>
      <c r="D78" s="37"/>
      <c r="E78" s="37">
        <f>LEN(TYPE缩写表[[#This Row],[SHORT-TYPE]])</f>
        <v>11</v>
      </c>
      <c r="F78" s="37">
        <f>COUNTIFS(非皮卡压缩表[LONG-TYPE],TYPE缩写表[[#This Row],[LONG-TYPE]],非皮卡压缩表[TYPE],TYPE缩写表[[#This Row],[SHORT-TYPE]])</f>
        <v>0</v>
      </c>
    </row>
    <row r="79" spans="1:6">
      <c r="A79" s="29" t="s">
        <v>472</v>
      </c>
      <c r="B79" s="29" t="s">
        <v>473</v>
      </c>
      <c r="C79" s="29" t="s">
        <v>474</v>
      </c>
      <c r="D79" s="37"/>
      <c r="E79" s="37">
        <f>LEN(TYPE缩写表[[#This Row],[SHORT-TYPE]])</f>
        <v>10</v>
      </c>
      <c r="F79" s="37">
        <f>COUNTIFS(非皮卡压缩表[LONG-TYPE],TYPE缩写表[[#This Row],[LONG-TYPE]],非皮卡压缩表[TYPE],TYPE缩写表[[#This Row],[SHORT-TYPE]])</f>
        <v>0</v>
      </c>
    </row>
    <row r="80" spans="1:6">
      <c r="A80" s="29" t="s">
        <v>475</v>
      </c>
      <c r="B80" s="29" t="s">
        <v>476</v>
      </c>
      <c r="C80" s="29" t="s">
        <v>477</v>
      </c>
      <c r="D80" s="37"/>
      <c r="E80" s="37">
        <f>LEN(TYPE缩写表[[#This Row],[SHORT-TYPE]])</f>
        <v>12</v>
      </c>
      <c r="F80" s="37">
        <f>COUNTIFS(非皮卡压缩表[LONG-TYPE],TYPE缩写表[[#This Row],[LONG-TYPE]],非皮卡压缩表[TYPE],TYPE缩写表[[#This Row],[SHORT-TYPE]])</f>
        <v>0</v>
      </c>
    </row>
    <row r="81" ht="12.4" spans="1:6">
      <c r="A81" s="31" t="s">
        <v>478</v>
      </c>
      <c r="B81" s="39" t="s">
        <v>479</v>
      </c>
      <c r="C81" s="36" t="s">
        <v>480</v>
      </c>
      <c r="E81" s="37">
        <f>LEN(TYPE缩写表[[#This Row],[SHORT-TYPE]])</f>
        <v>10</v>
      </c>
      <c r="F81" s="40">
        <f>COUNTIFS(非皮卡压缩表[LONG-TYPE],TYPE缩写表[[#This Row],[LONG-TYPE]],非皮卡压缩表[TYPE],TYPE缩写表[[#This Row],[SHORT-TYPE]])</f>
        <v>0</v>
      </c>
    </row>
    <row r="82" ht="12.4" spans="1:6">
      <c r="A82" s="31" t="s">
        <v>481</v>
      </c>
      <c r="B82" s="39" t="s">
        <v>482</v>
      </c>
      <c r="C82" s="36" t="s">
        <v>483</v>
      </c>
      <c r="D82" s="29" t="s">
        <v>484</v>
      </c>
      <c r="E82" s="37">
        <f>LEN(TYPE缩写表[[#This Row],[SHORT-TYPE]])</f>
        <v>9</v>
      </c>
      <c r="F82" s="40">
        <f>COUNTIFS(非皮卡压缩表[LONG-TYPE],TYPE缩写表[[#This Row],[LONG-TYPE]],非皮卡压缩表[TYPE],TYPE缩写表[[#This Row],[SHORT-TYPE]])</f>
        <v>0</v>
      </c>
    </row>
    <row r="83" ht="12.4" spans="1:6">
      <c r="A83" s="39" t="s">
        <v>485</v>
      </c>
      <c r="B83" s="39" t="s">
        <v>486</v>
      </c>
      <c r="C83" s="36" t="s">
        <v>487</v>
      </c>
      <c r="D83" s="29" t="s">
        <v>488</v>
      </c>
      <c r="E83" s="37">
        <f>LEN(TYPE缩写表[[#This Row],[SHORT-TYPE]])</f>
        <v>16</v>
      </c>
      <c r="F83" s="38">
        <f>COUNTIFS(非皮卡压缩表[LONG-TYPE],TYPE缩写表[[#This Row],[LONG-TYPE]],非皮卡压缩表[TYPE],TYPE缩写表[[#This Row],[SHORT-TYPE]])</f>
        <v>0</v>
      </c>
    </row>
    <row r="84" ht="12.4" spans="1:6">
      <c r="B84" s="36" t="s">
        <v>489</v>
      </c>
      <c r="C84" s="29" t="s">
        <v>490</v>
      </c>
      <c r="E84" s="37">
        <f>LEN(TYPE缩写表[[#This Row],[SHORT-TYPE]])</f>
        <v>9</v>
      </c>
      <c r="F84" s="38">
        <f>COUNTIFS(非皮卡压缩表[LONG-TYPE],TYPE缩写表[[#This Row],[LONG-TYPE]],非皮卡压缩表[TYPE],TYPE缩写表[[#This Row],[SHORT-TYPE]])</f>
        <v>0</v>
      </c>
    </row>
    <row r="85" ht="12.4" spans="1:6">
      <c r="B85" s="36" t="s">
        <v>491</v>
      </c>
      <c r="C85" s="29" t="s">
        <v>492</v>
      </c>
      <c r="E85" s="37">
        <f>LEN(TYPE缩写表[[#This Row],[SHORT-TYPE]])</f>
        <v>10</v>
      </c>
      <c r="F85" s="38">
        <f>COUNTIFS(非皮卡压缩表[LONG-TYPE],TYPE缩写表[[#This Row],[LONG-TYPE]],非皮卡压缩表[TYPE],TYPE缩写表[[#This Row],[SHORT-TYPE]])</f>
        <v>0</v>
      </c>
    </row>
    <row r="86" ht="12.4" spans="1:6">
      <c r="A86" s="31" t="s">
        <v>314</v>
      </c>
      <c r="B86" s="39" t="s">
        <v>493</v>
      </c>
      <c r="C86" s="36" t="s">
        <v>494</v>
      </c>
      <c r="D86" s="29" t="s">
        <v>495</v>
      </c>
      <c r="E86" s="37">
        <f>LEN(TYPE缩写表[[#This Row],[SHORT-TYPE]])</f>
        <v>12</v>
      </c>
      <c r="F86" s="40">
        <f>COUNTIFS(非皮卡压缩表[LONG-TYPE],TYPE缩写表[[#This Row],[LONG-TYPE]],非皮卡压缩表[TYPE],TYPE缩写表[[#This Row],[SHORT-TYPE]])</f>
        <v>0</v>
      </c>
    </row>
    <row r="87" ht="12.4" spans="1:6">
      <c r="A87" s="39" t="s">
        <v>496</v>
      </c>
      <c r="B87" s="39" t="s">
        <v>497</v>
      </c>
      <c r="C87" s="36" t="s">
        <v>498</v>
      </c>
      <c r="E87" s="37">
        <f>LEN(TYPE缩写表[[#This Row],[SHORT-TYPE]])</f>
        <v>15</v>
      </c>
      <c r="F87" s="40">
        <f>COUNTIFS(非皮卡压缩表[LONG-TYPE],TYPE缩写表[[#This Row],[LONG-TYPE]],非皮卡压缩表[TYPE],TYPE缩写表[[#This Row],[SHORT-TYPE]])</f>
        <v>0</v>
      </c>
    </row>
    <row r="88" spans="1:6">
      <c r="A88" s="29" t="s">
        <v>499</v>
      </c>
      <c r="B88" s="29" t="s">
        <v>500</v>
      </c>
      <c r="C88" s="29" t="s">
        <v>501</v>
      </c>
      <c r="D88" s="37"/>
      <c r="E88" s="37">
        <f>LEN(TYPE缩写表[[#This Row],[SHORT-TYPE]])</f>
        <v>16</v>
      </c>
      <c r="F88" s="37">
        <f>COUNTIFS(非皮卡压缩表[LONG-TYPE],TYPE缩写表[[#This Row],[LONG-TYPE]],非皮卡压缩表[TYPE],TYPE缩写表[[#This Row],[SHORT-TYPE]])</f>
        <v>0</v>
      </c>
    </row>
    <row r="89" ht="12.4" spans="1:6">
      <c r="A89" s="39" t="s">
        <v>485</v>
      </c>
      <c r="B89" s="39" t="s">
        <v>502</v>
      </c>
      <c r="C89" s="36" t="s">
        <v>503</v>
      </c>
      <c r="D89" s="29" t="s">
        <v>504</v>
      </c>
      <c r="E89" s="37">
        <f>LEN(TYPE缩写表[[#This Row],[SHORT-TYPE]])</f>
        <v>16</v>
      </c>
      <c r="F89" s="40">
        <f>COUNTIFS(非皮卡压缩表[LONG-TYPE],TYPE缩写表[[#This Row],[LONG-TYPE]],非皮卡压缩表[TYPE],TYPE缩写表[[#This Row],[SHORT-TYPE]])</f>
        <v>0</v>
      </c>
    </row>
    <row r="90" ht="12.4" spans="1:6">
      <c r="A90" s="39" t="s">
        <v>485</v>
      </c>
      <c r="B90" s="39" t="s">
        <v>505</v>
      </c>
      <c r="C90" s="36" t="s">
        <v>506</v>
      </c>
      <c r="D90" s="29" t="s">
        <v>507</v>
      </c>
      <c r="E90" s="37">
        <f>LEN(TYPE缩写表[[#This Row],[SHORT-TYPE]])</f>
        <v>11</v>
      </c>
      <c r="F90" s="40">
        <f>COUNTIFS(非皮卡压缩表[LONG-TYPE],TYPE缩写表[[#This Row],[LONG-TYPE]],非皮卡压缩表[TYPE],TYPE缩写表[[#This Row],[SHORT-TYPE]])</f>
        <v>0</v>
      </c>
    </row>
    <row r="91" spans="1:6">
      <c r="A91" s="29" t="s">
        <v>508</v>
      </c>
      <c r="B91" s="29" t="s">
        <v>509</v>
      </c>
      <c r="C91" s="29" t="s">
        <v>510</v>
      </c>
      <c r="D91" s="37"/>
      <c r="E91" s="37">
        <f>LEN(TYPE缩写表[[#This Row],[SHORT-TYPE]])</f>
        <v>16</v>
      </c>
      <c r="F91" s="37">
        <f>COUNTIFS(非皮卡压缩表[LONG-TYPE],TYPE缩写表[[#This Row],[LONG-TYPE]],非皮卡压缩表[TYPE],TYPE缩写表[[#This Row],[SHORT-TYPE]])</f>
        <v>0</v>
      </c>
    </row>
    <row r="92" ht="12.4" spans="1:6">
      <c r="A92" s="39" t="s">
        <v>485</v>
      </c>
      <c r="B92" s="39" t="s">
        <v>511</v>
      </c>
      <c r="C92" s="36" t="s">
        <v>512</v>
      </c>
      <c r="D92" s="29" t="s">
        <v>513</v>
      </c>
      <c r="E92" s="37">
        <f>LEN(TYPE缩写表[[#This Row],[SHORT-TYPE]])</f>
        <v>15</v>
      </c>
      <c r="F92" s="40">
        <f>COUNTIFS(非皮卡压缩表[LONG-TYPE],TYPE缩写表[[#This Row],[LONG-TYPE]],非皮卡压缩表[TYPE],TYPE缩写表[[#This Row],[SHORT-TYPE]])</f>
        <v>0</v>
      </c>
    </row>
    <row r="93" spans="1:6">
      <c r="A93" s="29"/>
      <c r="B93" s="31" t="s">
        <v>514</v>
      </c>
      <c r="C93" s="29" t="s">
        <v>515</v>
      </c>
      <c r="E93" s="37">
        <f>LEN(TYPE缩写表[[#This Row],[SHORT-TYPE]])</f>
        <v>10</v>
      </c>
      <c r="F93" s="40">
        <f>COUNTIFS(非皮卡压缩表[LONG-TYPE],TYPE缩写表[[#This Row],[LONG-TYPE]],非皮卡压缩表[TYPE],TYPE缩写表[[#This Row],[SHORT-TYPE]])</f>
        <v>0</v>
      </c>
    </row>
    <row r="94" spans="1:6">
      <c r="A94" s="29"/>
      <c r="B94" s="29" t="s">
        <v>516</v>
      </c>
      <c r="C94" s="29" t="s">
        <v>517</v>
      </c>
      <c r="D94" s="37"/>
      <c r="E94" s="37">
        <f>LEN(TYPE缩写表[[#This Row],[SHORT-TYPE]])</f>
        <v>14</v>
      </c>
      <c r="F94" s="37">
        <f>COUNTIFS(非皮卡压缩表[LONG-TYPE],TYPE缩写表[[#This Row],[LONG-TYPE]],非皮卡压缩表[TYPE],TYPE缩写表[[#This Row],[SHORT-TYPE]])</f>
        <v>0</v>
      </c>
    </row>
    <row r="95" ht="12.4" spans="1:6">
      <c r="A95" s="39" t="s">
        <v>485</v>
      </c>
      <c r="B95" s="39" t="s">
        <v>518</v>
      </c>
      <c r="C95" s="36" t="s">
        <v>517</v>
      </c>
      <c r="D95" s="29" t="s">
        <v>519</v>
      </c>
      <c r="E95" s="37">
        <f>LEN(TYPE缩写表[[#This Row],[SHORT-TYPE]])</f>
        <v>14</v>
      </c>
      <c r="F95" s="40">
        <f>COUNTIFS(非皮卡压缩表[LONG-TYPE],TYPE缩写表[[#This Row],[LONG-TYPE]],非皮卡压缩表[TYPE],TYPE缩写表[[#This Row],[SHORT-TYPE]])</f>
        <v>0</v>
      </c>
    </row>
    <row r="96" ht="12.4" spans="1:6">
      <c r="A96" s="39"/>
      <c r="B96" s="39" t="s">
        <v>520</v>
      </c>
      <c r="C96" s="36" t="s">
        <v>521</v>
      </c>
      <c r="E96" s="37">
        <f>LEN(TYPE缩写表[[#This Row],[SHORT-TYPE]])</f>
        <v>12</v>
      </c>
      <c r="F96" s="40">
        <f>COUNTIFS(非皮卡压缩表[LONG-TYPE],TYPE缩写表[[#This Row],[LONG-TYPE]],非皮卡压缩表[TYPE],TYPE缩写表[[#This Row],[SHORT-TYPE]])</f>
        <v>0</v>
      </c>
    </row>
    <row r="97" ht="12.4" spans="1:6">
      <c r="A97" s="39" t="s">
        <v>522</v>
      </c>
      <c r="B97" s="39" t="s">
        <v>523</v>
      </c>
      <c r="C97" s="36" t="s">
        <v>524</v>
      </c>
      <c r="E97" s="37">
        <f>LEN(TYPE缩写表[[#This Row],[SHORT-TYPE]])</f>
        <v>16</v>
      </c>
      <c r="F97" s="40">
        <f>COUNTIFS(非皮卡压缩表[LONG-TYPE],TYPE缩写表[[#This Row],[LONG-TYPE]],非皮卡压缩表[TYPE],TYPE缩写表[[#This Row],[SHORT-TYPE]])</f>
        <v>0</v>
      </c>
    </row>
    <row r="98" spans="1:6">
      <c r="A98" s="29" t="s">
        <v>496</v>
      </c>
      <c r="B98" s="29" t="s">
        <v>525</v>
      </c>
      <c r="C98" s="29" t="s">
        <v>526</v>
      </c>
      <c r="D98" s="37"/>
      <c r="E98" s="37">
        <f>LEN(TYPE缩写表[[#This Row],[SHORT-TYPE]])</f>
        <v>16</v>
      </c>
      <c r="F98" s="37">
        <f>COUNTIFS(非皮卡压缩表[LONG-TYPE],TYPE缩写表[[#This Row],[LONG-TYPE]],非皮卡压缩表[TYPE],TYPE缩写表[[#This Row],[SHORT-TYPE]])</f>
        <v>0</v>
      </c>
    </row>
    <row r="99" ht="12.4" spans="1:6">
      <c r="A99" s="39" t="s">
        <v>527</v>
      </c>
      <c r="B99" s="39" t="s">
        <v>528</v>
      </c>
      <c r="C99" s="36" t="s">
        <v>529</v>
      </c>
      <c r="E99" s="37">
        <f>LEN(TYPE缩写表[[#This Row],[SHORT-TYPE]])</f>
        <v>16</v>
      </c>
      <c r="F99" s="40">
        <f>COUNTIFS(非皮卡压缩表[LONG-TYPE],TYPE缩写表[[#This Row],[LONG-TYPE]],非皮卡压缩表[TYPE],TYPE缩写表[[#This Row],[SHORT-TYPE]])</f>
        <v>0</v>
      </c>
    </row>
    <row r="100" ht="12.4" spans="1:6">
      <c r="A100" s="39" t="s">
        <v>527</v>
      </c>
      <c r="B100" s="39" t="s">
        <v>530</v>
      </c>
      <c r="C100" s="36" t="s">
        <v>531</v>
      </c>
      <c r="E100" s="37">
        <f>LEN(TYPE缩写表[[#This Row],[SHORT-TYPE]])</f>
        <v>16</v>
      </c>
      <c r="F100" s="40">
        <f>COUNTIFS(非皮卡压缩表[LONG-TYPE],TYPE缩写表[[#This Row],[LONG-TYPE]],非皮卡压缩表[TYPE],TYPE缩写表[[#This Row],[SHORT-TYPE]])</f>
        <v>0</v>
      </c>
    </row>
    <row r="101" spans="1:6">
      <c r="A101" s="29" t="s">
        <v>522</v>
      </c>
      <c r="B101" s="29" t="s">
        <v>532</v>
      </c>
      <c r="C101" s="29" t="s">
        <v>533</v>
      </c>
      <c r="D101" s="37"/>
      <c r="E101" s="37">
        <f>LEN(TYPE缩写表[[#This Row],[SHORT-TYPE]])</f>
        <v>16</v>
      </c>
      <c r="F101" s="37">
        <f>COUNTIFS(非皮卡压缩表[LONG-TYPE],TYPE缩写表[[#This Row],[LONG-TYPE]],非皮卡压缩表[TYPE],TYPE缩写表[[#This Row],[SHORT-TYPE]])</f>
        <v>0</v>
      </c>
    </row>
    <row r="102" spans="1:6">
      <c r="A102" s="29" t="s">
        <v>534</v>
      </c>
      <c r="B102" s="29" t="s">
        <v>535</v>
      </c>
      <c r="C102" s="29" t="s">
        <v>536</v>
      </c>
      <c r="D102" s="37"/>
      <c r="E102" s="37">
        <f>LEN(TYPE缩写表[[#This Row],[SHORT-TYPE]])</f>
        <v>17</v>
      </c>
      <c r="F102" s="37">
        <f>COUNTIFS(非皮卡压缩表[LONG-TYPE],TYPE缩写表[[#This Row],[LONG-TYPE]],非皮卡压缩表[TYPE],TYPE缩写表[[#This Row],[SHORT-TYPE]])</f>
        <v>0</v>
      </c>
    </row>
    <row r="103" ht="24.75" spans="1:6">
      <c r="A103" s="39" t="s">
        <v>537</v>
      </c>
      <c r="B103" s="39" t="s">
        <v>538</v>
      </c>
      <c r="C103" s="36" t="s">
        <v>539</v>
      </c>
      <c r="D103" s="29" t="s">
        <v>540</v>
      </c>
      <c r="E103" s="37">
        <f>LEN(TYPE缩写表[[#This Row],[SHORT-TYPE]])</f>
        <v>16</v>
      </c>
      <c r="F103" s="40">
        <f>COUNTIFS(非皮卡压缩表[LONG-TYPE],TYPE缩写表[[#This Row],[LONG-TYPE]],非皮卡压缩表[TYPE],TYPE缩写表[[#This Row],[SHORT-TYPE]])</f>
        <v>0</v>
      </c>
    </row>
    <row r="104" ht="12.4" spans="1:6">
      <c r="A104" s="39" t="s">
        <v>527</v>
      </c>
      <c r="B104" s="39" t="s">
        <v>541</v>
      </c>
      <c r="C104" s="36" t="s">
        <v>542</v>
      </c>
      <c r="D104" s="29" t="s">
        <v>543</v>
      </c>
      <c r="E104" s="37">
        <f>LEN(TYPE缩写表[[#This Row],[SHORT-TYPE]])</f>
        <v>17</v>
      </c>
      <c r="F104" s="40">
        <f>COUNTIFS(非皮卡压缩表[LONG-TYPE],TYPE缩写表[[#This Row],[LONG-TYPE]],非皮卡压缩表[TYPE],TYPE缩写表[[#This Row],[SHORT-TYPE]])</f>
        <v>0</v>
      </c>
    </row>
    <row r="105" ht="12.4" spans="1:6">
      <c r="A105" s="39" t="s">
        <v>485</v>
      </c>
      <c r="B105" s="39" t="s">
        <v>544</v>
      </c>
      <c r="C105" s="36" t="s">
        <v>545</v>
      </c>
      <c r="E105" s="37">
        <f>LEN(TYPE缩写表[[#This Row],[SHORT-TYPE]])</f>
        <v>16</v>
      </c>
      <c r="F105" s="40">
        <f>COUNTIFS(非皮卡压缩表[LONG-TYPE],TYPE缩写表[[#This Row],[LONG-TYPE]],非皮卡压缩表[TYPE],TYPE缩写表[[#This Row],[SHORT-TYPE]])</f>
        <v>0</v>
      </c>
    </row>
    <row r="106" ht="12.4" spans="1:6">
      <c r="A106" s="39" t="s">
        <v>537</v>
      </c>
      <c r="B106" s="39" t="s">
        <v>546</v>
      </c>
      <c r="C106" s="36" t="s">
        <v>547</v>
      </c>
      <c r="D106" s="29" t="s">
        <v>548</v>
      </c>
      <c r="E106" s="37">
        <f>LEN(TYPE缩写表[[#This Row],[SHORT-TYPE]])</f>
        <v>15</v>
      </c>
      <c r="F106" s="40">
        <f>COUNTIFS(非皮卡压缩表[LONG-TYPE],TYPE缩写表[[#This Row],[LONG-TYPE]],非皮卡压缩表[TYPE],TYPE缩写表[[#This Row],[SHORT-TYPE]])</f>
        <v>0</v>
      </c>
    </row>
    <row r="107" spans="1:6">
      <c r="A107" s="29"/>
      <c r="B107" s="29" t="s">
        <v>549</v>
      </c>
      <c r="C107" s="29" t="s">
        <v>550</v>
      </c>
      <c r="D107" s="37"/>
      <c r="E107" s="37">
        <f>LEN(TYPE缩写表[[#This Row],[SHORT-TYPE]])</f>
        <v>18</v>
      </c>
      <c r="F107" s="37">
        <f>COUNTIFS(非皮卡压缩表[LONG-TYPE],TYPE缩写表[[#This Row],[LONG-TYPE]],非皮卡压缩表[TYPE],TYPE缩写表[[#This Row],[SHORT-TYPE]])</f>
        <v>0</v>
      </c>
    </row>
    <row r="108" ht="12.4" spans="1:6">
      <c r="A108" s="39" t="s">
        <v>551</v>
      </c>
      <c r="B108" s="39" t="s">
        <v>552</v>
      </c>
      <c r="C108" s="36" t="s">
        <v>553</v>
      </c>
      <c r="E108" s="37">
        <f>LEN(TYPE缩写表[[#This Row],[SHORT-TYPE]])</f>
        <v>16</v>
      </c>
      <c r="F108" s="40">
        <f>COUNTIFS(非皮卡压缩表[LONG-TYPE],TYPE缩写表[[#This Row],[LONG-TYPE]],非皮卡压缩表[TYPE],TYPE缩写表[[#This Row],[SHORT-TYPE]])</f>
        <v>0</v>
      </c>
    </row>
    <row r="109" spans="1:6">
      <c r="A109" s="29" t="s">
        <v>296</v>
      </c>
      <c r="B109" s="29" t="s">
        <v>554</v>
      </c>
      <c r="C109" s="29" t="s">
        <v>555</v>
      </c>
      <c r="D109" s="37"/>
      <c r="E109" s="37">
        <f>LEN(TYPE缩写表[[#This Row],[SHORT-TYPE]])</f>
        <v>16</v>
      </c>
      <c r="F109" s="37">
        <f>COUNTIFS(非皮卡压缩表[LONG-TYPE],TYPE缩写表[[#This Row],[LONG-TYPE]],非皮卡压缩表[TYPE],TYPE缩写表[[#This Row],[SHORT-TYPE]])</f>
        <v>0</v>
      </c>
    </row>
    <row r="110" spans="1:6">
      <c r="A110" s="29" t="s">
        <v>475</v>
      </c>
      <c r="B110" s="29" t="s">
        <v>556</v>
      </c>
      <c r="C110" s="29" t="s">
        <v>557</v>
      </c>
      <c r="D110" s="37"/>
      <c r="E110" s="37">
        <f>LEN(TYPE缩写表[[#This Row],[SHORT-TYPE]])</f>
        <v>13</v>
      </c>
      <c r="F110" s="37">
        <f>COUNTIFS(非皮卡压缩表[LONG-TYPE],TYPE缩写表[[#This Row],[LONG-TYPE]],非皮卡压缩表[TYPE],TYPE缩写表[[#This Row],[SHORT-TYPE]])</f>
        <v>0</v>
      </c>
    </row>
    <row r="111" spans="1:6">
      <c r="A111" s="29" t="s">
        <v>558</v>
      </c>
      <c r="B111" s="29" t="s">
        <v>559</v>
      </c>
      <c r="C111" s="29" t="s">
        <v>560</v>
      </c>
      <c r="D111" s="37"/>
      <c r="E111" s="37">
        <f>LEN(TYPE缩写表[[#This Row],[SHORT-TYPE]])</f>
        <v>15</v>
      </c>
      <c r="F111" s="37">
        <f>COUNTIFS(非皮卡压缩表[LONG-TYPE],TYPE缩写表[[#This Row],[LONG-TYPE]],非皮卡压缩表[TYPE],TYPE缩写表[[#This Row],[SHORT-TYPE]])</f>
        <v>0</v>
      </c>
    </row>
    <row r="112" ht="12.4" spans="1:6">
      <c r="A112" s="39" t="s">
        <v>561</v>
      </c>
      <c r="B112" s="39" t="s">
        <v>562</v>
      </c>
      <c r="C112" s="36" t="s">
        <v>563</v>
      </c>
      <c r="D112" s="29" t="s">
        <v>564</v>
      </c>
      <c r="E112" s="37">
        <f>LEN(TYPE缩写表[[#This Row],[SHORT-TYPE]])</f>
        <v>14</v>
      </c>
      <c r="F112" s="40">
        <f>COUNTIFS(非皮卡压缩表[LONG-TYPE],TYPE缩写表[[#This Row],[LONG-TYPE]],非皮卡压缩表[TYPE],TYPE缩写表[[#This Row],[SHORT-TYPE]])</f>
        <v>0</v>
      </c>
    </row>
    <row r="113" ht="12.4" spans="1:6">
      <c r="A113" s="31" t="s">
        <v>561</v>
      </c>
      <c r="B113" s="39" t="s">
        <v>565</v>
      </c>
      <c r="C113" s="36" t="s">
        <v>566</v>
      </c>
      <c r="D113" s="29" t="s">
        <v>564</v>
      </c>
      <c r="E113" s="37">
        <f>LEN(TYPE缩写表[[#This Row],[SHORT-TYPE]])</f>
        <v>17</v>
      </c>
      <c r="F113" s="40">
        <f>COUNTIFS(非皮卡压缩表[LONG-TYPE],TYPE缩写表[[#This Row],[LONG-TYPE]],非皮卡压缩表[TYPE],TYPE缩写表[[#This Row],[SHORT-TYPE]])</f>
        <v>0</v>
      </c>
    </row>
    <row r="114" spans="1:6">
      <c r="A114" s="29" t="s">
        <v>561</v>
      </c>
      <c r="B114" s="31" t="s">
        <v>567</v>
      </c>
      <c r="C114" s="29" t="s">
        <v>568</v>
      </c>
      <c r="D114" s="29" t="s">
        <v>569</v>
      </c>
      <c r="E114" s="37">
        <f>LEN(TYPE缩写表[[#This Row],[SHORT-TYPE]])</f>
        <v>16</v>
      </c>
      <c r="F114" s="40">
        <f>COUNTIFS(非皮卡压缩表[LONG-TYPE],TYPE缩写表[[#This Row],[LONG-TYPE]],非皮卡压缩表[TYPE],TYPE缩写表[[#This Row],[SHORT-TYPE]])</f>
        <v>0</v>
      </c>
    </row>
    <row r="115" spans="1:6">
      <c r="A115" s="29" t="s">
        <v>570</v>
      </c>
      <c r="B115" s="31" t="s">
        <v>571</v>
      </c>
      <c r="C115" s="29" t="s">
        <v>572</v>
      </c>
      <c r="D115" s="29" t="s">
        <v>573</v>
      </c>
      <c r="E115" s="37">
        <f>LEN(TYPE缩写表[[#This Row],[SHORT-TYPE]])</f>
        <v>17</v>
      </c>
      <c r="F115" s="40">
        <f>COUNTIFS(非皮卡压缩表[LONG-TYPE],TYPE缩写表[[#This Row],[LONG-TYPE]],非皮卡压缩表[TYPE],TYPE缩写表[[#This Row],[SHORT-TYPE]])</f>
        <v>0</v>
      </c>
    </row>
    <row r="116" spans="1:6">
      <c r="A116" s="29" t="s">
        <v>574</v>
      </c>
      <c r="B116" s="29" t="s">
        <v>575</v>
      </c>
      <c r="C116" s="29" t="s">
        <v>576</v>
      </c>
      <c r="E116" s="37">
        <f>LEN(TYPE缩写表[[#This Row],[SHORT-TYPE]])</f>
        <v>15</v>
      </c>
      <c r="F116" s="40">
        <f>COUNTIFS(非皮卡压缩表[LONG-TYPE],TYPE缩写表[[#This Row],[LONG-TYPE]],非皮卡压缩表[TYPE],TYPE缩写表[[#This Row],[SHORT-TYPE]])</f>
        <v>0</v>
      </c>
    </row>
    <row r="117" ht="12.4" spans="1:6">
      <c r="B117" s="36" t="s">
        <v>577</v>
      </c>
      <c r="C117" s="29" t="s">
        <v>578</v>
      </c>
      <c r="E117" s="37">
        <f>LEN(TYPE缩写表[[#This Row],[SHORT-TYPE]])</f>
        <v>7</v>
      </c>
      <c r="F117" s="38">
        <f>COUNTIFS(非皮卡压缩表[LONG-TYPE],TYPE缩写表[[#This Row],[LONG-TYPE]],非皮卡压缩表[TYPE],TYPE缩写表[[#This Row],[SHORT-TYPE]])</f>
        <v>0</v>
      </c>
    </row>
    <row r="118" ht="12.4" spans="1:6">
      <c r="A118" s="31" t="s">
        <v>314</v>
      </c>
      <c r="B118" s="39" t="s">
        <v>579</v>
      </c>
      <c r="C118" s="36" t="s">
        <v>580</v>
      </c>
      <c r="D118" s="29" t="s">
        <v>495</v>
      </c>
      <c r="E118" s="37">
        <f>LEN(TYPE缩写表[[#This Row],[SHORT-TYPE]])</f>
        <v>12</v>
      </c>
      <c r="F118" s="40">
        <f>COUNTIFS(非皮卡压缩表[LONG-TYPE],TYPE缩写表[[#This Row],[LONG-TYPE]],非皮卡压缩表[TYPE],TYPE缩写表[[#This Row],[SHORT-TYPE]])</f>
        <v>0</v>
      </c>
    </row>
    <row r="119" spans="1:6">
      <c r="A119" s="29" t="s">
        <v>314</v>
      </c>
      <c r="B119" s="29" t="s">
        <v>581</v>
      </c>
      <c r="C119" s="29" t="s">
        <v>582</v>
      </c>
      <c r="D119" s="37" t="s">
        <v>583</v>
      </c>
      <c r="E119" s="37">
        <f>LEN(TYPE缩写表[[#This Row],[SHORT-TYPE]])</f>
        <v>11</v>
      </c>
      <c r="F119" s="37">
        <f>COUNTIFS(非皮卡压缩表[LONG-TYPE],TYPE缩写表[[#This Row],[LONG-TYPE]],非皮卡压缩表[TYPE],TYPE缩写表[[#This Row],[SHORT-TYPE]])</f>
        <v>0</v>
      </c>
    </row>
    <row r="120" spans="1:6">
      <c r="A120" s="29" t="s">
        <v>314</v>
      </c>
      <c r="B120" s="29" t="s">
        <v>584</v>
      </c>
      <c r="C120" s="29" t="s">
        <v>585</v>
      </c>
      <c r="D120" s="37"/>
      <c r="E120" s="37">
        <f>LEN(TYPE缩写表[[#This Row],[SHORT-TYPE]])</f>
        <v>16</v>
      </c>
      <c r="F120" s="37">
        <f>COUNTIFS(非皮卡压缩表[LONG-TYPE],TYPE缩写表[[#This Row],[LONG-TYPE]],非皮卡压缩表[TYPE],TYPE缩写表[[#This Row],[SHORT-TYPE]])</f>
        <v>0</v>
      </c>
    </row>
    <row r="121" spans="1:6">
      <c r="A121" s="29" t="s">
        <v>314</v>
      </c>
      <c r="B121" s="29" t="s">
        <v>586</v>
      </c>
      <c r="C121" s="29" t="s">
        <v>587</v>
      </c>
      <c r="D121" s="37"/>
      <c r="E121" s="37">
        <f>LEN(TYPE缩写表[[#This Row],[SHORT-TYPE]])</f>
        <v>15</v>
      </c>
      <c r="F121" s="37">
        <f>COUNTIFS(非皮卡压缩表[LONG-TYPE],TYPE缩写表[[#This Row],[LONG-TYPE]],非皮卡压缩表[TYPE],TYPE缩写表[[#This Row],[SHORT-TYPE]])</f>
        <v>0</v>
      </c>
    </row>
    <row r="122" ht="12.4" spans="1:6">
      <c r="A122" s="31" t="s">
        <v>588</v>
      </c>
      <c r="B122" s="39" t="s">
        <v>589</v>
      </c>
      <c r="C122" s="36" t="s">
        <v>590</v>
      </c>
      <c r="D122" s="29" t="s">
        <v>591</v>
      </c>
      <c r="E122" s="37">
        <f>LEN(TYPE缩写表[[#This Row],[SHORT-TYPE]])</f>
        <v>12</v>
      </c>
      <c r="F122" s="40">
        <f>COUNTIFS(非皮卡压缩表[LONG-TYPE],TYPE缩写表[[#This Row],[LONG-TYPE]],非皮卡压缩表[TYPE],TYPE缩写表[[#This Row],[SHORT-TYPE]])</f>
        <v>0</v>
      </c>
    </row>
    <row r="123" spans="1:6">
      <c r="A123" s="29" t="s">
        <v>592</v>
      </c>
      <c r="B123" s="29" t="s">
        <v>593</v>
      </c>
      <c r="C123" s="29" t="s">
        <v>594</v>
      </c>
      <c r="D123" s="29" t="s">
        <v>595</v>
      </c>
      <c r="E123" s="37">
        <f>LEN(TYPE缩写表[[#This Row],[SHORT-TYPE]])</f>
        <v>13</v>
      </c>
      <c r="F123" s="40">
        <f>COUNTIFS(非皮卡压缩表[LONG-TYPE],TYPE缩写表[[#This Row],[LONG-TYPE]],非皮卡压缩表[TYPE],TYPE缩写表[[#This Row],[SHORT-TYPE]])</f>
        <v>0</v>
      </c>
    </row>
    <row r="124" spans="1:6">
      <c r="A124" s="29" t="s">
        <v>596</v>
      </c>
      <c r="B124" s="29" t="s">
        <v>597</v>
      </c>
      <c r="C124" s="29" t="s">
        <v>598</v>
      </c>
      <c r="D124" s="37"/>
      <c r="E124" s="37">
        <f>LEN(TYPE缩写表[[#This Row],[SHORT-TYPE]])</f>
        <v>12</v>
      </c>
      <c r="F124" s="37">
        <f>COUNTIFS(非皮卡压缩表[LONG-TYPE],TYPE缩写表[[#This Row],[LONG-TYPE]],非皮卡压缩表[TYPE],TYPE缩写表[[#This Row],[SHORT-TYPE]])</f>
        <v>0</v>
      </c>
    </row>
    <row r="125" ht="12.4" spans="1:6">
      <c r="A125" s="39"/>
      <c r="B125" s="39" t="s">
        <v>599</v>
      </c>
      <c r="C125" s="36" t="s">
        <v>422</v>
      </c>
      <c r="D125" s="29" t="s">
        <v>600</v>
      </c>
      <c r="E125" s="37">
        <f>LEN(TYPE缩写表[[#This Row],[SHORT-TYPE]])</f>
        <v>18</v>
      </c>
      <c r="F125" s="40">
        <f>COUNTIFS(非皮卡压缩表[LONG-TYPE],TYPE缩写表[[#This Row],[LONG-TYPE]],非皮卡压缩表[TYPE],TYPE缩写表[[#This Row],[SHORT-TYPE]])</f>
        <v>0</v>
      </c>
    </row>
    <row r="126" spans="1:6">
      <c r="A126" s="29" t="s">
        <v>601</v>
      </c>
      <c r="B126" s="29" t="s">
        <v>602</v>
      </c>
      <c r="C126" s="29" t="s">
        <v>603</v>
      </c>
      <c r="D126" s="37" t="s">
        <v>604</v>
      </c>
      <c r="E126" s="37">
        <f>LEN(TYPE缩写表[[#This Row],[SHORT-TYPE]])</f>
        <v>11</v>
      </c>
      <c r="F126" s="37">
        <f>COUNTIFS(非皮卡压缩表[LONG-TYPE],TYPE缩写表[[#This Row],[LONG-TYPE]],非皮卡压缩表[TYPE],TYPE缩写表[[#This Row],[SHORT-TYPE]])</f>
        <v>0</v>
      </c>
    </row>
    <row r="127" spans="1:6">
      <c r="A127" s="29" t="s">
        <v>592</v>
      </c>
      <c r="B127" s="29" t="s">
        <v>605</v>
      </c>
      <c r="C127" s="29" t="s">
        <v>606</v>
      </c>
      <c r="D127" s="37" t="s">
        <v>607</v>
      </c>
      <c r="E127" s="37">
        <f>LEN(TYPE缩写表[[#This Row],[SHORT-TYPE]])</f>
        <v>17</v>
      </c>
      <c r="F127" s="37">
        <f>COUNTIFS(非皮卡压缩表[LONG-TYPE],TYPE缩写表[[#This Row],[LONG-TYPE]],非皮卡压缩表[TYPE],TYPE缩写表[[#This Row],[SHORT-TYPE]])</f>
        <v>0</v>
      </c>
    </row>
    <row r="128" ht="12.4" spans="1:6">
      <c r="A128" s="39"/>
      <c r="B128" s="39" t="s">
        <v>608</v>
      </c>
      <c r="C128" s="36" t="s">
        <v>609</v>
      </c>
      <c r="E128" s="37">
        <f>LEN(TYPE缩写表[[#This Row],[SHORT-TYPE]])</f>
        <v>11</v>
      </c>
      <c r="F128" s="40">
        <f>COUNTIFS(非皮卡压缩表[LONG-TYPE],TYPE缩写表[[#This Row],[LONG-TYPE]],非皮卡压缩表[TYPE],TYPE缩写表[[#This Row],[SHORT-TYPE]])</f>
        <v>0</v>
      </c>
    </row>
    <row r="129" ht="12.4" spans="1:6">
      <c r="A129" s="31" t="s">
        <v>601</v>
      </c>
      <c r="B129" s="39" t="s">
        <v>610</v>
      </c>
      <c r="C129" s="36" t="s">
        <v>611</v>
      </c>
      <c r="D129" s="29" t="s">
        <v>612</v>
      </c>
      <c r="E129" s="37">
        <f>LEN(TYPE缩写表[[#This Row],[SHORT-TYPE]])</f>
        <v>11</v>
      </c>
      <c r="F129" s="40">
        <f>COUNTIFS(非皮卡压缩表[LONG-TYPE],TYPE缩写表[[#This Row],[LONG-TYPE]],非皮卡压缩表[TYPE],TYPE缩写表[[#This Row],[SHORT-TYPE]])</f>
        <v>0</v>
      </c>
    </row>
    <row r="130" ht="12.4" spans="1:6">
      <c r="A130" s="31" t="s">
        <v>314</v>
      </c>
      <c r="B130" s="39" t="s">
        <v>613</v>
      </c>
      <c r="C130" s="36" t="s">
        <v>614</v>
      </c>
      <c r="E130" s="37">
        <f>LEN(TYPE缩写表[[#This Row],[SHORT-TYPE]])</f>
        <v>13</v>
      </c>
      <c r="F130" s="40">
        <f>COUNTIFS(非皮卡压缩表[LONG-TYPE],TYPE缩写表[[#This Row],[LONG-TYPE]],非皮卡压缩表[TYPE],TYPE缩写表[[#This Row],[SHORT-TYPE]])</f>
        <v>0</v>
      </c>
    </row>
    <row r="131" ht="12.4" spans="1:6">
      <c r="A131" s="39" t="s">
        <v>296</v>
      </c>
      <c r="B131" s="39" t="s">
        <v>615</v>
      </c>
      <c r="C131" s="36" t="s">
        <v>616</v>
      </c>
      <c r="E131" s="37">
        <f>LEN(TYPE缩写表[[#This Row],[SHORT-TYPE]])</f>
        <v>13</v>
      </c>
      <c r="F131" s="40">
        <f>COUNTIFS(非皮卡压缩表[LONG-TYPE],TYPE缩写表[[#This Row],[LONG-TYPE]],非皮卡压缩表[TYPE],TYPE缩写表[[#This Row],[SHORT-TYPE]])</f>
        <v>0</v>
      </c>
    </row>
    <row r="132" ht="12.4" spans="1:6">
      <c r="B132" s="39" t="s">
        <v>617</v>
      </c>
      <c r="C132" s="36" t="s">
        <v>618</v>
      </c>
      <c r="E132" s="37">
        <f>LEN(TYPE缩写表[[#This Row],[SHORT-TYPE]])</f>
        <v>8</v>
      </c>
      <c r="F132" s="40">
        <f>COUNTIFS(非皮卡压缩表[LONG-TYPE],TYPE缩写表[[#This Row],[LONG-TYPE]],非皮卡压缩表[TYPE],TYPE缩写表[[#This Row],[SHORT-TYPE]])</f>
        <v>0</v>
      </c>
    </row>
    <row r="133" ht="12.4" spans="1:6">
      <c r="B133" s="39" t="s">
        <v>619</v>
      </c>
      <c r="C133" s="36" t="s">
        <v>620</v>
      </c>
      <c r="E133" s="37">
        <f>LEN(TYPE缩写表[[#This Row],[SHORT-TYPE]])</f>
        <v>8</v>
      </c>
      <c r="F133" s="40">
        <f>COUNTIFS(非皮卡压缩表[LONG-TYPE],TYPE缩写表[[#This Row],[LONG-TYPE]],非皮卡压缩表[TYPE],TYPE缩写表[[#This Row],[SHORT-TYPE]])</f>
        <v>0</v>
      </c>
    </row>
    <row r="134" spans="1:6">
      <c r="A134" s="29"/>
      <c r="B134" s="29" t="s">
        <v>621</v>
      </c>
      <c r="C134" s="29" t="s">
        <v>622</v>
      </c>
      <c r="D134" s="37"/>
      <c r="E134" s="37">
        <f>LEN(TYPE缩写表[[#This Row],[SHORT-TYPE]])</f>
        <v>12</v>
      </c>
      <c r="F134" s="37">
        <f>COUNTIFS(非皮卡压缩表[LONG-TYPE],TYPE缩写表[[#This Row],[LONG-TYPE]],非皮卡压缩表[TYPE],TYPE缩写表[[#This Row],[SHORT-TYPE]])</f>
        <v>0</v>
      </c>
    </row>
    <row r="135" ht="24.75" spans="1:6">
      <c r="A135" s="31" t="s">
        <v>570</v>
      </c>
      <c r="B135" s="39" t="s">
        <v>623</v>
      </c>
      <c r="C135" s="36" t="s">
        <v>622</v>
      </c>
      <c r="D135" s="29" t="s">
        <v>624</v>
      </c>
      <c r="E135" s="37">
        <f>LEN(TYPE缩写表[[#This Row],[SHORT-TYPE]])</f>
        <v>12</v>
      </c>
      <c r="F135" s="40">
        <f>COUNTIFS(非皮卡压缩表[LONG-TYPE],TYPE缩写表[[#This Row],[LONG-TYPE]],非皮卡压缩表[TYPE],TYPE缩写表[[#This Row],[SHORT-TYPE]])</f>
        <v>0</v>
      </c>
    </row>
    <row r="136" ht="12.4" spans="1:6">
      <c r="A136" s="39" t="s">
        <v>314</v>
      </c>
      <c r="B136" s="39" t="s">
        <v>625</v>
      </c>
      <c r="C136" s="36" t="s">
        <v>626</v>
      </c>
      <c r="D136" s="29" t="s">
        <v>627</v>
      </c>
      <c r="E136" s="37">
        <f>LEN(TYPE缩写表[[#This Row],[SHORT-TYPE]])</f>
        <v>16</v>
      </c>
      <c r="F136" s="40">
        <f>COUNTIFS(非皮卡压缩表[LONG-TYPE],TYPE缩写表[[#This Row],[LONG-TYPE]],非皮卡压缩表[TYPE],TYPE缩写表[[#This Row],[SHORT-TYPE]])</f>
        <v>0</v>
      </c>
    </row>
    <row r="137" spans="1:6">
      <c r="A137" s="29"/>
      <c r="B137" s="29" t="s">
        <v>628</v>
      </c>
      <c r="C137" s="29" t="s">
        <v>629</v>
      </c>
      <c r="D137" s="37"/>
      <c r="E137" s="37">
        <f>LEN(TYPE缩写表[[#This Row],[SHORT-TYPE]])</f>
        <v>12</v>
      </c>
      <c r="F137" s="37">
        <f>COUNTIFS(非皮卡压缩表[LONG-TYPE],TYPE缩写表[[#This Row],[LONG-TYPE]],非皮卡压缩表[TYPE],TYPE缩写表[[#This Row],[SHORT-TYPE]])</f>
        <v>0</v>
      </c>
    </row>
    <row r="138" ht="24.75" spans="1:6">
      <c r="A138" s="39" t="s">
        <v>592</v>
      </c>
      <c r="B138" s="39" t="s">
        <v>630</v>
      </c>
      <c r="C138" s="36" t="s">
        <v>631</v>
      </c>
      <c r="D138" s="29" t="s">
        <v>632</v>
      </c>
      <c r="E138" s="37">
        <f>LEN(TYPE缩写表[[#This Row],[SHORT-TYPE]])</f>
        <v>13</v>
      </c>
      <c r="F138" s="40">
        <f>COUNTIFS(非皮卡压缩表[LONG-TYPE],TYPE缩写表[[#This Row],[LONG-TYPE]],非皮卡压缩表[TYPE],TYPE缩写表[[#This Row],[SHORT-TYPE]])</f>
        <v>0</v>
      </c>
    </row>
    <row r="139" spans="1:6">
      <c r="A139" s="29" t="s">
        <v>574</v>
      </c>
      <c r="B139" s="29" t="s">
        <v>633</v>
      </c>
      <c r="C139" s="29" t="s">
        <v>634</v>
      </c>
      <c r="D139" s="37" t="s">
        <v>635</v>
      </c>
      <c r="E139" s="37">
        <f>LEN(TYPE缩写表[[#This Row],[SHORT-TYPE]])</f>
        <v>16</v>
      </c>
      <c r="F139" s="37">
        <f>COUNTIFS(非皮卡压缩表[LONG-TYPE],TYPE缩写表[[#This Row],[LONG-TYPE]],非皮卡压缩表[TYPE],TYPE缩写表[[#This Row],[SHORT-TYPE]])</f>
        <v>0</v>
      </c>
    </row>
    <row r="140" ht="12.4" spans="1:6">
      <c r="A140" s="39" t="s">
        <v>636</v>
      </c>
      <c r="B140" s="39" t="s">
        <v>637</v>
      </c>
      <c r="C140" s="36" t="s">
        <v>638</v>
      </c>
      <c r="D140" s="29" t="s">
        <v>639</v>
      </c>
      <c r="E140" s="37">
        <f>LEN(TYPE缩写表[[#This Row],[SHORT-TYPE]])</f>
        <v>14</v>
      </c>
      <c r="F140" s="40">
        <f>COUNTIFS(非皮卡压缩表[LONG-TYPE],TYPE缩写表[[#This Row],[LONG-TYPE]],非皮卡压缩表[TYPE],TYPE缩写表[[#This Row],[SHORT-TYPE]])</f>
        <v>0</v>
      </c>
    </row>
    <row r="141" ht="12.4" spans="1:6">
      <c r="A141" s="39" t="s">
        <v>636</v>
      </c>
      <c r="B141" s="39" t="s">
        <v>640</v>
      </c>
      <c r="C141" s="36" t="s">
        <v>641</v>
      </c>
      <c r="E141" s="37">
        <f>LEN(TYPE缩写表[[#This Row],[SHORT-TYPE]])</f>
        <v>11</v>
      </c>
      <c r="F141" s="40">
        <f>COUNTIFS(非皮卡压缩表[LONG-TYPE],TYPE缩写表[[#This Row],[LONG-TYPE]],非皮卡压缩表[TYPE],TYPE缩写表[[#This Row],[SHORT-TYPE]])</f>
        <v>0</v>
      </c>
    </row>
    <row r="142" ht="12.4" spans="1:6">
      <c r="A142" s="39" t="s">
        <v>570</v>
      </c>
      <c r="B142" s="39" t="s">
        <v>642</v>
      </c>
      <c r="C142" s="36" t="s">
        <v>643</v>
      </c>
      <c r="E142" s="37">
        <f>LEN(TYPE缩写表[[#This Row],[SHORT-TYPE]])</f>
        <v>17</v>
      </c>
      <c r="F142" s="40">
        <f>COUNTIFS(非皮卡压缩表[LONG-TYPE],TYPE缩写表[[#This Row],[LONG-TYPE]],非皮卡压缩表[TYPE],TYPE缩写表[[#This Row],[SHORT-TYPE]])</f>
        <v>0</v>
      </c>
    </row>
    <row r="143" spans="1:6">
      <c r="A143" s="29"/>
      <c r="B143" s="29" t="s">
        <v>644</v>
      </c>
      <c r="C143" s="29" t="s">
        <v>645</v>
      </c>
      <c r="D143" s="40"/>
      <c r="E143" s="40">
        <f>LEN(TYPE缩写表[[#This Row],[SHORT-TYPE]])</f>
        <v>18</v>
      </c>
      <c r="F143" s="37">
        <f>COUNTIFS(非皮卡压缩表[LONG-TYPE],TYPE缩写表[[#This Row],[LONG-TYPE]],非皮卡压缩表[TYPE],TYPE缩写表[[#This Row],[SHORT-TYPE]])</f>
        <v>0</v>
      </c>
    </row>
    <row r="144" spans="1:6">
      <c r="A144" s="29" t="s">
        <v>314</v>
      </c>
      <c r="B144" s="29" t="s">
        <v>646</v>
      </c>
      <c r="C144" s="29" t="s">
        <v>647</v>
      </c>
      <c r="D144" s="37" t="s">
        <v>317</v>
      </c>
      <c r="E144" s="37">
        <f>LEN(TYPE缩写表[[#This Row],[SHORT-TYPE]])</f>
        <v>16</v>
      </c>
      <c r="F144" s="37">
        <f>COUNTIFS(非皮卡压缩表[LONG-TYPE],TYPE缩写表[[#This Row],[LONG-TYPE]],非皮卡压缩表[TYPE],TYPE缩写表[[#This Row],[SHORT-TYPE]])</f>
        <v>0</v>
      </c>
    </row>
    <row r="145" ht="12.4" spans="1:6">
      <c r="A145" s="31" t="s">
        <v>648</v>
      </c>
      <c r="B145" s="39" t="s">
        <v>649</v>
      </c>
      <c r="C145" s="36" t="s">
        <v>650</v>
      </c>
      <c r="D145" s="29" t="s">
        <v>651</v>
      </c>
      <c r="E145" s="37">
        <f>LEN(TYPE缩写表[[#This Row],[SHORT-TYPE]])</f>
        <v>14</v>
      </c>
      <c r="F145" s="40">
        <f>COUNTIFS(非皮卡压缩表[LONG-TYPE],TYPE缩写表[[#This Row],[LONG-TYPE]],非皮卡压缩表[TYPE],TYPE缩写表[[#This Row],[SHORT-TYPE]])</f>
        <v>0</v>
      </c>
    </row>
    <row r="146" spans="1:6">
      <c r="A146" s="29" t="s">
        <v>652</v>
      </c>
      <c r="B146" s="29" t="s">
        <v>653</v>
      </c>
      <c r="C146" s="29" t="s">
        <v>654</v>
      </c>
      <c r="D146" s="37"/>
      <c r="E146" s="37">
        <f>LEN(TYPE缩写表[[#This Row],[SHORT-TYPE]])</f>
        <v>11</v>
      </c>
      <c r="F146" s="37">
        <f>COUNTIFS(非皮卡压缩表[LONG-TYPE],TYPE缩写表[[#This Row],[LONG-TYPE]],非皮卡压缩表[TYPE],TYPE缩写表[[#This Row],[SHORT-TYPE]])</f>
        <v>0</v>
      </c>
    </row>
    <row r="147" spans="1:6">
      <c r="A147" s="29" t="s">
        <v>655</v>
      </c>
      <c r="B147" s="29" t="s">
        <v>656</v>
      </c>
      <c r="C147" s="29" t="s">
        <v>654</v>
      </c>
      <c r="D147" s="37" t="s">
        <v>657</v>
      </c>
      <c r="E147" s="37">
        <f>LEN(TYPE缩写表[[#This Row],[SHORT-TYPE]])</f>
        <v>11</v>
      </c>
      <c r="F147" s="37">
        <f>COUNTIFS(非皮卡压缩表[LONG-TYPE],TYPE缩写表[[#This Row],[LONG-TYPE]],非皮卡压缩表[TYPE],TYPE缩写表[[#This Row],[SHORT-TYPE]])</f>
        <v>0</v>
      </c>
    </row>
    <row r="148" spans="1:6">
      <c r="A148" s="29" t="s">
        <v>655</v>
      </c>
      <c r="B148" s="31" t="s">
        <v>658</v>
      </c>
      <c r="C148" s="29" t="s">
        <v>659</v>
      </c>
      <c r="D148" s="29" t="s">
        <v>660</v>
      </c>
      <c r="E148" s="37">
        <f>LEN(TYPE缩写表[[#This Row],[SHORT-TYPE]])</f>
        <v>14</v>
      </c>
      <c r="F148" s="40">
        <f>COUNTIFS(非皮卡压缩表[LONG-TYPE],TYPE缩写表[[#This Row],[LONG-TYPE]],非皮卡压缩表[TYPE],TYPE缩写表[[#This Row],[SHORT-TYPE]])</f>
        <v>0</v>
      </c>
    </row>
    <row r="149" ht="12.4" spans="1:6">
      <c r="B149" s="36" t="s">
        <v>661</v>
      </c>
      <c r="C149" s="29" t="s">
        <v>662</v>
      </c>
      <c r="E149" s="37">
        <f>LEN(TYPE缩写表[[#This Row],[SHORT-TYPE]])</f>
        <v>9</v>
      </c>
      <c r="F149" s="38">
        <f>COUNTIFS(非皮卡压缩表[LONG-TYPE],TYPE缩写表[[#This Row],[LONG-TYPE]],非皮卡压缩表[TYPE],TYPE缩写表[[#This Row],[SHORT-TYPE]])</f>
        <v>0</v>
      </c>
    </row>
    <row r="150" spans="1:6">
      <c r="A150" s="29" t="s">
        <v>299</v>
      </c>
      <c r="B150" s="29" t="s">
        <v>335</v>
      </c>
      <c r="C150" s="29" t="s">
        <v>663</v>
      </c>
      <c r="D150" s="37" t="s">
        <v>664</v>
      </c>
      <c r="E150" s="37">
        <f>LEN(TYPE缩写表[[#This Row],[SHORT-TYPE]])</f>
        <v>11</v>
      </c>
      <c r="F150" s="37">
        <f>COUNTIFS(非皮卡压缩表[LONG-TYPE],TYPE缩写表[[#This Row],[LONG-TYPE]],非皮卡压缩表[TYPE],TYPE缩写表[[#This Row],[SHORT-TYPE]])</f>
        <v>0</v>
      </c>
    </row>
    <row r="151" ht="12.4" spans="1:6">
      <c r="A151" s="31" t="s">
        <v>314</v>
      </c>
      <c r="B151" s="39" t="s">
        <v>586</v>
      </c>
      <c r="C151" s="36" t="s">
        <v>665</v>
      </c>
      <c r="D151" s="29" t="s">
        <v>317</v>
      </c>
      <c r="E151" s="37">
        <f>LEN(TYPE缩写表[[#This Row],[SHORT-TYPE]])</f>
        <v>7</v>
      </c>
      <c r="F151" s="40">
        <f>COUNTIFS(非皮卡压缩表[LONG-TYPE],TYPE缩写表[[#This Row],[LONG-TYPE]],非皮卡压缩表[TYPE],TYPE缩写表[[#This Row],[SHORT-TYPE]])</f>
        <v>0</v>
      </c>
    </row>
    <row r="152" ht="12.4" spans="1:6">
      <c r="B152" s="36" t="s">
        <v>666</v>
      </c>
      <c r="C152" s="29" t="s">
        <v>667</v>
      </c>
      <c r="E152" s="37">
        <f>LEN(TYPE缩写表[[#This Row],[SHORT-TYPE]])</f>
        <v>11</v>
      </c>
      <c r="F152" s="38">
        <f>COUNTIFS(非皮卡压缩表[LONG-TYPE],TYPE缩写表[[#This Row],[LONG-TYPE]],非皮卡压缩表[TYPE],TYPE缩写表[[#This Row],[SHORT-TYPE]])</f>
        <v>0</v>
      </c>
    </row>
    <row r="153" ht="12.4" spans="1:6">
      <c r="B153" s="36" t="s">
        <v>668</v>
      </c>
      <c r="C153" s="29" t="s">
        <v>669</v>
      </c>
      <c r="E153" s="37">
        <f>LEN(TYPE缩写表[[#This Row],[SHORT-TYPE]])</f>
        <v>9</v>
      </c>
      <c r="F153" s="38">
        <f>COUNTIFS(非皮卡压缩表[LONG-TYPE],TYPE缩写表[[#This Row],[LONG-TYPE]],非皮卡压缩表[TYPE],TYPE缩写表[[#This Row],[SHORT-TYPE]])</f>
        <v>0</v>
      </c>
    </row>
    <row r="154" ht="12.4" spans="1:6">
      <c r="B154" s="36" t="s">
        <v>670</v>
      </c>
      <c r="C154" s="29" t="s">
        <v>670</v>
      </c>
      <c r="E154" s="37">
        <f>LEN(TYPE缩写表[[#This Row],[SHORT-TYPE]])</f>
        <v>7</v>
      </c>
      <c r="F154" s="38">
        <f>COUNTIFS(非皮卡压缩表[LONG-TYPE],TYPE缩写表[[#This Row],[LONG-TYPE]],非皮卡压缩表[TYPE],TYPE缩写表[[#This Row],[SHORT-TYPE]])</f>
        <v>0</v>
      </c>
    </row>
    <row r="155" ht="12.4" spans="1:6">
      <c r="B155" s="36" t="s">
        <v>671</v>
      </c>
      <c r="C155" s="29" t="s">
        <v>672</v>
      </c>
      <c r="E155" s="37">
        <f>LEN(TYPE缩写表[[#This Row],[SHORT-TYPE]])</f>
        <v>10</v>
      </c>
      <c r="F155" s="38">
        <f>COUNTIFS(非皮卡压缩表[LONG-TYPE],TYPE缩写表[[#This Row],[LONG-TYPE]],非皮卡压缩表[TYPE],TYPE缩写表[[#This Row],[SHORT-TYPE]])</f>
        <v>0</v>
      </c>
    </row>
    <row r="156" ht="12.4" spans="1:6">
      <c r="B156" s="36" t="s">
        <v>673</v>
      </c>
      <c r="C156" s="29" t="s">
        <v>674</v>
      </c>
      <c r="E156" s="37">
        <f>LEN(TYPE缩写表[[#This Row],[SHORT-TYPE]])</f>
        <v>10</v>
      </c>
      <c r="F156" s="38">
        <f>COUNTIFS(非皮卡压缩表[LONG-TYPE],TYPE缩写表[[#This Row],[LONG-TYPE]],非皮卡压缩表[TYPE],TYPE缩写表[[#This Row],[SHORT-TYPE]])</f>
        <v>0</v>
      </c>
    </row>
    <row r="157" ht="12.4" spans="1:6">
      <c r="B157" s="36" t="s">
        <v>675</v>
      </c>
      <c r="C157" s="29" t="s">
        <v>603</v>
      </c>
      <c r="E157" s="37">
        <f>LEN(TYPE缩写表[[#This Row],[SHORT-TYPE]])</f>
        <v>11</v>
      </c>
      <c r="F157" s="38">
        <f>COUNTIFS(非皮卡压缩表[LONG-TYPE],TYPE缩写表[[#This Row],[LONG-TYPE]],非皮卡压缩表[TYPE],TYPE缩写表[[#This Row],[SHORT-TYPE]])</f>
        <v>0</v>
      </c>
    </row>
    <row r="158" ht="12.4" spans="1:6">
      <c r="B158" s="36" t="s">
        <v>676</v>
      </c>
      <c r="C158" s="29" t="s">
        <v>677</v>
      </c>
      <c r="E158" s="37">
        <f>LEN(TYPE缩写表[[#This Row],[SHORT-TYPE]])</f>
        <v>8</v>
      </c>
      <c r="F158" s="38">
        <f>COUNTIFS(非皮卡压缩表[LONG-TYPE],TYPE缩写表[[#This Row],[LONG-TYPE]],非皮卡压缩表[TYPE],TYPE缩写表[[#This Row],[SHORT-TYPE]])</f>
        <v>0</v>
      </c>
    </row>
    <row r="159" ht="12.4" spans="1:6">
      <c r="B159" s="36" t="s">
        <v>678</v>
      </c>
      <c r="C159" s="29" t="s">
        <v>679</v>
      </c>
      <c r="E159" s="37">
        <f>LEN(TYPE缩写表[[#This Row],[SHORT-TYPE]])</f>
        <v>16</v>
      </c>
      <c r="F159" s="38">
        <f>COUNTIFS(非皮卡压缩表[LONG-TYPE],TYPE缩写表[[#This Row],[LONG-TYPE]],非皮卡压缩表[TYPE],TYPE缩写表[[#This Row],[SHORT-TYPE]])</f>
        <v>0</v>
      </c>
    </row>
    <row r="160" spans="1:6">
      <c r="A160" s="29" t="s">
        <v>485</v>
      </c>
      <c r="B160" s="29" t="s">
        <v>680</v>
      </c>
      <c r="C160" s="29" t="s">
        <v>517</v>
      </c>
      <c r="D160" s="37" t="s">
        <v>681</v>
      </c>
      <c r="E160" s="37">
        <f>LEN(TYPE缩写表[[#This Row],[SHORT-TYPE]])</f>
        <v>14</v>
      </c>
      <c r="F160" s="37">
        <f>COUNTIFS(非皮卡压缩表[LONG-TYPE],TYPE缩写表[[#This Row],[LONG-TYPE]],非皮卡压缩表[TYPE],TYPE缩写表[[#This Row],[SHORT-TYPE]])</f>
        <v>0</v>
      </c>
    </row>
    <row r="161" ht="12.4" spans="1:6">
      <c r="B161" s="36" t="s">
        <v>682</v>
      </c>
      <c r="C161" s="29" t="s">
        <v>683</v>
      </c>
      <c r="E161" s="37">
        <f>LEN(TYPE缩写表[[#This Row],[SHORT-TYPE]])</f>
        <v>14</v>
      </c>
      <c r="F161" s="38">
        <f>COUNTIFS(非皮卡压缩表[LONG-TYPE],TYPE缩写表[[#This Row],[LONG-TYPE]],非皮卡压缩表[TYPE],TYPE缩写表[[#This Row],[SHORT-TYPE]])</f>
        <v>0</v>
      </c>
    </row>
    <row r="162" ht="12.4" spans="1:6">
      <c r="B162" s="36" t="s">
        <v>684</v>
      </c>
      <c r="C162" s="29" t="s">
        <v>631</v>
      </c>
      <c r="E162" s="37">
        <f>LEN(TYPE缩写表[[#This Row],[SHORT-TYPE]])</f>
        <v>13</v>
      </c>
      <c r="F162" s="38">
        <f>COUNTIFS(非皮卡压缩表[LONG-TYPE],TYPE缩写表[[#This Row],[LONG-TYPE]],非皮卡压缩表[TYPE],TYPE缩写表[[#This Row],[SHORT-TYPE]])</f>
        <v>0</v>
      </c>
    </row>
    <row r="163" ht="12.4" spans="1:6">
      <c r="B163" s="36" t="s">
        <v>685</v>
      </c>
      <c r="C163" s="29" t="s">
        <v>634</v>
      </c>
      <c r="E163" s="37">
        <f>LEN(TYPE缩写表[[#This Row],[SHORT-TYPE]])</f>
        <v>16</v>
      </c>
      <c r="F163" s="38">
        <f>COUNTIFS(非皮卡压缩表[LONG-TYPE],TYPE缩写表[[#This Row],[LONG-TYPE]],非皮卡压缩表[TYPE],TYPE缩写表[[#This Row],[SHORT-TYPE]])</f>
        <v>0</v>
      </c>
    </row>
    <row r="164" ht="12.4" spans="1:6">
      <c r="B164" s="36" t="s">
        <v>686</v>
      </c>
      <c r="C164" s="29" t="s">
        <v>687</v>
      </c>
      <c r="E164" s="37">
        <f>LEN(TYPE缩写表[[#This Row],[SHORT-TYPE]])</f>
        <v>11</v>
      </c>
      <c r="F164" s="38">
        <f>COUNTIFS(非皮卡压缩表[LONG-TYPE],TYPE缩写表[[#This Row],[LONG-TYPE]],非皮卡压缩表[TYPE],TYPE缩写表[[#This Row],[SHORT-TYPE]])</f>
        <v>0</v>
      </c>
    </row>
    <row r="165" ht="12.4" spans="1:6">
      <c r="A165" s="39" t="s">
        <v>561</v>
      </c>
      <c r="B165" s="39" t="s">
        <v>565</v>
      </c>
      <c r="C165" s="36" t="s">
        <v>688</v>
      </c>
      <c r="E165" s="37">
        <f>LEN(TYPE缩写表[[#This Row],[SHORT-TYPE]])</f>
        <v>17</v>
      </c>
      <c r="F165" s="37">
        <f>COUNTIFS(非皮卡压缩表[LONG-TYPE],TYPE缩写表[[#This Row],[LONG-TYPE]],非皮卡压缩表[TYPE],TYPE缩写表[[#This Row],[SHORT-TYPE]])</f>
        <v>0</v>
      </c>
    </row>
    <row r="166" ht="12.4" spans="1:6">
      <c r="A166" s="39" t="s">
        <v>280</v>
      </c>
      <c r="B166" s="39" t="s">
        <v>281</v>
      </c>
      <c r="C166" s="36" t="s">
        <v>282</v>
      </c>
      <c r="D166" s="29" t="s">
        <v>283</v>
      </c>
      <c r="E166" s="37">
        <f>LEN(TYPE缩写表[[#This Row],[SHORT-TYPE]])</f>
        <v>10</v>
      </c>
      <c r="F166" s="40">
        <f>COUNTIFS(非皮卡压缩表[LONG-TYPE],TYPE缩写表[[#This Row],[LONG-TYPE]],非皮卡压缩表[TYPE],TYPE缩写表[[#This Row],[SHORT-TYPE]])</f>
        <v>0</v>
      </c>
    </row>
    <row r="167" ht="12.4" spans="1:6">
      <c r="A167" s="39" t="s">
        <v>499</v>
      </c>
      <c r="B167" s="39" t="s">
        <v>689</v>
      </c>
      <c r="C167" s="36" t="s">
        <v>690</v>
      </c>
      <c r="D167" s="29" t="s">
        <v>691</v>
      </c>
      <c r="E167" s="37">
        <f>LEN(TYPE缩写表[[#This Row],[SHORT-TYPE]])</f>
        <v>12</v>
      </c>
      <c r="F167" s="40">
        <f>COUNTIFS(非皮卡压缩表[LONG-TYPE],TYPE缩写表[[#This Row],[LONG-TYPE]],非皮卡压缩表[TYPE],TYPE缩写表[[#This Row],[SHORT-TYPE]])</f>
        <v>0</v>
      </c>
    </row>
    <row r="168" ht="12.4" spans="1:6">
      <c r="A168" s="39" t="s">
        <v>692</v>
      </c>
      <c r="B168" s="39" t="s">
        <v>693</v>
      </c>
      <c r="C168" s="36" t="s">
        <v>694</v>
      </c>
      <c r="D168" s="29" t="s">
        <v>695</v>
      </c>
      <c r="E168" s="37">
        <f>LEN(TYPE缩写表[[#This Row],[SHORT-TYPE]])</f>
        <v>14</v>
      </c>
      <c r="F168" s="40">
        <f>COUNTIFS(非皮卡压缩表[LONG-TYPE],TYPE缩写表[[#This Row],[LONG-TYPE]],非皮卡压缩表[TYPE],TYPE缩写表[[#This Row],[SHORT-TYPE]])</f>
        <v>0</v>
      </c>
    </row>
    <row r="169" ht="12.4" spans="1:6">
      <c r="A169" s="39" t="s">
        <v>314</v>
      </c>
      <c r="B169" s="39" t="s">
        <v>696</v>
      </c>
      <c r="C169" s="36" t="s">
        <v>697</v>
      </c>
      <c r="D169" s="29" t="s">
        <v>317</v>
      </c>
      <c r="E169" s="37">
        <f>LEN(TYPE缩写表[[#This Row],[SHORT-TYPE]])</f>
        <v>7</v>
      </c>
      <c r="F169" s="40">
        <f>COUNTIFS(非皮卡压缩表[LONG-TYPE],TYPE缩写表[[#This Row],[LONG-TYPE]],非皮卡压缩表[TYPE],TYPE缩写表[[#This Row],[SHORT-TYPE]])</f>
        <v>0</v>
      </c>
    </row>
    <row r="170" ht="12.4" spans="1:6">
      <c r="A170" s="39" t="s">
        <v>698</v>
      </c>
      <c r="B170" s="39" t="s">
        <v>421</v>
      </c>
      <c r="C170" s="36" t="s">
        <v>422</v>
      </c>
      <c r="E170" s="37">
        <f>LEN(TYPE缩写表[[#This Row],[SHORT-TYPE]])</f>
        <v>18</v>
      </c>
      <c r="F170" s="40">
        <f>COUNTIFS(非皮卡压缩表[LONG-TYPE],TYPE缩写表[[#This Row],[LONG-TYPE]],非皮卡压缩表[TYPE],TYPE缩写表[[#This Row],[SHORT-TYPE]])</f>
        <v>0</v>
      </c>
    </row>
    <row r="171" ht="12.4" spans="1:6">
      <c r="A171" s="39" t="s">
        <v>574</v>
      </c>
      <c r="B171" s="39" t="s">
        <v>599</v>
      </c>
      <c r="C171" s="36" t="s">
        <v>422</v>
      </c>
      <c r="D171" s="29" t="s">
        <v>699</v>
      </c>
      <c r="E171" s="37">
        <f>LEN(TYPE缩写表[[#This Row],[SHORT-TYPE]])</f>
        <v>18</v>
      </c>
      <c r="F171" s="40">
        <f>COUNTIFS(非皮卡压缩表[LONG-TYPE],TYPE缩写表[[#This Row],[LONG-TYPE]],非皮卡压缩表[TYPE],TYPE缩写表[[#This Row],[SHORT-TYPE]])</f>
        <v>0</v>
      </c>
    </row>
    <row r="172" ht="12.4" spans="1:6">
      <c r="A172" s="39" t="s">
        <v>296</v>
      </c>
      <c r="B172" s="39" t="s">
        <v>700</v>
      </c>
      <c r="C172" s="36" t="s">
        <v>701</v>
      </c>
      <c r="D172" s="29" t="s">
        <v>702</v>
      </c>
      <c r="E172" s="37">
        <f>LEN(TYPE缩写表[[#This Row],[SHORT-TYPE]])</f>
        <v>12</v>
      </c>
      <c r="F172" s="40">
        <f>COUNTIFS(非皮卡压缩表[LONG-TYPE],TYPE缩写表[[#This Row],[LONG-TYPE]],非皮卡压缩表[TYPE],TYPE缩写表[[#This Row],[SHORT-TYPE]])</f>
        <v>0</v>
      </c>
    </row>
    <row r="173" ht="12.4" spans="1:6">
      <c r="A173" s="39" t="s">
        <v>296</v>
      </c>
      <c r="B173" s="39" t="s">
        <v>644</v>
      </c>
      <c r="C173" s="36" t="s">
        <v>645</v>
      </c>
      <c r="E173" s="37">
        <f>LEN(TYPE缩写表[[#This Row],[SHORT-TYPE]])</f>
        <v>18</v>
      </c>
      <c r="F173" s="40">
        <f>COUNTIFS(非皮卡压缩表[LONG-TYPE],TYPE缩写表[[#This Row],[LONG-TYPE]],非皮卡压缩表[TYPE],TYPE缩写表[[#This Row],[SHORT-TYPE]])</f>
        <v>0</v>
      </c>
    </row>
    <row r="174" ht="12.4" spans="1:6">
      <c r="A174" s="39" t="s">
        <v>302</v>
      </c>
      <c r="B174" s="39" t="s">
        <v>703</v>
      </c>
      <c r="C174" s="36" t="s">
        <v>704</v>
      </c>
      <c r="D174" s="29" t="s">
        <v>705</v>
      </c>
      <c r="E174" s="37">
        <f>LEN(TYPE缩写表[[#This Row],[SHORT-TYPE]])</f>
        <v>18</v>
      </c>
      <c r="F174" s="40">
        <f>COUNTIFS(非皮卡压缩表[LONG-TYPE],TYPE缩写表[[#This Row],[LONG-TYPE]],非皮卡压缩表[TYPE],TYPE缩写表[[#This Row],[SHORT-TYPE]])</f>
        <v>0</v>
      </c>
    </row>
    <row r="175" ht="12.4" spans="1:6">
      <c r="A175" s="39" t="s">
        <v>302</v>
      </c>
      <c r="B175" s="39" t="s">
        <v>706</v>
      </c>
      <c r="C175" s="36" t="s">
        <v>707</v>
      </c>
      <c r="E175" s="37">
        <f>LEN(TYPE缩写表[[#This Row],[SHORT-TYPE]])</f>
        <v>14</v>
      </c>
      <c r="F175" s="40">
        <f>COUNTIFS(非皮卡压缩表[LONG-TYPE],TYPE缩写表[[#This Row],[LONG-TYPE]],非皮卡压缩表[TYPE],TYPE缩写表[[#This Row],[SHORT-TYPE]])</f>
        <v>0</v>
      </c>
    </row>
    <row r="176" ht="12.4" spans="1:6">
      <c r="A176" s="39" t="s">
        <v>302</v>
      </c>
      <c r="B176" s="39" t="s">
        <v>346</v>
      </c>
      <c r="C176" s="36" t="s">
        <v>347</v>
      </c>
      <c r="D176" s="29" t="s">
        <v>708</v>
      </c>
      <c r="E176" s="37">
        <f>LEN(TYPE缩写表[[#This Row],[SHORT-TYPE]])</f>
        <v>18</v>
      </c>
      <c r="F176" s="40">
        <f>COUNTIFS(非皮卡压缩表[LONG-TYPE],TYPE缩写表[[#This Row],[LONG-TYPE]],非皮卡压缩表[TYPE],TYPE缩写表[[#This Row],[SHORT-TYPE]])</f>
        <v>0</v>
      </c>
    </row>
    <row r="177" ht="12.4" spans="1:6">
      <c r="A177" s="39" t="s">
        <v>709</v>
      </c>
      <c r="B177" s="39" t="s">
        <v>549</v>
      </c>
      <c r="C177" s="36" t="s">
        <v>550</v>
      </c>
      <c r="D177" s="29" t="s">
        <v>710</v>
      </c>
      <c r="E177" s="37">
        <f>LEN(TYPE缩写表[[#This Row],[SHORT-TYPE]])</f>
        <v>18</v>
      </c>
      <c r="F177" s="40">
        <f>COUNTIFS(非皮卡压缩表[LONG-TYPE],TYPE缩写表[[#This Row],[LONG-TYPE]],非皮卡压缩表[TYPE],TYPE缩写表[[#This Row],[SHORT-TYPE]])</f>
        <v>0</v>
      </c>
    </row>
    <row r="178" ht="12.4" spans="1:6">
      <c r="A178" s="39" t="s">
        <v>711</v>
      </c>
      <c r="B178" s="39" t="s">
        <v>403</v>
      </c>
      <c r="C178" s="36" t="s">
        <v>404</v>
      </c>
      <c r="D178" s="29" t="s">
        <v>405</v>
      </c>
      <c r="E178" s="37">
        <f>LEN(TYPE缩写表[[#This Row],[SHORT-TYPE]])</f>
        <v>13</v>
      </c>
      <c r="F178" s="40">
        <f>COUNTIFS(非皮卡压缩表[LONG-TYPE],TYPE缩写表[[#This Row],[LONG-TYPE]],非皮卡压缩表[TYPE],TYPE缩写表[[#This Row],[SHORT-TYPE]])</f>
        <v>0</v>
      </c>
    </row>
    <row r="179" ht="12.4" spans="1:6">
      <c r="A179" s="39" t="s">
        <v>698</v>
      </c>
      <c r="B179" s="39" t="s">
        <v>421</v>
      </c>
      <c r="C179" s="36" t="s">
        <v>422</v>
      </c>
      <c r="E179" s="37">
        <f>LEN(TYPE缩写表[[#This Row],[SHORT-TYPE]])</f>
        <v>18</v>
      </c>
      <c r="F179" s="40">
        <f>COUNTIFS(非皮卡压缩表[LONG-TYPE],TYPE缩写表[[#This Row],[LONG-TYPE]],非皮卡压缩表[TYPE],TYPE缩写表[[#This Row],[SHORT-TYPE]])</f>
        <v>0</v>
      </c>
    </row>
    <row r="180" ht="12.4" spans="1:6">
      <c r="A180" s="39" t="s">
        <v>296</v>
      </c>
      <c r="B180" s="39" t="s">
        <v>644</v>
      </c>
      <c r="C180" s="36" t="s">
        <v>645</v>
      </c>
      <c r="E180" s="37">
        <f>LEN(TYPE缩写表[[#This Row],[SHORT-TYPE]])</f>
        <v>18</v>
      </c>
      <c r="F180" s="40">
        <f>COUNTIFS(非皮卡压缩表[LONG-TYPE],TYPE缩写表[[#This Row],[LONG-TYPE]],非皮卡压缩表[TYPE],TYPE缩写表[[#This Row],[SHORT-TYPE]])</f>
        <v>0</v>
      </c>
    </row>
    <row r="181" ht="12.4" spans="1:6">
      <c r="A181" s="39" t="s">
        <v>302</v>
      </c>
      <c r="B181" s="39" t="s">
        <v>346</v>
      </c>
      <c r="C181" s="36" t="s">
        <v>347</v>
      </c>
      <c r="D181" s="29" t="s">
        <v>708</v>
      </c>
      <c r="E181" s="37">
        <f>LEN(TYPE缩写表[[#This Row],[SHORT-TYPE]])</f>
        <v>18</v>
      </c>
      <c r="F181" s="40">
        <f>COUNTIFS(非皮卡压缩表[LONG-TYPE],TYPE缩写表[[#This Row],[LONG-TYPE]],非皮卡压缩表[TYPE],TYPE缩写表[[#This Row],[SHORT-TYPE]])</f>
        <v>0</v>
      </c>
    </row>
    <row r="182" ht="12.4" spans="1:6">
      <c r="A182" s="39" t="s">
        <v>709</v>
      </c>
      <c r="B182" s="39" t="s">
        <v>549</v>
      </c>
      <c r="C182" s="36" t="s">
        <v>550</v>
      </c>
      <c r="D182" s="29" t="s">
        <v>710</v>
      </c>
      <c r="E182" s="37">
        <f>LEN(TYPE缩写表[[#This Row],[SHORT-TYPE]])</f>
        <v>18</v>
      </c>
      <c r="F182" s="40">
        <f>COUNTIFS(非皮卡压缩表[LONG-TYPE],TYPE缩写表[[#This Row],[LONG-TYPE]],非皮卡压缩表[TYPE],TYPE缩写表[[#This Row],[SHORT-TYPE]])</f>
        <v>0</v>
      </c>
    </row>
    <row r="183" ht="12.4" spans="1:6">
      <c r="A183" s="39" t="s">
        <v>711</v>
      </c>
      <c r="B183" s="39" t="s">
        <v>403</v>
      </c>
      <c r="C183" s="36" t="s">
        <v>404</v>
      </c>
      <c r="D183" s="29" t="s">
        <v>405</v>
      </c>
      <c r="E183" s="37">
        <f>LEN(TYPE缩写表[[#This Row],[SHORT-TYPE]])</f>
        <v>13</v>
      </c>
      <c r="F183" s="40">
        <f>COUNTIFS(非皮卡压缩表[LONG-TYPE],TYPE缩写表[[#This Row],[LONG-TYPE]],非皮卡压缩表[TYPE],TYPE缩写表[[#This Row],[SHORT-TYPE]])</f>
        <v>0</v>
      </c>
    </row>
    <row r="184" ht="12.4" spans="1:6">
      <c r="A184" s="39" t="s">
        <v>698</v>
      </c>
      <c r="B184" s="39" t="s">
        <v>421</v>
      </c>
      <c r="C184" s="36" t="s">
        <v>422</v>
      </c>
      <c r="E184" s="37">
        <f>LEN(TYPE缩写表[[#This Row],[SHORT-TYPE]])</f>
        <v>18</v>
      </c>
      <c r="F184" s="40">
        <f>COUNTIFS(非皮卡压缩表[LONG-TYPE],TYPE缩写表[[#This Row],[LONG-TYPE]],非皮卡压缩表[TYPE],TYPE缩写表[[#This Row],[SHORT-TYPE]])</f>
        <v>0</v>
      </c>
    </row>
    <row r="185" ht="12.4" spans="1:6">
      <c r="A185" s="39" t="s">
        <v>574</v>
      </c>
      <c r="B185" s="39" t="s">
        <v>599</v>
      </c>
      <c r="C185" s="36" t="s">
        <v>422</v>
      </c>
      <c r="D185" s="29" t="s">
        <v>699</v>
      </c>
      <c r="E185" s="37">
        <f>LEN(TYPE缩写表[[#This Row],[SHORT-TYPE]])</f>
        <v>18</v>
      </c>
      <c r="F185" s="40">
        <f>COUNTIFS(非皮卡压缩表[LONG-TYPE],TYPE缩写表[[#This Row],[LONG-TYPE]],非皮卡压缩表[TYPE],TYPE缩写表[[#This Row],[SHORT-TYPE]])</f>
        <v>0</v>
      </c>
    </row>
    <row r="186" ht="12.4" spans="1:6">
      <c r="A186" s="39" t="s">
        <v>302</v>
      </c>
      <c r="B186" s="39" t="s">
        <v>346</v>
      </c>
      <c r="C186" s="36" t="s">
        <v>347</v>
      </c>
      <c r="D186" s="29" t="s">
        <v>708</v>
      </c>
      <c r="E186" s="37">
        <f>LEN(TYPE缩写表[[#This Row],[SHORT-TYPE]])</f>
        <v>18</v>
      </c>
      <c r="F186" s="40">
        <f>COUNTIFS(非皮卡压缩表[LONG-TYPE],TYPE缩写表[[#This Row],[LONG-TYPE]],非皮卡压缩表[TYPE],TYPE缩写表[[#This Row],[SHORT-TYPE]])</f>
        <v>0</v>
      </c>
    </row>
    <row r="187" ht="12.4" spans="1:6">
      <c r="A187" s="39" t="s">
        <v>709</v>
      </c>
      <c r="B187" s="39" t="s">
        <v>549</v>
      </c>
      <c r="C187" s="36" t="s">
        <v>550</v>
      </c>
      <c r="D187" s="29" t="s">
        <v>710</v>
      </c>
      <c r="E187" s="37">
        <f>LEN(TYPE缩写表[[#This Row],[SHORT-TYPE]])</f>
        <v>18</v>
      </c>
      <c r="F187" s="40">
        <f>COUNTIFS(非皮卡压缩表[LONG-TYPE],TYPE缩写表[[#This Row],[LONG-TYPE]],非皮卡压缩表[TYPE],TYPE缩写表[[#This Row],[SHORT-TYPE]])</f>
        <v>0</v>
      </c>
    </row>
    <row r="188" spans="1:6">
      <c r="A188" s="31" t="s">
        <v>711</v>
      </c>
      <c r="B188" s="31" t="s">
        <v>403</v>
      </c>
      <c r="C188" s="29" t="s">
        <v>404</v>
      </c>
      <c r="D188" s="29" t="s">
        <v>405</v>
      </c>
      <c r="E188" s="37">
        <f>LEN(TYPE缩写表[[#This Row],[SHORT-TYPE]])</f>
        <v>13</v>
      </c>
      <c r="F188" s="40">
        <f>COUNTIFS(非皮卡压缩表[LONG-TYPE],TYPE缩写表[[#This Row],[LONG-TYPE]],非皮卡压缩表[TYPE],TYPE缩写表[[#This Row],[SHORT-TYPE]])</f>
        <v>0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B1:D1"/>
    <mergeCell ref="G1:I1"/>
    <mergeCell ref="A17:F17"/>
  </mergeCells>
  <hyperlinks>
    <hyperlink ref="G2" r:id="rId3" display="HORT-TYPE 缩写项目移植记忆.otl"/>
  </hyperlinks>
  <pageMargins left="0.75" right="0.75" top="1" bottom="1" header="0.5" footer="0.5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1"/>
  <sheetViews>
    <sheetView zoomScale="175" zoomScaleNormal="175" workbookViewId="0">
      <selection activeCell="B5" sqref="B5"/>
    </sheetView>
  </sheetViews>
  <sheetFormatPr defaultColWidth="8.14285714285714" defaultRowHeight="12.35" outlineLevelCol="2"/>
  <cols>
    <col min="1" max="1" width="24.6952380952381" customWidth="1"/>
    <col min="2" max="2" width="18.552380952381" customWidth="1"/>
    <col min="3" max="3" width="8.71428571428571" style="28"/>
  </cols>
  <sheetData>
    <row r="1" spans="1:3">
      <c r="A1" t="s">
        <v>712</v>
      </c>
      <c r="B1" t="s">
        <v>713</v>
      </c>
      <c r="C1" s="28" t="s">
        <v>212</v>
      </c>
    </row>
    <row r="2" spans="1:3">
      <c r="A2" t="s">
        <v>714</v>
      </c>
      <c r="B2" t="s">
        <v>715</v>
      </c>
      <c r="C2" s="28">
        <f>LEN(CAB缩写表[[#This Row],[SHORT-CAB]])</f>
        <v>12</v>
      </c>
    </row>
    <row r="3" spans="1:3">
      <c r="A3" t="s">
        <v>716</v>
      </c>
      <c r="B3" t="s">
        <v>717</v>
      </c>
      <c r="C3" s="28">
        <f>LEN(CAB缩写表[[#This Row],[SHORT-CAB]])</f>
        <v>7</v>
      </c>
    </row>
    <row r="4" spans="1:3">
      <c r="A4" t="s">
        <v>718</v>
      </c>
      <c r="B4" t="s">
        <v>719</v>
      </c>
      <c r="C4" s="28">
        <f>LEN(CAB缩写表[[#This Row],[SHORT-CAB]])</f>
        <v>12</v>
      </c>
    </row>
    <row r="5" spans="1:3">
      <c r="A5" t="s">
        <v>720</v>
      </c>
      <c r="B5" t="s">
        <v>721</v>
      </c>
      <c r="C5" s="28">
        <f>LEN(CAB缩写表[[#This Row],[SHORT-CAB]])</f>
        <v>10</v>
      </c>
    </row>
    <row r="6" spans="1:3">
      <c r="A6" t="s">
        <v>720</v>
      </c>
      <c r="B6" t="s">
        <v>721</v>
      </c>
      <c r="C6" s="28">
        <f>LEN(CAB缩写表[[#This Row],[SHORT-CAB]])</f>
        <v>10</v>
      </c>
    </row>
    <row r="7" spans="1:3">
      <c r="A7" t="s">
        <v>718</v>
      </c>
      <c r="B7" t="s">
        <v>719</v>
      </c>
      <c r="C7" s="28">
        <f>LEN(CAB缩写表[[#This Row],[SHORT-CAB]])</f>
        <v>12</v>
      </c>
    </row>
    <row r="8" spans="1:3">
      <c r="A8" t="s">
        <v>714</v>
      </c>
      <c r="B8" t="s">
        <v>715</v>
      </c>
      <c r="C8" s="28">
        <f>LEN(CAB缩写表[[#This Row],[SHORT-CAB]])</f>
        <v>12</v>
      </c>
    </row>
    <row r="9" spans="1:3">
      <c r="A9" t="s">
        <v>718</v>
      </c>
      <c r="B9" t="s">
        <v>719</v>
      </c>
      <c r="C9" s="28">
        <f>LEN(CAB缩写表[[#This Row],[SHORT-CAB]])</f>
        <v>12</v>
      </c>
    </row>
    <row r="10" spans="1:3">
      <c r="A10" t="s">
        <v>720</v>
      </c>
      <c r="B10" t="s">
        <v>721</v>
      </c>
      <c r="C10" s="28">
        <f>LEN(CAB缩写表[[#This Row],[SHORT-CAB]])</f>
        <v>10</v>
      </c>
    </row>
    <row r="11" spans="1:3">
      <c r="A11" t="s">
        <v>718</v>
      </c>
      <c r="B11" t="s">
        <v>719</v>
      </c>
      <c r="C11" s="28">
        <f>LEN(CAB缩写表[[#This Row],[SHORT-CAB]])</f>
        <v>12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P2"/>
  <sheetViews>
    <sheetView topLeftCell="C1" workbookViewId="0">
      <selection activeCell="C2" sqref="C2"/>
    </sheetView>
  </sheetViews>
  <sheetFormatPr defaultColWidth="8.4" defaultRowHeight="13.85" outlineLevelRow="1"/>
  <cols>
    <col min="1" max="1" width="9.64761904761905" style="14" customWidth="1"/>
    <col min="2" max="2" width="27.2190476190476" style="14" customWidth="1"/>
    <col min="3" max="3" width="19.9142857142857" style="14" customWidth="1"/>
    <col min="4" max="4" width="15.3047619047619" style="14" customWidth="1"/>
    <col min="5" max="5" width="10.3619047619048" style="14" customWidth="1"/>
    <col min="6" max="6" width="21.2857142857143" style="14" customWidth="1"/>
    <col min="7" max="7" width="14.8571428571429" style="14" customWidth="1"/>
    <col min="8" max="8" width="15.4" style="14" customWidth="1"/>
    <col min="9" max="9" width="15.4" style="15" customWidth="1"/>
    <col min="10" max="10" width="22.2190476190476" style="14" customWidth="1"/>
    <col min="11" max="11" width="8.4" style="14"/>
    <col min="12" max="12" width="21.2857142857143" style="14" customWidth="1"/>
    <col min="13" max="13" width="9.09523809523809" style="14"/>
    <col min="14" max="14" width="17.2285714285714" style="14" customWidth="1"/>
    <col min="15" max="15" width="8.4" style="14"/>
    <col min="16" max="16" width="8.4" style="16"/>
    <col min="17" max="16384" width="8.4" style="14"/>
  </cols>
  <sheetData>
    <row r="1" s="13" customFormat="1" spans="1:16">
      <c r="A1" s="17" t="s">
        <v>722</v>
      </c>
      <c r="B1" s="17" t="s">
        <v>280</v>
      </c>
      <c r="C1" s="17" t="s">
        <v>118</v>
      </c>
      <c r="D1" s="17" t="s">
        <v>119</v>
      </c>
      <c r="E1" s="17" t="s">
        <v>120</v>
      </c>
      <c r="F1" s="17" t="s">
        <v>723</v>
      </c>
      <c r="G1" s="17" t="s">
        <v>724</v>
      </c>
      <c r="H1" s="17" t="s">
        <v>725</v>
      </c>
      <c r="I1" s="18" t="s">
        <v>726</v>
      </c>
      <c r="J1" s="19" t="s">
        <v>281</v>
      </c>
      <c r="K1" s="19" t="s">
        <v>727</v>
      </c>
      <c r="L1" s="19" t="s">
        <v>728</v>
      </c>
      <c r="M1" s="19" t="s">
        <v>729</v>
      </c>
      <c r="N1" s="19" t="s">
        <v>730</v>
      </c>
      <c r="O1" s="19" t="s">
        <v>731</v>
      </c>
      <c r="P1" s="20" t="s">
        <v>732</v>
      </c>
    </row>
    <row r="2" s="14" customFormat="1" ht="13.9" spans="1:16">
      <c r="A2" s="21" t="s">
        <v>733</v>
      </c>
      <c r="B2" s="22" t="s">
        <v>734</v>
      </c>
      <c r="C2" s="22" t="s">
        <v>735</v>
      </c>
      <c r="D2" s="22" t="s">
        <v>736</v>
      </c>
      <c r="E2" s="22" t="s">
        <v>737</v>
      </c>
      <c r="F2" s="22"/>
      <c r="G2" s="22" t="s">
        <v>738</v>
      </c>
      <c r="H2" s="22" t="s">
        <v>99</v>
      </c>
      <c r="I2" s="23" t="str" cm="1">
        <f t="array" ref="I2">TRIM(_xlfn.XLOOKUP(非皮卡压缩表[[#This Row],[BACKSIZE]],ALL尺码表[内部尺码],ALL尺码表[分类],""))</f>
        <v>越野车</v>
      </c>
      <c r="J2" s="24" t="str" cm="1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5">
        <f>LEN(非皮卡压缩表[[#This Row],[LONG-TYPE]])</f>
        <v>0</v>
      </c>
      <c r="L2" s="26" t="str" cm="1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7">
        <f>LEN(非皮卡压缩表[[#This Row],[TYPE]])</f>
        <v>0</v>
      </c>
      <c r="N2" s="27" t="str" cm="1">
        <f t="array" ref="N2">_xlfn.XLOOKUP(非皮卡压缩表[[#This Row],[MODEL]],MODEL缩写表[长MODEL],MODEL缩写表[短MODEL],非皮卡压缩表[[#This Row],[MODEL]])</f>
        <v>ADX</v>
      </c>
      <c r="O2" s="27">
        <f>LEN(非皮卡压缩表[[#This Row],[SHORT-MODEL]])</f>
        <v>3</v>
      </c>
      <c r="P2" s="12" t="str" cm="1">
        <f t="array" ref="P2">TRIM(_xlfn.XLOOKUP(非皮卡压缩表[[#This Row],[BACKSIZE]],ALL尺码表[内部尺码],ALL尺码表[通用尺码]))</f>
        <v>S2</v>
      </c>
    </row>
  </sheetData>
  <sheetProtection formatCells="0" formatColumns="0" formatRows="0" insertRows="0" insertColumns="0" insertHyperlinks="0" deleteColumns="0" deleteRows="0" sort="0" autoFilter="0" pivotTables="0"/>
  <conditionalFormatting sqref="B2:P3409">
    <cfRule type="expression" dxfId="30" priority="1505">
      <formula>MOD(SUMPRODUCT(--($B$2:$B2&lt;&gt;$B$1:$B1)),2)=1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1"/>
  <dimension ref="A1:M3"/>
  <sheetViews>
    <sheetView tabSelected="1" workbookViewId="0">
      <selection activeCell="A2" sqref="A2"/>
    </sheetView>
  </sheetViews>
  <sheetFormatPr defaultColWidth="8.4" defaultRowHeight="12.35" outlineLevelRow="2"/>
  <cols>
    <col min="1" max="1" width="7.31428571428571" style="2" customWidth="1"/>
    <col min="2" max="2" width="26.6285714285714" style="3" customWidth="1"/>
    <col min="3" max="3" width="19.0857142857143" style="2" customWidth="1"/>
    <col min="4" max="4" width="29.9142857142857" style="3" customWidth="1"/>
    <col min="5" max="5" width="23.647619047619" style="3" customWidth="1"/>
    <col min="6" max="6" width="25.047619047619" style="3" customWidth="1"/>
    <col min="7" max="7" width="20.6857142857143" style="4" customWidth="1"/>
    <col min="8" max="8" width="18.352380952381" style="5" customWidth="1"/>
    <col min="9" max="9" width="10.7333333333333" style="4" customWidth="1"/>
    <col min="10" max="10" width="16.6095238095238" style="4" customWidth="1"/>
    <col min="11" max="11" width="34.9238095238095" style="4" customWidth="1"/>
    <col min="12" max="12" width="17.7238095238095" style="4" customWidth="1"/>
    <col min="13" max="13" width="8.85714285714286" style="4" customWidth="1"/>
    <col min="14" max="16378" width="8.4" style="4"/>
    <col min="16379" max="16384" width="8.4" style="6"/>
  </cols>
  <sheetData>
    <row r="1" s="1" customFormat="1" ht="13.85" spans="1:13">
      <c r="A1" s="7" t="s">
        <v>722</v>
      </c>
      <c r="B1" s="8" t="s">
        <v>118</v>
      </c>
      <c r="C1" s="8" t="s">
        <v>119</v>
      </c>
      <c r="D1" s="8" t="s">
        <v>120</v>
      </c>
      <c r="E1" s="8" t="s">
        <v>723</v>
      </c>
      <c r="F1" s="8" t="s">
        <v>2</v>
      </c>
      <c r="G1" s="8" t="s">
        <v>739</v>
      </c>
      <c r="H1" s="8" t="s">
        <v>725</v>
      </c>
      <c r="I1" s="7" t="s">
        <v>740</v>
      </c>
      <c r="J1" s="7" t="s">
        <v>713</v>
      </c>
      <c r="K1" s="7" t="s">
        <v>122</v>
      </c>
      <c r="L1" s="7" t="s">
        <v>123</v>
      </c>
      <c r="M1" s="7" t="s">
        <v>732</v>
      </c>
    </row>
    <row r="2" ht="13.85" spans="1:13">
      <c r="A2" s="9" t="s">
        <v>733</v>
      </c>
      <c r="B2" s="10" t="s">
        <v>200</v>
      </c>
      <c r="C2" s="10" t="s">
        <v>201</v>
      </c>
      <c r="D2" s="10" t="s">
        <v>741</v>
      </c>
      <c r="E2" s="10" t="s">
        <v>742</v>
      </c>
      <c r="F2" s="10" t="s">
        <v>743</v>
      </c>
      <c r="G2" s="10" t="s">
        <v>744</v>
      </c>
      <c r="H2" s="10" t="s">
        <v>71</v>
      </c>
      <c r="I2" s="11">
        <f>LEN(皮卡压缩表[[#This Row],[CAB]])</f>
        <v>4</v>
      </c>
      <c r="J2" s="11" t="str">
        <f t="array" ref="J2">_xlfn.XLOOKUP(皮卡压缩表[[#This Row],[CAB]],CAB缩写表[LONG-CAB],CAB缩写表[SHORT-CAB],皮卡压缩表[[#This Row],[CAB]])</f>
        <v>Crew</v>
      </c>
      <c r="K2" s="11" t="str">
        <f t="array" ref="K2">_xlfn.XLOOKUP(皮卡压缩表[[#This Row],[MAKE]]&amp;"|"&amp;皮卡压缩表[[#This Row],[MODEL]],皮卡前台名表[MAKE]&amp;"|"&amp;皮卡前台名表[MODEL],皮卡前台名表[TITLE])</f>
        <v>Cadillac Escalade EXT</v>
      </c>
      <c r="L2" s="11" t="str">
        <f>TRIM(_xlfn.XLOOKUP(皮卡压缩表[[#This Row],[MAKE]],皮卡前台名表[MAKE],皮卡前台名表[DESCRIPTION],""))</f>
        <v/>
      </c>
      <c r="M2" s="12" t="str">
        <f t="array" ref="M2">TRIM(_xlfn.XLOOKUP(皮卡压缩表[[#This Row],[BACKSIZE]],ALL尺码表[内部尺码],ALL尺码表[通用尺码],""))</f>
        <v>T3</v>
      </c>
    </row>
    <row r="3" ht="13.1"/>
  </sheetData>
  <sheetProtection formatCells="0" formatColumns="0" formatRows="0" insertRows="0" insertColumns="0" insertHyperlinks="0" deleteColumns="0" deleteRows="0" sort="0" autoFilter="0" pivotTables="0"/>
  <conditionalFormatting sqref="B2:M9571">
    <cfRule type="expression" dxfId="44" priority="165">
      <formula>MOD(SUMPRODUCT(--(($B$2:$B2&amp;"|"&amp;$C$2:$C2)&lt;&gt;($B$1:$B1&amp;"|"&amp;$C$1:$C1))),2)=1</formula>
    </cfRule>
  </conditionalFormatting>
  <pageMargins left="0.7" right="0.7" top="0.75" bottom="0.75" header="0.3" footer="0.3"/>
  <pageSetup paperSize="9" orientation="portrait"/>
  <headerFooter/>
  <ignoredErrors>
    <ignoredError sqref="$A3:$XFD3 N2:XFD2 $A1:$XFD1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<?xml version="1.0" encoding="utf-8"?>
<DataMashup xmlns="http://schemas.microsoft.com/DataMashup">AAAAAF0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p2hEs/wEAAHgDAAATAAAARm9ybXVsYXMvU2VjdGlvbjEubXWS72vTQBzG3/evOM43CYTCpkZl+KJWh4UKoy3uxRjjmpw27HI3che1lIKiWwv+2oupcy+0k72oCEURBDvG/plds/wXXnJtZlvNm3DP9/Lck89zHDvCYxRU9XthKZfjDRRgF1yChXJZfh9GvWfnh30IbgKCRQ6oZzTcVavVlWq+SFjorrJgs87YppEpyx7BRUYFpoIb8Opl2168YV+3ry3a0DSt1OM2EkiZKKvWQnstWa3rwejtrnzdiQ5ejHqd+Mu+2lNDdYLzKwHzmcB3MXJxwI3kCwusjdUCIVUHERRwtV8EIV4fH3N2Ohjt/ZbdD9GPY/npZeZWCxDlD1jgFxkJfVprbmFuzBxtgVYLyp3t+HlfY4AWEGojEPiJaKsplN0d5TsnFwu35rT43emGRycyDf06DrTH4EQPSlTYV/JJklSPv+3/W396EO39N9Cbz+ogOTjJvk4DI9rUntnM9ydRLn7mqDP62Z+S22OKstuLPx5FX4fnh68yhFVM1J2psMfcmKFsAYycBqBMgLLHRb7E7/hbommkiwr22SN8Dwmn4dGHJYF9blSwwwI3v+xh4t5HJFRdbJgJYJWGhoS0zcm10Unk9q+z4/eq1Zkwukxu/J037Wm6xIveoK4KZu1AxU5jhxlCGE8jh3KOcmIwpp6ShVLDbJs5j6b3fSb40h9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EsDAABbQ29udGVudF9UeXBlc10ueG1sUEsBAhQACgAAAAAAh07iQAAAAAAAAAAAAAAAAAcAAAAAAAAAAAAQAAAAAAAAAENvbmZpZy9QSwECFAAUAAAACACHTuJAEjj+mJ8AAADzAAAAEgAAAAAAAAABACAAAAAlAAAAQ29uZmlnL1BhY2thZ2UueG1sUEsBAhQACgAAAAAAh07iQAAAAAAAAAAAAAAAAAkAAAAAAAAAAAAQAAAA9AAAAEZvcm11bGFzL1BLAQIUABQAAAAIAIdO4kAp2hEs/wEAAHgDAAATAAAAAAAAAAEAIAAAABsBAABGb3JtdWxhcy9TZWN0aW9uMS5tUEsFBgAAAAAFAAUALgEAABkE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dAwAAAAAAALs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0FMTCVFNSVCMCVCQSVFNyVBMCU4MSVFOCVBMSVBODwvSXRlbVBhdGg+PC9JdGVtTG9jYXRpb24+PFN0YWJsZUVudHJpZXM+PEVudHJ5IFR5cGU9IklzUHJpdmF0ZSIgVmFsdWU9ImwwIiAvPjxFbnRyeSBUeXBlPSJGaWxsRW5hYmxlZCIgVmFsdWU9ImwxIiAvPjxFbnRyeSBUeXBlPSJGaWxsT2JqZWN0VHlwZSIgVmFsdWU9InNUYWJsZSIgLz48RW50cnkgVHlwZT0iUXVlcnlJRCIgVmFsdWU9InNiZjg3YWRlYy0wODUwLTQ4YzEtOGMzMi05NzE2MWVmZDI2N2UiIC8+PEVudHJ5IFR5cGU9IlJlc3VsdFR5cGUiIFZhbHVlPSJzVGFibGUiIC8+PEVudHJ5IFR5cGU9IkZpbGxUYXJnZXQiIFZhbHVlPSJzQUxM5bC656CB6KGoIiAvPjxFbnRyeSBUeXBlPSJGaWxsQ291bnQiIFZhbHVlPSJsMzMiIC8+PEVudHJ5IFR5cGU9IkZpbGxFcnJvckNvdW50IiBWYWx1ZT0ibDAiIC8+PEVudHJ5IFR5cGU9IkZpbGxMYXN0VXBkYXRlZCIgVmFsdWU9ImQyMDI2LTA3LTAzVDA1OjQ1OjA2LjYxODAwMDBaIiAvPjxFbnRyeSBUeXBlPSJGaWxsVGFyZ2V0TmFtZUN1c3RvbWl6ZWQiIFZhbHVlPSJsMSIgLz48L1N0YWJsZUVudHJpZXM+PC9JdGVtPjwvSXRlbXM+PC9Mb2NhbFBhY2thZ2VNZXRhZGF0YUZpbGU+FgAAAFBLBQYAAAAAAAAAAAAAAAAAAAAAAAAmAQAAAQAAANCMnd8BFdERjHoAwE/Cl+sBAAAALedAS2xODE6pflWUn4vWMgAAAAACAAAAAAAQZgAAAAEAACAAAAAKK7yCMpF8OJKzBBCmTnPJbahKjEnZHrCPH1kbCGwOfgAAAAAOgAAAAAIAACAAAADwIMvm8boZ/JsmwL7nrzrCD1pYVP3OkwiHK7Utbsiuw1AAAAAQHmNZGU2FJ/kS+LdeVGiKgYhF0O/fPuoJEE0Ei3vvft6WJwxWwnLcg32agKqa1R9DRDa0y6ri92RaiE+F4Sn9MG+Ood+sUQR8n5TDeAPra0AAAAB716OAbF85egdA5kd1wGCI3JydSpf2I9elD5eh+GI0MkYUL9D5w43NumYCyNqyhKm7+kcqieiZwBnKWIJUdXdY</DataMashup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A3E0F19A-4962-4EDE-B2D0-94573F717315}">
  <ds:schemaRefs/>
</ds:datastoreItem>
</file>

<file path=customXml/itemProps4.xml><?xml version="1.0" encoding="utf-8"?>
<ds:datastoreItem xmlns:ds="http://schemas.openxmlformats.org/officeDocument/2006/customXml" ds:itemID="{62ADE0D5-CA3F-47D4-8E04-3BA80AB31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ref-ALL尺码表</vt:lpstr>
      <vt:lpstr>排序规则</vt:lpstr>
      <vt:lpstr>皮卡前台名</vt:lpstr>
      <vt:lpstr>MODEL缩写</vt:lpstr>
      <vt:lpstr>TYPE缩写</vt:lpstr>
      <vt:lpstr>CAB缩写</vt:lpstr>
      <vt:lpstr>非皮卡压缩表</vt:lpstr>
      <vt:lpstr>皮卡压缩表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Licheng Wang</dc:creator>
  <cp:lastModifiedBy>讨债龙王</cp:lastModifiedBy>
  <dcterms:created xsi:type="dcterms:W3CDTF">2026-06-16T19:21:00Z</dcterms:created>
  <dcterms:modified xsi:type="dcterms:W3CDTF">2026-07-06T16:00:57Z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8BBCC0ED53E74A3298EBCBF531196DFB_13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