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795" firstSheet="1" activeTab="6" autoFilterDateGrouping="1"/>
  </bookViews>
  <sheets>
    <sheet name="ref-ALL尺码表" sheetId="1" state="visible" r:id="rId1"/>
    <sheet name="排序规则" sheetId="2" state="visible" r:id="rId2"/>
    <sheet name="皮卡前台名" sheetId="3" state="visible" r:id="rId3"/>
    <sheet name="MODEL缩写" sheetId="4" state="visible" r:id="rId4"/>
    <sheet name="TYPE缩写" sheetId="5" state="visible" r:id="rId5"/>
    <sheet name="CAB缩写" sheetId="6" state="visible" r:id="rId6"/>
    <sheet name="非皮卡压缩表" sheetId="7" state="visible" r:id="rId7"/>
    <sheet name="皮卡压缩表" sheetId="8" state="visible" r:id="rId8"/>
  </sheets>
  <definedNames>
    <definedName name="ExternalData_1" localSheetId="0" hidden="1">'ref-ALL尺码表'!$A$1:$J$34</definedName>
    <definedName name="ExternalData_1" localSheetId="6" hidden="1">非皮卡压缩表!$B$1:$H$2</definedName>
    <definedName name="ExternalData_1" localSheetId="7" hidden="1">皮卡压缩表!$B$1:$H$2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微软雅黑"/>
      <charset val="134"/>
      <color theme="1"/>
      <sz val="9"/>
      <scheme val="minor"/>
    </font>
    <font>
      <name val="微软雅黑"/>
      <charset val="134"/>
      <b val="1"/>
      <color theme="1"/>
      <sz val="9"/>
      <scheme val="major"/>
    </font>
    <font>
      <name val="微软雅黑"/>
      <charset val="134"/>
      <color theme="1"/>
      <sz val="9"/>
      <scheme val="major"/>
    </font>
    <font>
      <name val="微软雅黑"/>
      <charset val="134"/>
      <b val="1"/>
      <color theme="0"/>
      <sz val="9"/>
      <scheme val="major"/>
    </font>
    <font>
      <name val="微软雅黑"/>
      <charset val="134"/>
      <color rgb="FF000000"/>
      <sz val="9"/>
      <scheme val="major"/>
    </font>
    <font>
      <name val="微软雅黑"/>
      <charset val="134"/>
      <b val="1"/>
      <color rgb="FF000000"/>
      <sz val="9"/>
      <scheme val="major"/>
    </font>
    <font>
      <name val="微软雅黑"/>
      <charset val="134"/>
      <color theme="1"/>
      <sz val="9"/>
    </font>
    <font>
      <name val="微软雅黑"/>
      <charset val="134"/>
      <color theme="0"/>
      <sz val="9"/>
    </font>
    <font>
      <name val="微软雅黑"/>
      <charset val="134"/>
      <b val="1"/>
      <color theme="3"/>
      <sz val="18"/>
      <scheme val="minor"/>
    </font>
    <font>
      <name val="微软雅黑"/>
      <charset val="0"/>
      <color rgb="FF800080"/>
      <sz val="11"/>
      <u val="single"/>
      <scheme val="minor"/>
    </font>
    <font>
      <name val="微软雅黑"/>
      <charset val="134"/>
      <b val="1"/>
      <color theme="0"/>
      <sz val="9"/>
    </font>
    <font>
      <name val="微软雅黑"/>
      <charset val="134"/>
      <color rgb="FF000000"/>
      <sz val="9"/>
    </font>
    <font>
      <name val="微软雅黑"/>
      <charset val="0"/>
      <color rgb="FF0000FF"/>
      <sz val="11"/>
      <u val="single"/>
      <scheme val="minor"/>
    </font>
    <font>
      <name val="微软雅黑"/>
      <charset val="0"/>
      <color rgb="FFFF0000"/>
      <sz val="11"/>
      <scheme val="minor"/>
    </font>
    <font>
      <name val="微软雅黑"/>
      <charset val="0"/>
      <i val="1"/>
      <color rgb="FF7F7F7F"/>
      <sz val="11"/>
      <scheme val="minor"/>
    </font>
    <font>
      <name val="微软雅黑"/>
      <charset val="134"/>
      <b val="1"/>
      <color theme="3"/>
      <sz val="15"/>
      <scheme val="minor"/>
    </font>
    <font>
      <name val="微软雅黑"/>
      <charset val="134"/>
      <b val="1"/>
      <color theme="3"/>
      <sz val="13"/>
      <scheme val="minor"/>
    </font>
    <font>
      <name val="微软雅黑"/>
      <charset val="134"/>
      <b val="1"/>
      <color theme="3"/>
      <sz val="11"/>
      <scheme val="minor"/>
    </font>
    <font>
      <name val="微软雅黑"/>
      <charset val="0"/>
      <color rgb="FF3F3F76"/>
      <sz val="11"/>
      <scheme val="minor"/>
    </font>
    <font>
      <name val="微软雅黑"/>
      <charset val="0"/>
      <b val="1"/>
      <color rgb="FF3F3F3F"/>
      <sz val="11"/>
      <scheme val="minor"/>
    </font>
    <font>
      <name val="微软雅黑"/>
      <charset val="0"/>
      <b val="1"/>
      <color rgb="FFFA7D00"/>
      <sz val="11"/>
      <scheme val="minor"/>
    </font>
    <font>
      <name val="微软雅黑"/>
      <charset val="0"/>
      <b val="1"/>
      <color rgb="FFFFFFFF"/>
      <sz val="11"/>
      <scheme val="minor"/>
    </font>
    <font>
      <name val="微软雅黑"/>
      <charset val="0"/>
      <color rgb="FFFA7D00"/>
      <sz val="11"/>
      <scheme val="minor"/>
    </font>
    <font>
      <name val="微软雅黑"/>
      <charset val="0"/>
      <b val="1"/>
      <color theme="1"/>
      <sz val="11"/>
      <scheme val="minor"/>
    </font>
    <font>
      <name val="微软雅黑"/>
      <charset val="0"/>
      <color rgb="FF006100"/>
      <sz val="11"/>
      <scheme val="minor"/>
    </font>
    <font>
      <name val="微软雅黑"/>
      <charset val="0"/>
      <color rgb="FF9C0006"/>
      <sz val="11"/>
      <scheme val="minor"/>
    </font>
    <font>
      <name val="微软雅黑"/>
      <charset val="0"/>
      <color rgb="FF9C6500"/>
      <sz val="11"/>
      <scheme val="minor"/>
    </font>
    <font>
      <name val="微软雅黑"/>
      <charset val="0"/>
      <color theme="0"/>
      <sz val="11"/>
      <scheme val="minor"/>
    </font>
    <font>
      <name val="微软雅黑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 tint="0.599993896298105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2" fillId="0" borderId="0" applyAlignment="1">
      <alignment vertical="center"/>
    </xf>
    <xf numFmtId="0" fontId="9" fillId="0" borderId="0" applyAlignment="1">
      <alignment vertical="center"/>
    </xf>
    <xf numFmtId="0" fontId="6" fillId="5" borderId="5" applyAlignment="1">
      <alignment vertical="center"/>
    </xf>
    <xf numFmtId="0" fontId="13" fillId="0" borderId="0" applyAlignment="1">
      <alignment vertical="center"/>
    </xf>
    <xf numFmtId="0" fontId="8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6" borderId="8" applyAlignment="1">
      <alignment vertical="center"/>
    </xf>
    <xf numFmtId="0" fontId="19" fillId="7" borderId="9" applyAlignment="1">
      <alignment vertical="center"/>
    </xf>
    <xf numFmtId="0" fontId="20" fillId="7" borderId="8" applyAlignment="1">
      <alignment vertical="center"/>
    </xf>
    <xf numFmtId="0" fontId="21" fillId="8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49" fontId="3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4" fillId="3" borderId="0" applyAlignment="1" pivotButton="0" quotePrefix="0" xfId="0">
      <alignment horizontal="left" vertical="center"/>
    </xf>
    <xf numFmtId="49" fontId="4" fillId="3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49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3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10">
      <alignment horizontal="center" vertical="center"/>
    </xf>
    <xf numFmtId="0" fontId="9" fillId="0" borderId="0" applyAlignment="1" pivotButton="0" quotePrefix="0" xfId="6">
      <alignment vertical="center"/>
    </xf>
    <xf numFmtId="0" fontId="10" fillId="4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49" fontId="6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alignment vertical="center"/>
    </dxf>
    <dxf>
      <alignment vertical="center"/>
    </dxf>
    <dxf>
      <alignment vertical="center"/>
    </dxf>
    <dxf>
      <font>
        <name val="微软雅黑"/>
        <sz val="9"/>
      </font>
    </dxf>
    <dxf>
      <font>
        <name val="微软雅黑"/>
        <color rgb="FF000000"/>
        <sz val="9"/>
      </font>
      <alignment wrapText="1"/>
    </dxf>
    <dxf>
      <font>
        <name val="微软雅黑"/>
        <color rgb="FF000000"/>
        <sz val="9"/>
      </font>
      <alignment wrapText="1"/>
    </dxf>
    <dxf>
      <font>
        <name val="微软雅黑"/>
        <sz val="9"/>
      </font>
    </dxf>
    <dxf>
      <font>
        <name val="微软雅黑"/>
        <sz val="9"/>
      </font>
      <numFmt numFmtId="0" formatCode="General"/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alignment vertical="center"/>
    </dxf>
    <dxf>
      <alignment vertical="center"/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  <numFmt numFmtId="0" formatCode="General"/>
      <alignment vertical="center"/>
      <border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numFmt numFmtId="0" formatCode="General"/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FFFFFF"/>
        <sz val="11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color rgb="FF08090C"/>
        <sz val="11"/>
      </font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" defaultTableStyle="TableStyleMedium2" defaultPivotStyle="PivotStyleLight16">
    <tableStyle name="中色系标题行表格样式_a1c4d4" count="10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secondRowStripe" dxfId="64"/>
      <tableStyleElement type="firstColumnStripe" dxfId="63"/>
      <tableStyleElement type="secondColumnStripe" dxfId="62"/>
      <tableStyleElement type="firstTotalCell" dxfId="61"/>
      <tableStyleElement type="lastTotalCell" dxfId="60"/>
    </tableStyle>
    <tableStyle name="浅色系标题行表格样式_b4126a" count="10">
      <tableStyleElement type="wholeTable" dxfId="79"/>
      <tableStyleElement type="headerRow" dxfId="78"/>
      <tableStyleElement type="totalRow" dxfId="77"/>
      <tableStyleElement type="firstColumn" dxfId="76"/>
      <tableStyleElement type="lastColumn" dxfId="75"/>
      <tableStyleElement type="secondRowStripe" dxfId="74"/>
      <tableStyleElement type="firstColumnStripe" dxfId="73"/>
      <tableStyleElement type="secondColumnStripe" dxfId="72"/>
      <tableStyleElement type="firstTotalCell" dxfId="71"/>
      <tableStyleElement type="lastTotalCell" dxfId="70"/>
    </tableStyle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ALL尺码表" displayName="ALL尺码表" ref="A1:J34" headerRowCount="1" totalsRowShown="0">
  <autoFilter ref="A1:J34"/>
  <tableColumns count="10">
    <tableColumn id="1" name="内部尺码" dataDxfId="0"/>
    <tableColumn id="2" name="分类" dataDxfId="1"/>
    <tableColumn id="3" name="CAB" dataDxfId="2"/>
    <tableColumn id="4" name="长_in" dataDxfId="3"/>
    <tableColumn id="5" name="宽_in" dataDxfId="4"/>
    <tableColumn id="6" name="高_in" dataDxfId="5"/>
    <tableColumn id="7" name="通用尺码" dataDxfId="6"/>
    <tableColumn id="8" name="原长宽高_in" dataDxfId="7"/>
    <tableColumn id="9" name="长宽高_mm" dataDxfId="8"/>
    <tableColumn id="10" name="备注" dataDxfId="9"/>
  </tableColumns>
  <tableStyleInfo name="中色系标题行表格样式_a1c4d4" showFirstColumn="0" showLastColumn="0" showRowStripes="1" showColumnStripes="0"/>
</table>
</file>

<file path=xl/tables/table2.xml><?xml version="1.0" encoding="utf-8"?>
<table xmlns="http://schemas.openxmlformats.org/spreadsheetml/2006/main" id="2" name="皮卡前台名表" displayName="皮卡前台名表" ref="A1:D34" headerRowCount="1" totalsRowShown="0">
  <autoFilter ref="A1:D34"/>
  <sortState ref="A1:D34">
    <sortCondition descending="1" ref="A1"/>
  </sortState>
  <tableColumns count="4">
    <tableColumn id="1" name="MAKE" dataDxfId="10"/>
    <tableColumn id="4" name="MODEL" dataDxfId="11"/>
    <tableColumn id="2" name="TITLE" dataDxfId="12"/>
    <tableColumn id="3" name="DESCRIPTION" dataDxfId="13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3" name="MODEL缩写表" displayName="MODEL缩写表" ref="A1:C13" headerRowCount="1" totalsRowShown="0">
  <autoFilter ref="A1:C13"/>
  <tableColumns count="3">
    <tableColumn id="1" name="长MODEL" dataDxfId="14"/>
    <tableColumn id="2" name="短MODEL" dataDxfId="15"/>
    <tableColumn id="3" name="字符数" dataDxfId="16">
      <calculatedColumnFormula>LEN(B2)</calculatedColumnFormula>
    </tableColumn>
  </tableColumns>
  <tableStyleInfo name="中色系标题行表格样式_a1c4d4" showFirstColumn="0" showLastColumn="0" showRowStripes="1" showColumnStripes="0"/>
</table>
</file>

<file path=xl/tables/table4.xml><?xml version="1.0" encoding="utf-8"?>
<table xmlns="http://schemas.openxmlformats.org/spreadsheetml/2006/main" id="4" name="TYPE缩写表" displayName="TYPE缩写表" ref="A18:F188" headerRowCount="1" totalsRowShown="0">
  <sortState ref="A18:F188">
    <sortCondition descending="1" ref="F18"/>
  </sortState>
  <tableColumns count="6">
    <tableColumn id="5" name="CAR" dataDxfId="17"/>
    <tableColumn id="1" name="LONG-TYPE" dataDxfId="18"/>
    <tableColumn id="2" name="SHORT-TYPE" dataDxfId="19"/>
    <tableColumn id="4" name="去除版本说明" dataDxfId="20"/>
    <tableColumn id="3" name="REDUCED-LEN" dataDxfId="21">
      <calculatedColumnFormula>LEN(表8[[#This Row],[说明]])</calculatedColumnFormula>
    </tableColumn>
    <tableColumn id="6" name="引用次数" dataDxfId="22"/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5" name="表8" displayName="表8" ref="B2:D14" headerRowCount="1" totalsRowShown="0">
  <autoFilter ref="B2:D14"/>
  <tableColumns count="3">
    <tableColumn id="1" name="原结构词" dataDxfId="23"/>
    <tableColumn id="2" name="SHORT结构词" dataDxfId="24"/>
    <tableColumn id="3" name="说明" dataDxfId="25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6" name="CAB缩写表" displayName="CAB缩写表" ref="A1:C11" headerRowCount="1" totalsRowShown="0">
  <autoFilter ref="A1:C11"/>
  <tableColumns count="3">
    <tableColumn id="1" name="LONG-CAB" dataDxfId="26"/>
    <tableColumn id="2" name="SHORT-CAB" dataDxfId="27"/>
    <tableColumn id="3" name="字符数" dataDxfId="28"/>
  </tableColumns>
  <tableStyleInfo name="中色系标题行表格样式_a1c4d4" showFirstColumn="0" showLastColumn="0" showRowStripes="1" showColumnStripes="0"/>
</table>
</file>

<file path=xl/tables/table7.xml><?xml version="1.0" encoding="utf-8"?>
<table xmlns="http://schemas.openxmlformats.org/spreadsheetml/2006/main" id="7" name="非皮卡压缩表" displayName="非皮卡压缩表" ref="A1:P1379" headerRowCount="1" totalsRowShown="0">
  <autoFilter ref="A1:P1379"/>
  <sortState ref="A2:P1379">
    <sortCondition ref="A2:A1379"/>
    <sortCondition ref="C2:C1379"/>
    <sortCondition ref="D2:D1379"/>
    <sortCondition ref="I2:I1379" customList="越野车, 三厢车, 跑车, 两厢车, 皮卡"/>
    <sortCondition ref="E2:E1379"/>
  </sortState>
  <tableColumns count="16">
    <tableColumn id="1" name="店铺" dataDxfId="29"/>
    <tableColumn id="2" name="CAR" dataDxfId="30"/>
    <tableColumn id="3" name="MAKE" dataDxfId="31"/>
    <tableColumn id="4" name="MODEL" dataDxfId="32"/>
    <tableColumn id="5" name="YEAR" dataDxfId="33"/>
    <tableColumn id="6" name="VERSION" dataDxfId="34"/>
    <tableColumn id="7" name="CONST" dataDxfId="35"/>
    <tableColumn id="8" name="BACKSIZE" dataDxfId="36"/>
    <tableColumn id="16" name="CATAGORY" dataDxfId="37">
      <calculatedColumnFormula array="1">TRIM(_xlfn.XLOOKUP(非皮卡压缩表[[#This Row],[BACKSIZE]],ALL尺码表[内部尺码],ALL尺码表[分类],""))</calculatedColumnFormula>
    </tableColumn>
    <tableColumn id="9" name="LONG-TYPE" dataDxfId="38">
      <calculatedColumnFormula array="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calculatedColumnFormula>
    </tableColumn>
    <tableColumn id="10" name="LONG-TYPE-LEN" dataDxfId="39">
      <calculatedColumnFormula>LEN(非皮卡压缩表[[#This Row],[LONG-TYPE]])</calculatedColumnFormula>
    </tableColumn>
    <tableColumn id="11" name="TYPE" dataDxfId="40">
      <calculatedColumnFormula array="1">_xlfn.LET(_xlpm.car,TRIM(非皮卡压缩表[[#This Row],[CAR]]),_xlpm.longType,TRIM(非皮卡压缩表[[#This Row],[LONG-TYPE]]),_xlpm.car列,TRIM(表8[原结构词]),_xlpm.longType列,TRIM(表8[SHORT结构词]),_xlpm.shortType列,表8[说明],_xlpm.score,(_xlpm.longType列=_xlpm.longType)*((_xlpm.car列=_xlpm.car)*2+(_xlpm.car列="")*1),TRIM(IF(MAX(_xlpm.score)&gt;0,INDEX(_xlpm.shortType列,_xlfn.XMATCH(MAX(_xlpm.score),_xlpm.score,0)),非皮卡压缩表[[#This Row],[LONG-TYPE]])))</calculatedColumnFormula>
    </tableColumn>
    <tableColumn id="12" name="TYPE-LEN_x000a_" dataDxfId="41">
      <calculatedColumnFormula>LEN(非皮卡压缩表[[#This Row],[TYPE]])</calculatedColumnFormula>
    </tableColumn>
    <tableColumn id="13" name="SHORT-MODEL" dataDxfId="42">
      <calculatedColumnFormula array="1">_xlfn.XLOOKUP(非皮卡压缩表[[#This Row],[MODEL]],MODEL缩写表[长MODEL],MODEL缩写表[短MODEL],非皮卡压缩表[[#This Row],[MODEL]])</calculatedColumnFormula>
    </tableColumn>
    <tableColumn id="14" name="MODEL-LEN" dataDxfId="43">
      <calculatedColumnFormula>LEN(非皮卡压缩表[[#This Row],[SHORT-MODEL]])</calculatedColumnFormula>
    </tableColumn>
    <tableColumn id="15" name="SIZE" dataDxfId="44">
      <calculatedColumnFormula array="1">TRIM(_xlfn.XLOOKUP(非皮卡压缩表[[#This Row],[BACKSIZE]],ALL尺码表[内部尺码],ALL尺码表[通用尺码]))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皮卡压缩表" displayName="皮卡压缩表" ref="A1:M149" headerRowCount="1" totalsRowShown="0">
  <autoFilter ref="A1:M148"/>
  <sortState ref="A1:M148">
    <sortCondition ref="A2:A148"/>
    <sortCondition ref="K2:K148"/>
    <sortCondition ref="C2:C148"/>
    <sortCondition ref="F2:F148"/>
    <sortCondition ref="D2:D148"/>
  </sortState>
  <tableColumns count="13">
    <tableColumn id="1" name="店铺" dataDxfId="46"/>
    <tableColumn id="3" name="MAKE" dataDxfId="47"/>
    <tableColumn id="4" name="MODEL" dataDxfId="48"/>
    <tableColumn id="5" name="YEAR" dataDxfId="49"/>
    <tableColumn id="6" name="VERSION" dataDxfId="50"/>
    <tableColumn id="7" name="CAB" dataDxfId="51"/>
    <tableColumn id="8" name="BED" dataDxfId="52"/>
    <tableColumn id="9" name="BACKSIZE" dataDxfId="53"/>
    <tableColumn id="10" name="CAB-LEN" dataDxfId="54">
      <calculatedColumnFormula>LEN(皮卡压缩表[[#This Row],[CAB]])</calculatedColumnFormula>
    </tableColumn>
    <tableColumn id="11" name="SHORT-CAB" dataDxfId="55">
      <calculatedColumnFormula array="1">_xlfn.XLOOKUP(皮卡压缩表[[#This Row],[CAB]],CAB缩写表[LONG-CAB],CAB缩写表[SHORT-CAB],皮卡压缩表[[#This Row],[CAB]])</calculatedColumnFormula>
    </tableColumn>
    <tableColumn id="12" name="TITLE" dataDxfId="56">
      <calculatedColumnFormula array="1">_xlfn.XLOOKUP(皮卡压缩表[[#This Row],[MAKE]]&amp;"|"&amp;皮卡压缩表[[#This Row],[MODEL]],皮卡前台名表[MAKE]&amp;"|"&amp;皮卡前台名表[MODEL],皮卡前台名表[TITLE])</calculatedColumnFormula>
    </tableColumn>
    <tableColumn id="13" name="DESCRIPTION" dataDxfId="57">
      <calculatedColumnFormula>TRIM(_xlfn.XLOOKUP(皮卡压缩表[[#This Row],[MAKE]],皮卡前台名表[MAKE],皮卡前台名表[DESCRIPTION],""))</calculatedColumnFormula>
    </tableColumn>
    <tableColumn id="14" name="SIZE" dataDxfId="58">
      <calculatedColumnFormula array="1">TRIM(_xlfn.XLOOKUP(皮卡压缩表[[#This Row],[BACKSIZE]],ALL尺码表[内部尺码],ALL尺码表[通用尺码],""))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kdocs.cn/l/ce71bxjn0g6m" TargetMode="Externa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I8" sqref="I8"/>
    </sheetView>
  </sheetViews>
  <sheetFormatPr baseColWidth="8" defaultColWidth="8.571428571428569" defaultRowHeight="14.25"/>
  <cols>
    <col width="9.71428571428571" customWidth="1" style="23" min="1" max="1"/>
    <col width="6.71428571428571" customWidth="1" style="23" min="2" max="2"/>
    <col width="8" customWidth="1" style="23" min="3" max="3"/>
    <col width="6.57142857142857" customWidth="1" style="23" min="4" max="4"/>
    <col width="5.71428571428571" customWidth="1" style="23" min="5" max="6"/>
    <col width="8.428571428571431" customWidth="1" style="23" min="7" max="7"/>
    <col width="11" customWidth="1" style="23" min="8" max="8"/>
    <col width="15.5714285714286" customWidth="1" style="23" min="9" max="9"/>
    <col width="10.8571428571429" customWidth="1" style="23" min="10" max="10"/>
    <col width="9.52380952380952" customWidth="1" style="23" min="11" max="11"/>
    <col width="19.8571428571429" customWidth="1" style="23" min="12" max="12"/>
    <col width="17.8761904761905" customWidth="1" style="23" min="13" max="13"/>
    <col width="9.52380952380952" customWidth="1" style="23" min="14" max="15"/>
  </cols>
  <sheetData>
    <row r="1">
      <c r="A1" s="0" t="inlineStr">
        <is>
          <t>内部尺码</t>
        </is>
      </c>
      <c r="B1" s="0" t="inlineStr">
        <is>
          <t>分类</t>
        </is>
      </c>
      <c r="C1" s="0" t="inlineStr">
        <is>
          <t>CAB</t>
        </is>
      </c>
      <c r="D1" s="0" t="inlineStr">
        <is>
          <t>长_in</t>
        </is>
      </c>
      <c r="E1" s="0" t="inlineStr">
        <is>
          <t>宽_in</t>
        </is>
      </c>
      <c r="F1" s="0" t="inlineStr">
        <is>
          <t>高_in</t>
        </is>
      </c>
      <c r="G1" s="0" t="inlineStr">
        <is>
          <t>通用尺码</t>
        </is>
      </c>
      <c r="H1" s="0" t="inlineStr">
        <is>
          <t>原长宽高_in</t>
        </is>
      </c>
      <c r="I1" s="0" t="inlineStr">
        <is>
          <t>长宽高_mm</t>
        </is>
      </c>
      <c r="J1" s="0" t="inlineStr">
        <is>
          <t>备注</t>
        </is>
      </c>
      <c r="K1" s="0" t="n"/>
      <c r="L1" s="0" t="n"/>
      <c r="M1" s="0" t="n"/>
      <c r="N1" s="0" t="n"/>
      <c r="O1" s="0" t="n"/>
    </row>
    <row r="2">
      <c r="A2" s="0" t="inlineStr">
        <is>
          <t>2S</t>
        </is>
      </c>
      <c r="B2" s="0" t="inlineStr">
        <is>
          <t>两厢车</t>
        </is>
      </c>
      <c r="D2" s="0" t="n">
        <v>142</v>
      </c>
      <c r="E2" s="0" t="n">
        <v>67</v>
      </c>
      <c r="F2" s="0" t="n">
        <v>62</v>
      </c>
      <c r="H2" s="0" t="inlineStr">
        <is>
          <t>142*67*62</t>
        </is>
      </c>
      <c r="I2" s="0" t="inlineStr">
        <is>
          <t>3600*1700*1550</t>
        </is>
      </c>
      <c r="L2" s="0" t="n"/>
      <c r="M2" s="0" t="n"/>
      <c r="N2" s="0" t="n"/>
      <c r="O2" s="0" t="n"/>
    </row>
    <row r="3">
      <c r="A3" s="0" t="inlineStr">
        <is>
          <t>2M</t>
        </is>
      </c>
      <c r="B3" s="0" t="inlineStr">
        <is>
          <t>两厢车</t>
        </is>
      </c>
      <c r="D3" s="0" t="n">
        <v>163</v>
      </c>
      <c r="E3" s="0" t="n">
        <v>69</v>
      </c>
      <c r="F3" s="0" t="n">
        <v>57</v>
      </c>
      <c r="G3" s="0" t="inlineStr">
        <is>
          <t>H0</t>
        </is>
      </c>
      <c r="H3" s="0" t="inlineStr">
        <is>
          <t>163*69*57</t>
        </is>
      </c>
      <c r="I3" s="0" t="inlineStr">
        <is>
          <t>4150*1750*1450</t>
        </is>
      </c>
      <c r="L3" s="0" t="n"/>
      <c r="M3" s="0" t="n"/>
      <c r="N3" s="0" t="n"/>
      <c r="O3" s="0" t="n"/>
    </row>
    <row r="4">
      <c r="A4" s="0" t="inlineStr">
        <is>
          <t>2L+</t>
        </is>
      </c>
      <c r="B4" s="0" t="inlineStr">
        <is>
          <t>两厢车</t>
        </is>
      </c>
      <c r="D4" s="0" t="n">
        <v>178</v>
      </c>
      <c r="E4" s="0" t="n">
        <v>72</v>
      </c>
      <c r="F4" s="0" t="n">
        <v>59</v>
      </c>
      <c r="G4" s="0" t="inlineStr">
        <is>
          <t>H1</t>
        </is>
      </c>
      <c r="H4" s="0" t="inlineStr">
        <is>
          <t>178*72*59</t>
        </is>
      </c>
      <c r="I4" s="0" t="inlineStr">
        <is>
          <t>4500*1850*1500</t>
        </is>
      </c>
      <c r="L4" s="0" t="n"/>
      <c r="M4" s="0" t="n"/>
      <c r="N4" s="0" t="n"/>
      <c r="O4" s="0" t="n"/>
    </row>
    <row r="5">
      <c r="A5" s="0" t="inlineStr">
        <is>
          <t>2XL</t>
        </is>
      </c>
      <c r="B5" s="0" t="inlineStr">
        <is>
          <t>两厢车</t>
        </is>
      </c>
      <c r="D5" s="0" t="n">
        <v>190</v>
      </c>
      <c r="E5" s="0" t="n">
        <v>72</v>
      </c>
      <c r="F5" s="0" t="n">
        <v>63</v>
      </c>
      <c r="H5" s="0" t="inlineStr">
        <is>
          <t>190*72*63</t>
        </is>
      </c>
      <c r="I5" s="0" t="inlineStr">
        <is>
          <t>4850*1850*1600</t>
        </is>
      </c>
      <c r="L5" s="0" t="n"/>
      <c r="M5" s="0" t="n"/>
      <c r="N5" s="0" t="n"/>
    </row>
    <row r="6">
      <c r="A6" s="0" t="inlineStr">
        <is>
          <t>2XL+</t>
        </is>
      </c>
      <c r="B6" s="0" t="inlineStr">
        <is>
          <t>两厢车</t>
        </is>
      </c>
      <c r="D6" s="0" t="n">
        <v>200</v>
      </c>
      <c r="E6" s="0" t="n">
        <v>72</v>
      </c>
      <c r="F6" s="0" t="n">
        <v>63</v>
      </c>
      <c r="H6" s="0" t="inlineStr">
        <is>
          <t>200*72*63</t>
        </is>
      </c>
      <c r="I6" s="0" t="inlineStr">
        <is>
          <t>5050*1850*1600</t>
        </is>
      </c>
      <c r="J6" s="0" t="n"/>
      <c r="L6" s="0" t="n"/>
      <c r="M6" s="0" t="n"/>
      <c r="N6" s="0" t="n"/>
    </row>
    <row r="7">
      <c r="A7" s="0" t="inlineStr">
        <is>
          <t>2XXL</t>
        </is>
      </c>
      <c r="B7" s="0" t="inlineStr">
        <is>
          <t>两厢车</t>
        </is>
      </c>
      <c r="D7" s="0" t="n">
        <v>206</v>
      </c>
      <c r="E7" s="0" t="n">
        <v>75</v>
      </c>
      <c r="F7" s="0" t="n">
        <v>70</v>
      </c>
      <c r="G7" s="0" t="inlineStr">
        <is>
          <t>H2</t>
        </is>
      </c>
      <c r="H7" s="0" t="inlineStr">
        <is>
          <t>206*75*70</t>
        </is>
      </c>
      <c r="I7" s="0" t="inlineStr">
        <is>
          <t>5250*1900*1800</t>
        </is>
      </c>
      <c r="J7" s="0" t="inlineStr">
        <is>
          <t>=2XXL-525</t>
        </is>
      </c>
      <c r="L7" s="0" t="n"/>
      <c r="M7" s="0" t="n"/>
      <c r="N7" s="0" t="n"/>
    </row>
    <row r="8">
      <c r="A8" s="0" t="inlineStr">
        <is>
          <t>2XXL-525</t>
        </is>
      </c>
      <c r="B8" s="0" t="inlineStr">
        <is>
          <t>两厢车</t>
        </is>
      </c>
      <c r="D8" s="0" t="n">
        <v>206</v>
      </c>
      <c r="E8" s="0" t="n">
        <v>75</v>
      </c>
      <c r="F8" s="0" t="n">
        <v>70</v>
      </c>
      <c r="G8" s="0" t="inlineStr">
        <is>
          <t>H2</t>
        </is>
      </c>
      <c r="H8" s="0" t="inlineStr">
        <is>
          <t>206*75*70</t>
        </is>
      </c>
      <c r="I8" s="0" t="inlineStr">
        <is>
          <t>5250*1900*1800</t>
        </is>
      </c>
      <c r="L8" s="0" t="n"/>
      <c r="M8" s="0" t="n"/>
      <c r="N8" s="0" t="n"/>
    </row>
    <row r="9">
      <c r="A9" s="0" t="inlineStr">
        <is>
          <t>3S-0</t>
        </is>
      </c>
      <c r="B9" s="0" t="inlineStr">
        <is>
          <t>跑车</t>
        </is>
      </c>
      <c r="D9" s="0" t="n">
        <v>165</v>
      </c>
      <c r="E9" s="0" t="n">
        <v>67</v>
      </c>
      <c r="F9" s="0" t="n">
        <v>57</v>
      </c>
      <c r="G9" s="0" t="inlineStr">
        <is>
          <t>C1</t>
        </is>
      </c>
      <c r="H9" s="0" t="inlineStr">
        <is>
          <t>165*67*57</t>
        </is>
      </c>
      <c r="I9" s="0" t="inlineStr">
        <is>
          <t>4200*1700*1450</t>
        </is>
      </c>
      <c r="L9" s="0" t="n"/>
      <c r="M9" s="0" t="n"/>
      <c r="N9" s="0" t="n"/>
      <c r="O9" s="0" t="n"/>
    </row>
    <row r="10">
      <c r="A10" s="0" t="inlineStr">
        <is>
          <t>3M-0</t>
        </is>
      </c>
      <c r="B10" s="0" t="inlineStr">
        <is>
          <t>跑车</t>
        </is>
      </c>
      <c r="D10" s="0" t="n">
        <v>178</v>
      </c>
      <c r="E10" s="0" t="n">
        <v>68</v>
      </c>
      <c r="F10" s="0" t="n">
        <v>59</v>
      </c>
      <c r="G10" s="0" t="inlineStr">
        <is>
          <t>C2</t>
        </is>
      </c>
      <c r="H10" s="0" t="inlineStr">
        <is>
          <t>178*68*59</t>
        </is>
      </c>
      <c r="I10" s="0" t="inlineStr">
        <is>
          <t>4500*1750*1500</t>
        </is>
      </c>
      <c r="L10" s="0" t="n"/>
    </row>
    <row r="11">
      <c r="A11" s="0" t="inlineStr">
        <is>
          <t>3L-0</t>
        </is>
      </c>
      <c r="B11" s="0" t="inlineStr">
        <is>
          <t>跑车</t>
        </is>
      </c>
      <c r="D11" s="0" t="n">
        <v>185</v>
      </c>
      <c r="E11" s="0" t="n">
        <v>70</v>
      </c>
      <c r="F11" s="0" t="n">
        <v>59</v>
      </c>
      <c r="G11" s="0" t="inlineStr">
        <is>
          <t>C3</t>
        </is>
      </c>
      <c r="H11" s="0" t="inlineStr">
        <is>
          <t>185*70*59</t>
        </is>
      </c>
      <c r="I11" s="0" t="inlineStr">
        <is>
          <t>4700*1800*1500</t>
        </is>
      </c>
      <c r="L11" s="0" t="n"/>
      <c r="M11" s="0" t="n"/>
      <c r="N11" s="0" t="n"/>
      <c r="O11" s="0" t="n"/>
    </row>
    <row r="12">
      <c r="A12" s="0" t="inlineStr">
        <is>
          <t>3XL-0</t>
        </is>
      </c>
      <c r="B12" s="0" t="inlineStr">
        <is>
          <t>跑车</t>
        </is>
      </c>
      <c r="D12" s="0" t="n">
        <v>193</v>
      </c>
      <c r="E12" s="0" t="n">
        <v>72</v>
      </c>
      <c r="F12" s="0" t="n">
        <v>59</v>
      </c>
      <c r="G12" s="0" t="inlineStr">
        <is>
          <t>C4</t>
        </is>
      </c>
      <c r="H12" s="0" t="inlineStr">
        <is>
          <t>193*72*59</t>
        </is>
      </c>
      <c r="I12" s="0" t="inlineStr">
        <is>
          <t>4950*1850*1500</t>
        </is>
      </c>
      <c r="L12" s="0" t="n"/>
      <c r="M12" s="0" t="n"/>
      <c r="N12" s="0" t="n"/>
    </row>
    <row r="13">
      <c r="A13" s="0" t="inlineStr">
        <is>
          <t>3XL+0</t>
        </is>
      </c>
      <c r="B13" s="0" t="inlineStr">
        <is>
          <t>跑车</t>
        </is>
      </c>
      <c r="D13" s="0" t="n">
        <v>203</v>
      </c>
      <c r="E13" s="0" t="n">
        <v>78</v>
      </c>
      <c r="F13" s="0" t="n">
        <v>59</v>
      </c>
      <c r="G13" s="0" t="inlineStr">
        <is>
          <t>C5</t>
        </is>
      </c>
      <c r="H13" s="0" t="inlineStr">
        <is>
          <t>203*78*59</t>
        </is>
      </c>
      <c r="I13" s="0" t="inlineStr">
        <is>
          <t>5150*2000*1500</t>
        </is>
      </c>
      <c r="J13" s="0" t="inlineStr">
        <is>
          <t>=3XL+-0</t>
        </is>
      </c>
      <c r="L13" s="0" t="n"/>
      <c r="M13" s="0" t="n"/>
      <c r="N13" s="0" t="n"/>
    </row>
    <row r="14">
      <c r="A14" s="0" t="inlineStr">
        <is>
          <t>3XL+-0</t>
        </is>
      </c>
      <c r="B14" s="0" t="inlineStr">
        <is>
          <t>跑车</t>
        </is>
      </c>
      <c r="D14" s="0" t="n">
        <v>203</v>
      </c>
      <c r="E14" s="0" t="n">
        <v>78</v>
      </c>
      <c r="F14" s="0" t="n">
        <v>59</v>
      </c>
      <c r="G14" s="0" t="inlineStr">
        <is>
          <t>C5</t>
        </is>
      </c>
      <c r="H14" s="0" t="inlineStr">
        <is>
          <t>203*78*59</t>
        </is>
      </c>
      <c r="I14" s="0" t="inlineStr">
        <is>
          <t>5150*2000*1500</t>
        </is>
      </c>
      <c r="L14" s="0" t="n"/>
      <c r="M14" s="0" t="n"/>
      <c r="N14" s="0" t="n"/>
    </row>
    <row r="15">
      <c r="A15" s="0" t="inlineStr">
        <is>
          <t>3XXL-0</t>
        </is>
      </c>
      <c r="B15" s="0" t="inlineStr">
        <is>
          <t>跑车</t>
        </is>
      </c>
      <c r="D15" s="0" t="n">
        <v>208</v>
      </c>
      <c r="E15" s="0" t="n">
        <v>78</v>
      </c>
      <c r="F15" s="0" t="n">
        <v>59</v>
      </c>
      <c r="H15" s="0" t="inlineStr">
        <is>
          <t>208*78*59</t>
        </is>
      </c>
      <c r="I15" s="0" t="inlineStr">
        <is>
          <t>5300*2000*1500</t>
        </is>
      </c>
      <c r="L15" s="0" t="n"/>
      <c r="M15" s="0" t="n"/>
      <c r="N15" s="0" t="n"/>
    </row>
    <row r="16">
      <c r="A16" s="0" t="inlineStr">
        <is>
          <t>3XXXL-0</t>
        </is>
      </c>
      <c r="B16" s="0" t="inlineStr">
        <is>
          <t>跑车</t>
        </is>
      </c>
      <c r="D16" s="0" t="n">
        <v>218</v>
      </c>
      <c r="E16" s="0" t="n">
        <v>78</v>
      </c>
      <c r="F16" s="0" t="n">
        <v>59</v>
      </c>
      <c r="G16" s="0" t="n"/>
      <c r="H16" s="0" t="inlineStr">
        <is>
          <t>218*78*59</t>
        </is>
      </c>
      <c r="I16" s="0" t="inlineStr">
        <is>
          <t>5537*2000*1500</t>
        </is>
      </c>
      <c r="L16" s="0" t="n"/>
      <c r="M16" s="0" t="n"/>
      <c r="N16" s="0" t="n"/>
    </row>
    <row r="17">
      <c r="A17" s="0" t="inlineStr">
        <is>
          <t>3XXXXL-0</t>
        </is>
      </c>
      <c r="B17" s="0" t="inlineStr">
        <is>
          <t>跑车</t>
        </is>
      </c>
      <c r="D17" s="0" t="n">
        <v>232</v>
      </c>
      <c r="E17" s="0" t="n">
        <v>78</v>
      </c>
      <c r="F17" s="0" t="n">
        <v>59</v>
      </c>
      <c r="G17" s="0" t="inlineStr">
        <is>
          <t>C7</t>
        </is>
      </c>
      <c r="H17" s="0" t="n">
        <v>232</v>
      </c>
      <c r="I17" s="0" t="inlineStr">
        <is>
          <t>5900*1250</t>
        </is>
      </c>
      <c r="L17" s="0" t="n"/>
      <c r="M17" s="0" t="n"/>
      <c r="N17" s="0" t="n"/>
    </row>
    <row r="18">
      <c r="A18" s="0" t="inlineStr">
        <is>
          <t>PK-M</t>
        </is>
      </c>
      <c r="B18" s="0" t="inlineStr">
        <is>
          <t>皮卡</t>
        </is>
      </c>
      <c r="D18" s="0" t="n">
        <v>210</v>
      </c>
      <c r="E18" s="0" t="n">
        <v>74</v>
      </c>
      <c r="F18" s="0" t="n">
        <v>68</v>
      </c>
      <c r="G18" s="0" t="inlineStr">
        <is>
          <t>T1</t>
        </is>
      </c>
      <c r="L18" s="0" t="n"/>
      <c r="M18" s="0" t="n"/>
      <c r="N18" s="0" t="n"/>
    </row>
    <row r="19">
      <c r="A19" s="0" t="inlineStr">
        <is>
          <t>PK-M+</t>
        </is>
      </c>
      <c r="B19" s="0" t="inlineStr">
        <is>
          <t>皮卡</t>
        </is>
      </c>
      <c r="D19" s="0" t="n">
        <v>220</v>
      </c>
      <c r="E19" s="0" t="n">
        <v>74</v>
      </c>
      <c r="F19" s="0" t="n">
        <v>68</v>
      </c>
      <c r="G19" s="0" t="inlineStr">
        <is>
          <t>T2</t>
        </is>
      </c>
      <c r="L19" s="0" t="n"/>
      <c r="M19" s="0" t="n"/>
      <c r="N19" s="0" t="n"/>
    </row>
    <row r="20">
      <c r="A20" s="0" t="inlineStr">
        <is>
          <t>PK-L</t>
        </is>
      </c>
      <c r="B20" s="0" t="inlineStr">
        <is>
          <t>皮卡</t>
        </is>
      </c>
      <c r="C20" s="0" t="n"/>
      <c r="D20" s="0" t="n">
        <v>230</v>
      </c>
      <c r="E20" s="0" t="n">
        <v>79</v>
      </c>
      <c r="F20" s="0" t="n">
        <v>69</v>
      </c>
      <c r="G20" s="0" t="inlineStr">
        <is>
          <t>T3</t>
        </is>
      </c>
      <c r="I20" s="0" t="n"/>
      <c r="L20" s="0" t="n"/>
    </row>
    <row r="21">
      <c r="A21" s="0" t="inlineStr">
        <is>
          <t>PK-XL</t>
        </is>
      </c>
      <c r="B21" s="0" t="inlineStr">
        <is>
          <t>皮卡</t>
        </is>
      </c>
      <c r="C21" s="0" t="inlineStr">
        <is>
          <t>Regular</t>
        </is>
      </c>
      <c r="D21" s="0" t="n">
        <v>242</v>
      </c>
      <c r="E21" s="0" t="n">
        <v>79</v>
      </c>
      <c r="F21" s="0" t="n">
        <v>70</v>
      </c>
      <c r="G21" s="0" t="inlineStr">
        <is>
          <t>T4</t>
        </is>
      </c>
      <c r="H21" s="0" t="n"/>
      <c r="I21" s="0" t="inlineStr">
        <is>
          <t>6300*1750</t>
        </is>
      </c>
      <c r="L21" s="0" t="n"/>
      <c r="M21" s="0" t="n"/>
      <c r="N21" s="0" t="n"/>
      <c r="O21" s="0" t="n"/>
    </row>
    <row r="22">
      <c r="A22" s="0" t="inlineStr">
        <is>
          <t>PK-XL+</t>
        </is>
      </c>
      <c r="B22" s="0" t="inlineStr">
        <is>
          <t>皮卡</t>
        </is>
      </c>
      <c r="D22" s="0" t="n">
        <v>242</v>
      </c>
      <c r="E22" s="0" t="n">
        <v>79</v>
      </c>
      <c r="F22" s="0" t="n">
        <v>70</v>
      </c>
      <c r="G22" s="0" t="inlineStr">
        <is>
          <t>T5</t>
        </is>
      </c>
      <c r="H22" s="0" t="n">
        <v>250</v>
      </c>
      <c r="I22" s="0" t="inlineStr">
        <is>
          <t>6350*1750</t>
        </is>
      </c>
      <c r="L22" s="0" t="n"/>
      <c r="M22" s="0" t="n"/>
      <c r="N22" s="0" t="n"/>
      <c r="O22" s="0" t="n"/>
    </row>
    <row r="23">
      <c r="A23" s="0" t="inlineStr">
        <is>
          <t>PK-XXL</t>
        </is>
      </c>
      <c r="B23" s="0" t="inlineStr">
        <is>
          <t>皮卡</t>
        </is>
      </c>
      <c r="D23" s="0" t="n">
        <v>250</v>
      </c>
      <c r="E23" s="0" t="n">
        <v>79</v>
      </c>
      <c r="F23" s="0" t="n">
        <v>71</v>
      </c>
      <c r="G23" s="0" t="inlineStr">
        <is>
          <t>T6</t>
        </is>
      </c>
      <c r="H23" s="0" t="n"/>
      <c r="I23" s="0" t="n"/>
      <c r="L23" s="0" t="n"/>
      <c r="M23" s="0" t="n"/>
      <c r="N23" s="0" t="n"/>
    </row>
    <row r="24">
      <c r="A24" s="0" t="inlineStr">
        <is>
          <t>PK-XXXL</t>
        </is>
      </c>
      <c r="B24" s="0" t="inlineStr">
        <is>
          <t>皮卡</t>
        </is>
      </c>
      <c r="D24" s="0" t="n">
        <v>262</v>
      </c>
      <c r="E24" s="0" t="n">
        <v>79</v>
      </c>
      <c r="F24" s="0" t="n">
        <v>71</v>
      </c>
      <c r="G24" s="0" t="inlineStr">
        <is>
          <t>T7</t>
        </is>
      </c>
      <c r="H24" s="0" t="n">
        <v>270</v>
      </c>
      <c r="I24" s="0" t="inlineStr">
        <is>
          <t>6850*1750</t>
        </is>
      </c>
      <c r="L24" s="0" t="n"/>
      <c r="M24" s="0" t="n"/>
      <c r="N24" s="0" t="n"/>
    </row>
    <row r="25">
      <c r="A25" s="0" t="inlineStr">
        <is>
          <t>3L</t>
        </is>
      </c>
      <c r="B25" s="0" t="inlineStr">
        <is>
          <t>三厢车</t>
        </is>
      </c>
      <c r="D25" s="0" t="n">
        <v>185</v>
      </c>
      <c r="E25" s="0" t="n">
        <v>70</v>
      </c>
      <c r="F25" s="0" t="n">
        <v>59</v>
      </c>
      <c r="G25" s="0" t="inlineStr">
        <is>
          <t>A1</t>
        </is>
      </c>
      <c r="H25" s="0" t="inlineStr">
        <is>
          <t>185*70*59</t>
        </is>
      </c>
      <c r="I25" s="0" t="inlineStr">
        <is>
          <t>4700*1800*1500</t>
        </is>
      </c>
      <c r="L25" s="0" t="n"/>
      <c r="M25" s="0" t="n"/>
      <c r="N25" s="0" t="n"/>
    </row>
    <row r="26">
      <c r="A26" s="0" t="inlineStr">
        <is>
          <t>3XL</t>
        </is>
      </c>
      <c r="B26" s="0" t="inlineStr">
        <is>
          <t>三厢车</t>
        </is>
      </c>
      <c r="D26" s="0" t="n">
        <v>191.9</v>
      </c>
      <c r="E26" s="0" t="n">
        <v>72</v>
      </c>
      <c r="F26" s="0" t="n">
        <v>59</v>
      </c>
      <c r="G26" s="0" t="inlineStr">
        <is>
          <t>A2</t>
        </is>
      </c>
      <c r="H26" s="0" t="inlineStr">
        <is>
          <t>193*72*59</t>
        </is>
      </c>
      <c r="I26" s="0" t="inlineStr">
        <is>
          <t>4950*1850*1500</t>
        </is>
      </c>
      <c r="L26" s="0" t="n"/>
      <c r="M26" s="0" t="n"/>
      <c r="N26" s="0" t="n"/>
    </row>
    <row r="27">
      <c r="A27" s="0" t="inlineStr">
        <is>
          <t>3XXL</t>
        </is>
      </c>
      <c r="B27" s="0" t="inlineStr">
        <is>
          <t>三厢车</t>
        </is>
      </c>
      <c r="D27" s="0" t="n">
        <v>208</v>
      </c>
      <c r="E27" s="0" t="n">
        <v>78</v>
      </c>
      <c r="F27" s="0" t="n">
        <v>59</v>
      </c>
      <c r="G27" s="0" t="inlineStr">
        <is>
          <t>A4</t>
        </is>
      </c>
      <c r="H27" s="0" t="inlineStr">
        <is>
          <t>208*78*59</t>
        </is>
      </c>
      <c r="I27" s="0" t="inlineStr">
        <is>
          <t>5300*2000*1500</t>
        </is>
      </c>
      <c r="L27" s="0" t="n"/>
      <c r="M27" s="0" t="n"/>
      <c r="N27" s="0" t="n"/>
    </row>
    <row r="28">
      <c r="A28" s="0" t="inlineStr">
        <is>
          <t>3XXXL</t>
        </is>
      </c>
      <c r="B28" s="0" t="inlineStr">
        <is>
          <t>三厢车</t>
        </is>
      </c>
      <c r="D28" s="0" t="n">
        <v>218</v>
      </c>
      <c r="E28" s="0" t="n">
        <v>78</v>
      </c>
      <c r="F28" s="0" t="n">
        <v>59</v>
      </c>
      <c r="G28" s="0" t="inlineStr">
        <is>
          <t>C6</t>
        </is>
      </c>
      <c r="H28" s="0" t="inlineStr">
        <is>
          <t>218*78*59</t>
        </is>
      </c>
      <c r="I28" s="0" t="inlineStr">
        <is>
          <t>5537*2000*1500</t>
        </is>
      </c>
    </row>
    <row r="29">
      <c r="A29" s="0" t="inlineStr">
        <is>
          <t>YM+</t>
        </is>
      </c>
      <c r="B29" s="0" t="inlineStr">
        <is>
          <t>越野车</t>
        </is>
      </c>
      <c r="D29" s="0" t="n">
        <v>181</v>
      </c>
      <c r="E29" s="0" t="n">
        <v>72</v>
      </c>
      <c r="F29" s="0" t="n">
        <v>67</v>
      </c>
      <c r="G29" s="0" t="inlineStr">
        <is>
          <t>S1</t>
        </is>
      </c>
      <c r="H29" s="0" t="inlineStr">
        <is>
          <t>181*72*67</t>
        </is>
      </c>
      <c r="I29" s="0" t="inlineStr">
        <is>
          <t>4600*1850*1700</t>
        </is>
      </c>
    </row>
    <row r="30">
      <c r="A30" s="0" t="inlineStr">
        <is>
          <t>YL</t>
        </is>
      </c>
      <c r="B30" s="0" t="inlineStr">
        <is>
          <t>越野车</t>
        </is>
      </c>
      <c r="D30" s="0" t="n">
        <v>190</v>
      </c>
      <c r="E30" s="0" t="n">
        <v>74</v>
      </c>
      <c r="F30" s="0" t="n">
        <v>70</v>
      </c>
      <c r="G30" s="0" t="inlineStr">
        <is>
          <t>S2</t>
        </is>
      </c>
      <c r="H30" s="0" t="inlineStr">
        <is>
          <t>190*74*70</t>
        </is>
      </c>
      <c r="I30" s="0" t="inlineStr">
        <is>
          <t>4850*1900*1800</t>
        </is>
      </c>
    </row>
    <row r="31">
      <c r="A31" s="0" t="inlineStr">
        <is>
          <t>YXL</t>
        </is>
      </c>
      <c r="B31" s="0" t="inlineStr">
        <is>
          <t>越野车</t>
        </is>
      </c>
      <c r="D31" s="0" t="n">
        <v>201</v>
      </c>
      <c r="E31" s="0" t="n">
        <v>78</v>
      </c>
      <c r="F31" s="0" t="n">
        <v>70</v>
      </c>
      <c r="G31" s="0" t="inlineStr">
        <is>
          <t>S3</t>
        </is>
      </c>
      <c r="H31" s="0" t="inlineStr">
        <is>
          <t>201*78*70</t>
        </is>
      </c>
      <c r="I31" s="0" t="inlineStr">
        <is>
          <t>5100*2000*1800</t>
        </is>
      </c>
    </row>
    <row r="32">
      <c r="A32" s="0" t="inlineStr">
        <is>
          <t>YXXL</t>
        </is>
      </c>
      <c r="B32" s="0" t="inlineStr">
        <is>
          <t>越野车</t>
        </is>
      </c>
      <c r="D32" s="0" t="n">
        <v>207</v>
      </c>
      <c r="E32" s="0" t="n">
        <v>78</v>
      </c>
      <c r="F32" s="0" t="n">
        <v>75</v>
      </c>
      <c r="G32" s="0" t="n"/>
      <c r="H32" s="0" t="inlineStr">
        <is>
          <t>207*78*75</t>
        </is>
      </c>
      <c r="I32" s="0" t="inlineStr">
        <is>
          <t>5250*2000*1900</t>
        </is>
      </c>
    </row>
    <row r="33">
      <c r="A33" s="0" t="inlineStr">
        <is>
          <t>YXXL-545</t>
        </is>
      </c>
      <c r="B33" s="0" t="inlineStr">
        <is>
          <t>越野车</t>
        </is>
      </c>
      <c r="D33" s="0" t="n">
        <v>214</v>
      </c>
      <c r="E33" s="0" t="n">
        <v>78</v>
      </c>
      <c r="F33" s="0" t="n">
        <v>78</v>
      </c>
      <c r="G33" s="0" t="inlineStr">
        <is>
          <t>S4</t>
        </is>
      </c>
      <c r="H33" s="0" t="inlineStr">
        <is>
          <t>218*78*78</t>
        </is>
      </c>
      <c r="I33" s="0" t="inlineStr">
        <is>
          <t>5450*2000*2000</t>
        </is>
      </c>
    </row>
    <row r="34">
      <c r="A34" s="0" t="inlineStr">
        <is>
          <t>YXXL-585</t>
        </is>
      </c>
      <c r="B34" s="0" t="inlineStr">
        <is>
          <t>越野车</t>
        </is>
      </c>
      <c r="D34" s="0" t="n">
        <v>230</v>
      </c>
      <c r="E34" s="0" t="n">
        <v>78</v>
      </c>
      <c r="F34" s="0" t="n">
        <v>78</v>
      </c>
      <c r="G34" s="0" t="inlineStr">
        <is>
          <t>S5</t>
        </is>
      </c>
      <c r="H34" s="0" t="inlineStr">
        <is>
          <t>234*78*78</t>
        </is>
      </c>
      <c r="I34" s="0" t="inlineStr">
        <is>
          <t>5850*2000*2000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7"/>
  <sheetViews>
    <sheetView workbookViewId="0">
      <selection activeCell="H9" sqref="H9"/>
    </sheetView>
  </sheetViews>
  <sheetFormatPr baseColWidth="8" defaultColWidth="9.142857142857141" defaultRowHeight="14.25" outlineLevelRow="6"/>
  <sheetData>
    <row r="1">
      <c r="A1" s="0" t="inlineStr">
        <is>
          <t>MAKE</t>
        </is>
      </c>
      <c r="B1" s="0" t="inlineStr">
        <is>
          <t>MODEL</t>
        </is>
      </c>
      <c r="C1" s="0" t="inlineStr">
        <is>
          <t>分类</t>
        </is>
      </c>
      <c r="D1" s="0" t="inlineStr">
        <is>
          <t>YEAR</t>
        </is>
      </c>
    </row>
    <row r="2">
      <c r="A2" s="0" t="inlineStr">
        <is>
          <t>升序</t>
        </is>
      </c>
      <c r="B2" s="0" t="inlineStr">
        <is>
          <t>升序</t>
        </is>
      </c>
      <c r="C2" s="0" t="inlineStr">
        <is>
          <t>越野车</t>
        </is>
      </c>
      <c r="D2" s="0" t="inlineStr">
        <is>
          <t>升序</t>
        </is>
      </c>
    </row>
    <row r="3">
      <c r="C3" s="0" t="inlineStr">
        <is>
          <t>三厢车</t>
        </is>
      </c>
    </row>
    <row r="4">
      <c r="C4" s="0" t="inlineStr">
        <is>
          <t>跑车</t>
        </is>
      </c>
    </row>
    <row r="5">
      <c r="C5" s="0" t="inlineStr">
        <is>
          <t>两厢车</t>
        </is>
      </c>
    </row>
    <row r="6">
      <c r="C6" s="0" t="inlineStr">
        <is>
          <t>皮卡</t>
        </is>
      </c>
    </row>
    <row r="7">
      <c r="C7" s="0">
        <f>_xlfn.TEXTJOIN(", ",TRUE,C2:C6)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54">
    <outlinePr summaryBelow="1" summaryRight="1"/>
    <pageSetUpPr/>
  </sheetPr>
  <dimension ref="A1:D34"/>
  <sheetViews>
    <sheetView workbookViewId="0">
      <selection activeCell="C32" sqref="C32"/>
    </sheetView>
  </sheetViews>
  <sheetFormatPr baseColWidth="8" defaultColWidth="8.71428571428571" defaultRowHeight="14.25"/>
  <cols>
    <col width="34.2190476190476" customWidth="1" style="33" min="1" max="1"/>
    <col width="36.7142857142857" customWidth="1" style="33" min="2" max="2"/>
    <col width="63.9333333333333" customWidth="1" style="33" min="3" max="3"/>
    <col width="41.4571428571429" customWidth="1" style="33" min="4" max="4"/>
    <col width="8.71428571428571" customWidth="1" style="25" min="5" max="16384"/>
  </cols>
  <sheetData>
    <row r="1">
      <c r="A1" s="33" t="inlineStr">
        <is>
          <t>MAKE</t>
        </is>
      </c>
      <c r="B1" s="33" t="inlineStr">
        <is>
          <t>MODEL</t>
        </is>
      </c>
      <c r="C1" s="33" t="inlineStr">
        <is>
          <t>TITLE</t>
        </is>
      </c>
      <c r="D1" s="33" t="inlineStr">
        <is>
          <t>DESCRIPTION</t>
        </is>
      </c>
    </row>
    <row r="2">
      <c r="A2" s="33" t="inlineStr">
        <is>
          <t>Toyota</t>
        </is>
      </c>
      <c r="B2" s="33" t="inlineStr">
        <is>
          <t>Tundra</t>
        </is>
      </c>
      <c r="C2" s="33" t="inlineStr">
        <is>
          <t>Toyota Tundra</t>
        </is>
      </c>
    </row>
    <row r="3">
      <c r="A3" s="33" t="inlineStr">
        <is>
          <t>Toyota</t>
        </is>
      </c>
      <c r="B3" s="33" t="inlineStr">
        <is>
          <t>Tacoma</t>
        </is>
      </c>
      <c r="C3" s="33" t="inlineStr">
        <is>
          <t>Toyota Tacoma</t>
        </is>
      </c>
      <c r="D3" s="33" t="inlineStr">
        <is>
          <t>Includes TRD Pro/Trailhunter</t>
        </is>
      </c>
    </row>
    <row r="4">
      <c r="A4" s="33" t="inlineStr">
        <is>
          <t>Sierra</t>
        </is>
      </c>
      <c r="B4" s="33" t="inlineStr">
        <is>
          <t>EV</t>
        </is>
      </c>
      <c r="C4" s="33" t="inlineStr">
        <is>
          <t>GMC Sierra EV</t>
        </is>
      </c>
    </row>
    <row r="5">
      <c r="A5" s="33" t="inlineStr">
        <is>
          <t>Sierra</t>
        </is>
      </c>
      <c r="B5" s="33" t="inlineStr">
        <is>
          <t>2500HD/3500HD</t>
        </is>
      </c>
      <c r="C5" s="33" t="inlineStr">
        <is>
          <t>GMC Sierra 1500/2500HD/3500HD</t>
        </is>
      </c>
    </row>
    <row r="6">
      <c r="A6" s="33" t="inlineStr">
        <is>
          <t>Sierra</t>
        </is>
      </c>
      <c r="B6" s="33" t="n">
        <v>1500</v>
      </c>
      <c r="C6" s="33" t="inlineStr">
        <is>
          <t>GMC Sierra 1500/2500HD/3500HD</t>
        </is>
      </c>
    </row>
    <row r="7">
      <c r="A7" s="33" t="inlineStr">
        <is>
          <t>Rivian</t>
        </is>
      </c>
      <c r="B7" s="33" t="inlineStr">
        <is>
          <t>R1T</t>
        </is>
      </c>
      <c r="C7" s="33" t="inlineStr">
        <is>
          <t>Rivian R1T</t>
        </is>
      </c>
    </row>
    <row r="8">
      <c r="A8" s="33" t="inlineStr">
        <is>
          <t>Ram</t>
        </is>
      </c>
      <c r="B8" s="33" t="inlineStr">
        <is>
          <t>2500/3500</t>
        </is>
      </c>
      <c r="C8" s="33" t="inlineStr">
        <is>
          <t>Ram 2500/3500</t>
        </is>
      </c>
    </row>
    <row r="9">
      <c r="A9" s="33" t="inlineStr">
        <is>
          <t>Ram</t>
        </is>
      </c>
      <c r="B9" s="33" t="inlineStr">
        <is>
          <t>1500 Classic</t>
        </is>
      </c>
      <c r="C9" s="33" t="inlineStr">
        <is>
          <t>Ram 1500 Classic</t>
        </is>
      </c>
    </row>
    <row r="10">
      <c r="A10" s="33" t="inlineStr">
        <is>
          <t>Ram</t>
        </is>
      </c>
      <c r="B10" s="33" t="n">
        <v>1500</v>
      </c>
      <c r="C10" s="33" t="inlineStr">
        <is>
          <t>Ram 1500</t>
        </is>
      </c>
      <c r="D10" s="33" t="inlineStr">
        <is>
          <t>Includes TRX/RHO</t>
        </is>
      </c>
    </row>
    <row r="11">
      <c r="A11" s="33" t="inlineStr">
        <is>
          <t>Nissan</t>
        </is>
      </c>
      <c r="B11" s="33" t="inlineStr">
        <is>
          <t>Frontier</t>
        </is>
      </c>
      <c r="C11" s="33" t="inlineStr">
        <is>
          <t>Nissan Frontier</t>
        </is>
      </c>
      <c r="D11" s="33" t="inlineStr">
        <is>
          <t>Includes SC-V6</t>
        </is>
      </c>
    </row>
    <row r="12">
      <c r="A12" s="33" t="inlineStr">
        <is>
          <t>Jeep</t>
        </is>
      </c>
      <c r="B12" s="33" t="inlineStr">
        <is>
          <t>Gladiator</t>
        </is>
      </c>
      <c r="C12" s="33" t="inlineStr">
        <is>
          <t>Jeep Gladiator</t>
        </is>
      </c>
    </row>
    <row r="13">
      <c r="A13" s="33" t="inlineStr">
        <is>
          <t>Ineos Automotive</t>
        </is>
      </c>
      <c r="B13" s="33" t="inlineStr">
        <is>
          <t>Grenadier</t>
        </is>
      </c>
      <c r="C13" s="33" t="inlineStr">
        <is>
          <t>Ineos Automotive Grenadier</t>
        </is>
      </c>
    </row>
    <row r="14">
      <c r="A14" s="33" t="inlineStr">
        <is>
          <t>Honda</t>
        </is>
      </c>
      <c r="B14" s="33" t="inlineStr">
        <is>
          <t>Ridgeline</t>
        </is>
      </c>
      <c r="C14" s="33" t="inlineStr">
        <is>
          <t>Honda Ridgeline</t>
        </is>
      </c>
    </row>
    <row r="15">
      <c r="A15" s="33" t="inlineStr">
        <is>
          <t>GMC</t>
        </is>
      </c>
      <c r="B15" s="33" t="inlineStr">
        <is>
          <t>Sierra 2500HD/3500HD</t>
        </is>
      </c>
      <c r="C15" s="33" t="inlineStr">
        <is>
          <t>GMC Sierra 1500/2500HD/3500HD</t>
        </is>
      </c>
    </row>
    <row r="16">
      <c r="A16" s="33" t="inlineStr">
        <is>
          <t>GMC</t>
        </is>
      </c>
      <c r="B16" s="33" t="inlineStr">
        <is>
          <t>Sierra 1500</t>
        </is>
      </c>
      <c r="C16" s="33" t="inlineStr">
        <is>
          <t>GMC Sierra 1500/2500HD/3500HD</t>
        </is>
      </c>
    </row>
    <row r="17">
      <c r="A17" s="33" t="inlineStr">
        <is>
          <t>GMC</t>
        </is>
      </c>
      <c r="B17" s="33" t="inlineStr">
        <is>
          <t>Canyon</t>
        </is>
      </c>
      <c r="C17" s="33" t="inlineStr">
        <is>
          <t>GMC Canyon</t>
        </is>
      </c>
      <c r="D17" s="33" t="inlineStr">
        <is>
          <t>Excludes AT4X</t>
        </is>
      </c>
    </row>
    <row r="18">
      <c r="A18" s="33" t="inlineStr">
        <is>
          <t>Ford</t>
        </is>
      </c>
      <c r="B18" s="33" t="inlineStr">
        <is>
          <t>Ranger</t>
        </is>
      </c>
      <c r="C18" s="33" t="inlineStr">
        <is>
          <t>Ford Ranger</t>
        </is>
      </c>
      <c r="D18" s="33" t="inlineStr">
        <is>
          <t>Includes Raptor</t>
        </is>
      </c>
    </row>
    <row r="19">
      <c r="A19" s="33" t="inlineStr">
        <is>
          <t>Ford</t>
        </is>
      </c>
      <c r="B19" s="33" t="inlineStr">
        <is>
          <t>Maverick</t>
        </is>
      </c>
      <c r="C19" s="33" t="inlineStr">
        <is>
          <t>Ford Maverick</t>
        </is>
      </c>
      <c r="D19" s="33" t="inlineStr">
        <is>
          <t>Includes Tremor/Lobo</t>
        </is>
      </c>
    </row>
    <row r="20">
      <c r="A20" s="33" t="inlineStr">
        <is>
          <t>Ford</t>
        </is>
      </c>
      <c r="B20" s="33" t="inlineStr">
        <is>
          <t>F-350 Super Duty</t>
        </is>
      </c>
      <c r="C20" s="33" t="inlineStr">
        <is>
          <t>Ford F-350 Super Duty</t>
        </is>
      </c>
    </row>
    <row r="21">
      <c r="A21" s="33" t="inlineStr">
        <is>
          <t>Ford</t>
        </is>
      </c>
      <c r="B21" s="33" t="inlineStr">
        <is>
          <t>F-250/F-350 Super Duty</t>
        </is>
      </c>
      <c r="C21" s="33" t="inlineStr">
        <is>
          <t>Ford F-250/F-350 Super Duty</t>
        </is>
      </c>
      <c r="D21" s="33" t="inlineStr">
        <is>
          <t>SRW only; Excludes DRW</t>
        </is>
      </c>
    </row>
    <row r="22">
      <c r="A22" s="33" t="inlineStr">
        <is>
          <t>Ford</t>
        </is>
      </c>
      <c r="B22" s="33" t="inlineStr">
        <is>
          <t>F-150</t>
        </is>
      </c>
      <c r="C22" s="33" t="inlineStr">
        <is>
          <t>Ford F-150</t>
        </is>
      </c>
      <c r="D22" s="33" t="inlineStr">
        <is>
          <t>Includes Raptor/Lightning/Tremor</t>
        </is>
      </c>
    </row>
    <row r="23">
      <c r="A23" s="33" t="inlineStr">
        <is>
          <t>Ford</t>
        </is>
      </c>
      <c r="B23" s="33" t="inlineStr">
        <is>
          <t>Explorer</t>
        </is>
      </c>
      <c r="C23" s="33" t="inlineStr">
        <is>
          <t>Ford Explorer Sport Trac</t>
        </is>
      </c>
    </row>
    <row r="24">
      <c r="A24" s="33" t="inlineStr">
        <is>
          <t>Dodge</t>
        </is>
      </c>
      <c r="B24" s="33" t="inlineStr">
        <is>
          <t>Dakota</t>
        </is>
      </c>
      <c r="C24" s="33" t="inlineStr">
        <is>
          <t>Dodge Dakota</t>
        </is>
      </c>
    </row>
    <row r="25">
      <c r="A25" s="33" t="inlineStr">
        <is>
          <t>Chevrolet</t>
        </is>
      </c>
      <c r="B25" s="33" t="inlineStr">
        <is>
          <t>Suburban</t>
        </is>
      </c>
      <c r="C25" s="33" t="inlineStr">
        <is>
          <t>Chevrolet Suburban</t>
        </is>
      </c>
    </row>
    <row r="26">
      <c r="A26" s="33" t="inlineStr">
        <is>
          <t>Chevrolet</t>
        </is>
      </c>
      <c r="B26" s="33" t="inlineStr">
        <is>
          <t>Silverado EV</t>
        </is>
      </c>
      <c r="C26" s="33" t="inlineStr">
        <is>
          <t>Chevrolet Silverado EV</t>
        </is>
      </c>
    </row>
    <row r="27">
      <c r="A27" s="33" t="inlineStr">
        <is>
          <t>Chevrolet</t>
        </is>
      </c>
      <c r="B27" s="33" t="inlineStr">
        <is>
          <t>Silverado 2500HD/3500HD</t>
        </is>
      </c>
      <c r="C27" s="33" t="inlineStr">
        <is>
          <t>Chevrolet Silverado 2500HD/3500HD</t>
        </is>
      </c>
      <c r="D27" s="33" t="inlineStr">
        <is>
          <t>SRW only; Excludes DRW</t>
        </is>
      </c>
    </row>
    <row r="28">
      <c r="A28" s="33" t="inlineStr">
        <is>
          <t>Chevrolet</t>
        </is>
      </c>
      <c r="B28" s="33" t="inlineStr">
        <is>
          <t>Silverado 1500</t>
        </is>
      </c>
      <c r="C28" s="33" t="inlineStr">
        <is>
          <t>Chevrolet Silverado 1500</t>
        </is>
      </c>
      <c r="D28" s="33" t="inlineStr">
        <is>
          <t>Includes Trail Boss</t>
        </is>
      </c>
    </row>
    <row r="29">
      <c r="A29" s="33" t="inlineStr">
        <is>
          <t>Chevrolet</t>
        </is>
      </c>
      <c r="B29" s="33" t="inlineStr">
        <is>
          <t>Colorado</t>
        </is>
      </c>
      <c r="C29" s="33" t="inlineStr">
        <is>
          <t>Chevrolet Colorado</t>
        </is>
      </c>
      <c r="D29" s="33" t="inlineStr">
        <is>
          <t>Includes ZR2</t>
        </is>
      </c>
    </row>
    <row r="30">
      <c r="A30" s="33" t="inlineStr">
        <is>
          <t>Chevrolet</t>
        </is>
      </c>
      <c r="B30" s="33" t="inlineStr">
        <is>
          <t>C/K</t>
        </is>
      </c>
      <c r="C30" s="33" t="inlineStr">
        <is>
          <t>Chevrolet C/K</t>
        </is>
      </c>
      <c r="D30" s="33" t="inlineStr">
        <is>
          <t>Includes Classic/Longhorn; Excludes DRW</t>
        </is>
      </c>
    </row>
    <row r="31">
      <c r="A31" s="33" t="inlineStr">
        <is>
          <t>Cadillac</t>
        </is>
      </c>
      <c r="B31" s="33" t="inlineStr">
        <is>
          <t>Escalade EXT</t>
        </is>
      </c>
      <c r="C31" s="33" t="inlineStr">
        <is>
          <t>Cadillac Escalade EXT</t>
        </is>
      </c>
    </row>
    <row r="32">
      <c r="A32" s="33" t="inlineStr">
        <is>
          <t>Ford</t>
        </is>
      </c>
      <c r="B32" s="33" t="inlineStr">
        <is>
          <t>F-100</t>
        </is>
      </c>
      <c r="C32" s="33" t="inlineStr">
        <is>
          <t>Ford F-100</t>
        </is>
      </c>
    </row>
    <row r="33">
      <c r="A33" s="33" t="inlineStr">
        <is>
          <t>Hyundai</t>
        </is>
      </c>
      <c r="B33" s="33" t="inlineStr">
        <is>
          <t>Santa Cruz</t>
        </is>
      </c>
      <c r="C33" s="33" t="inlineStr">
        <is>
          <t>Hyundai Hyundai Santa Cruz</t>
        </is>
      </c>
      <c r="D33" s="33" t="inlineStr">
        <is>
          <t>Includes XRT</t>
        </is>
      </c>
    </row>
    <row r="34">
      <c r="A34" s="33" t="inlineStr">
        <is>
          <t>GMC</t>
        </is>
      </c>
      <c r="B34" s="33" t="inlineStr">
        <is>
          <t>Sierra EV</t>
        </is>
      </c>
      <c r="C34" s="33" t="inlineStr">
        <is>
          <t>GMC Sierra EV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12">
    <outlinePr summaryBelow="1" summaryRight="1"/>
    <pageSetUpPr/>
  </sheetPr>
  <dimension ref="A1:C13"/>
  <sheetViews>
    <sheetView zoomScale="145" zoomScaleNormal="145" workbookViewId="0">
      <selection activeCell="B13" sqref="B13"/>
    </sheetView>
  </sheetViews>
  <sheetFormatPr baseColWidth="8" defaultColWidth="8.142857142857141" defaultRowHeight="14.25"/>
  <cols>
    <col width="33.1619047619048" customWidth="1" style="23" min="1" max="1"/>
    <col width="17.4190476190476" customWidth="1" style="23" min="2" max="2"/>
  </cols>
  <sheetData>
    <row r="1">
      <c r="A1" s="0" t="inlineStr">
        <is>
          <t>长MODEL</t>
        </is>
      </c>
      <c r="B1" s="0" t="inlineStr">
        <is>
          <t>短MODEL</t>
        </is>
      </c>
      <c r="C1" s="0" t="inlineStr">
        <is>
          <t>字符数</t>
        </is>
      </c>
    </row>
    <row r="2">
      <c r="A2" s="0" t="inlineStr">
        <is>
          <t>Range Rover Evoque</t>
        </is>
      </c>
      <c r="B2" s="0" t="inlineStr">
        <is>
          <t>RangeRov Evoq</t>
        </is>
      </c>
      <c r="C2" s="0">
        <f>LEN(B2)</f>
        <v/>
      </c>
    </row>
    <row r="3">
      <c r="A3" s="0" t="inlineStr">
        <is>
          <t>A4 allroad quattro</t>
        </is>
      </c>
      <c r="B3" s="0" t="inlineStr">
        <is>
          <t>A4 allroad qtro</t>
        </is>
      </c>
      <c r="C3" s="0">
        <f>LEN(B3)</f>
        <v/>
      </c>
    </row>
    <row r="4">
      <c r="A4" s="0" t="inlineStr">
        <is>
          <t>A6 allroad quattro</t>
        </is>
      </c>
      <c r="B4" s="0" t="inlineStr">
        <is>
          <t>A6 allroad qtro</t>
        </is>
      </c>
      <c r="C4" s="0">
        <f>LEN(B4)</f>
        <v/>
      </c>
    </row>
    <row r="5">
      <c r="A5" s="0" t="inlineStr">
        <is>
          <t>A6 e-tron/S6 e-tron</t>
        </is>
      </c>
      <c r="B5" s="0" t="inlineStr">
        <is>
          <t>A6/S6 etron</t>
        </is>
      </c>
      <c r="C5" s="0">
        <f>LEN(B5)</f>
        <v/>
      </c>
    </row>
    <row r="6">
      <c r="A6" s="0" t="inlineStr">
        <is>
          <t>e-tron GT/RS e-tron GT</t>
        </is>
      </c>
      <c r="B6" s="0" t="inlineStr">
        <is>
          <t>RS e-tron GT</t>
        </is>
      </c>
      <c r="C6" s="0">
        <f>LEN(B6)</f>
        <v/>
      </c>
    </row>
    <row r="7">
      <c r="A7" s="0" t="inlineStr">
        <is>
          <t>e-tron GT/S e-tron GT/RS e-tron GT</t>
        </is>
      </c>
      <c r="B7" s="0" t="inlineStr">
        <is>
          <t>S/RS etron GT</t>
        </is>
      </c>
      <c r="C7" s="0">
        <f>LEN(B7)</f>
        <v/>
      </c>
    </row>
    <row r="8">
      <c r="A8" s="0" t="inlineStr">
        <is>
          <t>Grand Highlander</t>
        </is>
      </c>
      <c r="B8" s="0" t="inlineStr">
        <is>
          <t>Grd Highlander</t>
        </is>
      </c>
      <c r="C8" s="0">
        <f>LEN(B8)</f>
        <v/>
      </c>
    </row>
    <row r="9">
      <c r="A9" s="0" t="inlineStr">
        <is>
          <t>Land Cruiser 250</t>
        </is>
      </c>
      <c r="B9" s="0" t="inlineStr">
        <is>
          <t>LandCruiser 250</t>
        </is>
      </c>
      <c r="C9" s="0">
        <f>LEN(B9)</f>
        <v/>
      </c>
    </row>
    <row r="10">
      <c r="A10" s="0" t="inlineStr">
        <is>
          <t>Prius Plug-in Hybrid</t>
        </is>
      </c>
      <c r="B10" s="0" t="inlineStr">
        <is>
          <t>Prius PHEV</t>
        </is>
      </c>
      <c r="C10" s="0">
        <f>LEN(B10)</f>
        <v/>
      </c>
    </row>
    <row r="11">
      <c r="A11" s="0" t="inlineStr">
        <is>
          <t>Q8 e-tron/SQ8 e-tron</t>
        </is>
      </c>
      <c r="B11" s="0" t="inlineStr">
        <is>
          <t>Q8/SQ8 etron</t>
        </is>
      </c>
      <c r="C11" s="0">
        <f>LEN(B11)</f>
        <v/>
      </c>
    </row>
    <row r="12">
      <c r="A12" s="0" t="inlineStr">
        <is>
          <t>Range Rover Sport</t>
        </is>
      </c>
      <c r="B12" s="0" t="inlineStr">
        <is>
          <t>RangeRov Sport</t>
        </is>
      </c>
      <c r="C12" s="0">
        <f>LEN(B12)</f>
        <v/>
      </c>
    </row>
    <row r="13">
      <c r="A13" s="0" t="inlineStr">
        <is>
          <t>Range Rover Velar</t>
        </is>
      </c>
      <c r="B13" s="0" t="inlineStr">
        <is>
          <t>RangeRov Velar</t>
        </is>
      </c>
      <c r="C13" s="0">
        <f>LEN(B13)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656">
    <outlinePr summaryBelow="1" summaryRight="1"/>
    <pageSetUpPr/>
  </sheetPr>
  <dimension ref="A1:I188"/>
  <sheetViews>
    <sheetView topLeftCell="A15" workbookViewId="0">
      <selection activeCell="D168" sqref="D168"/>
    </sheetView>
  </sheetViews>
  <sheetFormatPr baseColWidth="8" defaultColWidth="8.71428571428571" defaultRowHeight="14.25"/>
  <cols>
    <col width="27.6857142857143" customWidth="1" style="25" min="1" max="1"/>
    <col width="37.3619047619048" customWidth="1" style="25" min="2" max="2"/>
    <col width="23.0190476190476" customWidth="1" style="25" min="3" max="3"/>
    <col width="37.3333333333333" customWidth="1" style="25" min="4" max="4"/>
    <col width="13.2190476190476" customWidth="1" style="25" min="5" max="5"/>
    <col width="8.71428571428571" customWidth="1" style="25" min="6" max="7"/>
    <col width="15.8666666666667" customWidth="1" style="25" min="8" max="8"/>
    <col width="14.6190476190476" customWidth="1" style="25" min="9" max="9"/>
    <col width="25.5142857142857" customWidth="1" style="25" min="10" max="10"/>
    <col width="8.71428571428571" customWidth="1" style="25" min="11" max="12"/>
    <col width="62.5333333333333" customWidth="1" style="25" min="13" max="13"/>
    <col width="8.71428571428571" customWidth="1" style="25" min="14" max="16384"/>
  </cols>
  <sheetData>
    <row r="1" ht="25.5" customFormat="1" customHeight="1" s="25">
      <c r="B1" s="27" t="inlineStr">
        <is>
          <t>结构词缩写</t>
        </is>
      </c>
      <c r="G1" s="27" t="inlineStr">
        <is>
          <t>记忆移植</t>
        </is>
      </c>
    </row>
    <row r="2" ht="15" customFormat="1" customHeight="1" s="26">
      <c r="B2" s="26" t="inlineStr">
        <is>
          <t>原结构词</t>
        </is>
      </c>
      <c r="C2" s="26" t="inlineStr">
        <is>
          <t>SHORT结构词</t>
        </is>
      </c>
      <c r="D2" s="26" t="inlineStr">
        <is>
          <t>说明</t>
        </is>
      </c>
      <c r="G2" s="28" t="inlineStr">
        <is>
          <t>HORT-TYPE 缩写项目移植记忆.otl</t>
        </is>
      </c>
    </row>
    <row r="3" customFormat="1" s="25">
      <c r="B3" s="25" t="inlineStr">
        <is>
          <t>Convertible</t>
        </is>
      </c>
      <c r="C3" s="25" t="inlineStr">
        <is>
          <t>Conv</t>
        </is>
      </c>
      <c r="D3" s="25" t="inlineStr">
        <is>
          <t>敞篷</t>
        </is>
      </c>
    </row>
    <row r="4" customFormat="1" s="25">
      <c r="B4" s="25" t="inlineStr">
        <is>
          <t>Coupe</t>
        </is>
      </c>
      <c r="C4" s="25" t="inlineStr">
        <is>
          <t>Cpe</t>
        </is>
      </c>
      <c r="D4" s="25" t="inlineStr">
        <is>
          <t>双门轿跑</t>
        </is>
      </c>
    </row>
    <row r="5" customFormat="1" s="25">
      <c r="B5" s="25" t="inlineStr">
        <is>
          <t>Roadster</t>
        </is>
      </c>
      <c r="C5" s="25" t="inlineStr">
        <is>
          <t>Rdstr</t>
        </is>
      </c>
      <c r="D5" s="25" t="inlineStr">
        <is>
          <t>双座敞篷/跑车</t>
        </is>
      </c>
    </row>
    <row r="6" customFormat="1" s="25">
      <c r="B6" s="25" t="inlineStr">
        <is>
          <t>Hatchback</t>
        </is>
      </c>
      <c r="C6" s="25" t="inlineStr">
        <is>
          <t>Hbk</t>
        </is>
      </c>
      <c r="D6" s="25" t="inlineStr">
        <is>
          <t>两厢</t>
        </is>
      </c>
    </row>
    <row r="7" customFormat="1" s="25">
      <c r="B7" s="25" t="inlineStr">
        <is>
          <t>Wagon</t>
        </is>
      </c>
      <c r="C7" s="25" t="inlineStr">
        <is>
          <t>Wgn</t>
        </is>
      </c>
      <c r="D7" s="25" t="inlineStr">
        <is>
          <t>旅行车</t>
        </is>
      </c>
    </row>
    <row r="8" customFormat="1" s="25">
      <c r="B8" s="25" t="inlineStr">
        <is>
          <t>Sedan</t>
        </is>
      </c>
      <c r="C8" s="25" t="inlineStr">
        <is>
          <t>Sdn</t>
        </is>
      </c>
      <c r="D8" s="25" t="inlineStr">
        <is>
          <t>三厢</t>
        </is>
      </c>
    </row>
    <row r="9" customFormat="1" s="25">
      <c r="B9" s="25" t="inlineStr">
        <is>
          <t>Coupe SUV</t>
        </is>
      </c>
      <c r="C9" s="25" t="inlineStr">
        <is>
          <t>CpeSUV</t>
        </is>
      </c>
      <c r="D9" s="25" t="inlineStr">
        <is>
          <t>轿跑SUV</t>
        </is>
      </c>
    </row>
    <row r="10" customFormat="1" s="25">
      <c r="B10" s="25" t="inlineStr">
        <is>
          <t>Extended</t>
        </is>
      </c>
      <c r="C10" s="25" t="inlineStr">
        <is>
          <t>Ext</t>
        </is>
      </c>
      <c r="D10" s="25" t="inlineStr">
        <is>
          <t>加长版</t>
        </is>
      </c>
    </row>
    <row r="11" customFormat="1" s="25">
      <c r="B11" s="25" t="inlineStr">
        <is>
          <t>Fastback</t>
        </is>
      </c>
      <c r="C11" s="25" t="inlineStr">
        <is>
          <t>Fastbk</t>
        </is>
      </c>
      <c r="D11" s="25" t="inlineStr">
        <is>
          <t>快背</t>
        </is>
      </c>
    </row>
    <row r="12" customFormat="1" s="25">
      <c r="B12" s="25" t="inlineStr">
        <is>
          <t>Liftback</t>
        </is>
      </c>
      <c r="C12" s="25" t="inlineStr">
        <is>
          <t>Lftbk</t>
        </is>
      </c>
      <c r="D12" s="25" t="inlineStr">
        <is>
          <t>掀背/ liftback</t>
        </is>
      </c>
    </row>
    <row r="13" customFormat="1" s="25">
      <c r="B13" s="25" t="inlineStr">
        <is>
          <t>Sportback</t>
        </is>
      </c>
      <c r="C13" s="25" t="inlineStr">
        <is>
          <t>Sptbk</t>
        </is>
      </c>
      <c r="D13" s="25" t="inlineStr">
        <is>
          <t>奥迪/保时捷等 sportback</t>
        </is>
      </c>
    </row>
    <row r="14" customFormat="1" s="25">
      <c r="B14" s="25" t="inlineStr">
        <is>
          <t>Hardtop</t>
        </is>
      </c>
      <c r="C14" s="25" t="inlineStr">
        <is>
          <t>HTop</t>
        </is>
      </c>
      <c r="D14" s="25" t="inlineStr">
        <is>
          <t>硬顶</t>
        </is>
      </c>
    </row>
    <row r="17" ht="25.5" customFormat="1" customHeight="1" s="25">
      <c r="A17" s="27" t="inlineStr">
        <is>
          <t>TYPE缩写表</t>
        </is>
      </c>
    </row>
    <row r="18" ht="12.4" customFormat="1" customHeight="1" s="25">
      <c r="A18" s="29" t="inlineStr">
        <is>
          <t>CAR</t>
        </is>
      </c>
      <c r="B18" s="30" t="inlineStr">
        <is>
          <t>LONG-TYPE</t>
        </is>
      </c>
      <c r="C18" s="30" t="inlineStr">
        <is>
          <t>SHORT-TYPE</t>
        </is>
      </c>
      <c r="D18" s="30" t="inlineStr">
        <is>
          <t>去除版本说明</t>
        </is>
      </c>
      <c r="E18" s="30" t="inlineStr">
        <is>
          <t>REDUCED-LEN</t>
        </is>
      </c>
      <c r="F18" s="26" t="inlineStr">
        <is>
          <t>引用次数</t>
        </is>
      </c>
    </row>
    <row r="19" ht="12.4" customFormat="1" customHeight="1" s="25">
      <c r="B19" s="31" t="inlineStr">
        <is>
          <t>Convertible/Coupe</t>
        </is>
      </c>
      <c r="C19" s="31" t="inlineStr">
        <is>
          <t>Conv/Cpe</t>
        </is>
      </c>
      <c r="D19" s="25" t="n"/>
      <c r="E19" s="25">
        <f>LEN(TYPE缩写表[[#This Row],[SHORT-TYPE]])</f>
        <v/>
      </c>
      <c r="F19" s="32">
        <f>COUNTIFS(非皮卡压缩表[LONG-TYPE],TYPE缩写表[[#This Row],[LONG-TYPE]],非皮卡压缩表[TYPE],TYPE缩写表[[#This Row],[SHORT-TYPE]])</f>
        <v/>
      </c>
    </row>
    <row r="20" ht="12.4" customFormat="1" customHeight="1" s="25">
      <c r="B20" s="31" t="inlineStr">
        <is>
          <t>Hatchback/Wagon</t>
        </is>
      </c>
      <c r="C20" s="25" t="inlineStr">
        <is>
          <t>Hbk/Wgn</t>
        </is>
      </c>
      <c r="D20" s="25" t="n"/>
      <c r="E20" s="25">
        <f>LEN(TYPE缩写表[[#This Row],[SHORT-TYPE]])</f>
        <v/>
      </c>
      <c r="F20" s="32">
        <f>COUNTIFS(非皮卡压缩表[LONG-TYPE],TYPE缩写表[[#This Row],[LONG-TYPE]],非皮卡压缩表[TYPE],TYPE缩写表[[#This Row],[SHORT-TYPE]])</f>
        <v/>
      </c>
    </row>
    <row r="21" ht="12.4" customFormat="1" customHeight="1" s="25">
      <c r="B21" s="31" t="inlineStr">
        <is>
          <t>Coupe/Sedan</t>
        </is>
      </c>
      <c r="C21" s="25" t="inlineStr">
        <is>
          <t>Cpe/Sdn</t>
        </is>
      </c>
      <c r="D21" s="25" t="n"/>
      <c r="E21" s="25">
        <f>LEN(TYPE缩写表[[#This Row],[SHORT-TYPE]])</f>
        <v/>
      </c>
      <c r="F21" s="32">
        <f>COUNTIFS(非皮卡压缩表[LONG-TYPE],TYPE缩写表[[#This Row],[LONG-TYPE]],非皮卡压缩表[TYPE],TYPE缩写表[[#This Row],[SHORT-TYPE]])</f>
        <v/>
      </c>
    </row>
    <row r="22" customFormat="1" s="25">
      <c r="B22" s="25" t="inlineStr">
        <is>
          <t>Convertible/Coupe/Fastback</t>
        </is>
      </c>
      <c r="C22" s="25" t="inlineStr">
        <is>
          <t>Conv/Cpe/Fastbk</t>
        </is>
      </c>
      <c r="D22" s="25" t="n"/>
      <c r="E22" s="25">
        <f>LEN(TYPE缩写表[[#This Row],[SHORT-TYPE]])</f>
        <v/>
      </c>
      <c r="F22" s="25">
        <f>COUNTIFS(非皮卡压缩表[LONG-TYPE],TYPE缩写表[[#This Row],[LONG-TYPE]],非皮卡压缩表[TYPE],TYPE缩写表[[#This Row],[SHORT-TYPE]])</f>
        <v/>
      </c>
    </row>
    <row r="23" ht="12.4" customFormat="1" customHeight="1" s="25">
      <c r="B23" s="31" t="inlineStr">
        <is>
          <t>Coupe/Wagon</t>
        </is>
      </c>
      <c r="C23" s="25" t="inlineStr">
        <is>
          <t>Cpe/Wgn</t>
        </is>
      </c>
      <c r="D23" s="25" t="n"/>
      <c r="E23" s="25">
        <f>LEN(TYPE缩写表[[#This Row],[SHORT-TYPE]])</f>
        <v/>
      </c>
      <c r="F23" s="32">
        <f>COUNTIFS(非皮卡压缩表[LONG-TYPE],TYPE缩写表[[#This Row],[LONG-TYPE]],非皮卡压缩表[TYPE],TYPE缩写表[[#This Row],[SHORT-TYPE]])</f>
        <v/>
      </c>
    </row>
    <row r="24" customFormat="1" s="25">
      <c r="A24" s="25" t="inlineStr">
        <is>
          <t>Pontiac LeMans</t>
        </is>
      </c>
      <c r="B24" s="25" t="inlineStr">
        <is>
          <t>Coupe Tempest/LeMans</t>
        </is>
      </c>
      <c r="C24" s="25" t="inlineStr">
        <is>
          <t>Cpe Temp/LeMans</t>
        </is>
      </c>
      <c r="D24" s="25" t="n"/>
      <c r="E24" s="25">
        <f>LEN(TYPE缩写表[[#This Row],[SHORT-TYPE]])</f>
        <v/>
      </c>
      <c r="F24" s="25">
        <f>COUNTIFS(非皮卡压缩表[LONG-TYPE],TYPE缩写表[[#This Row],[LONG-TYPE]],非皮卡压缩表[TYPE],TYPE缩写表[[#This Row],[SHORT-TYPE]])</f>
        <v/>
      </c>
    </row>
    <row r="25" customFormat="1" s="25">
      <c r="A25" s="25" t="inlineStr">
        <is>
          <t>Mercedes-Benz E-Class</t>
        </is>
      </c>
      <c r="B25" s="25" t="inlineStr">
        <is>
          <t>Convertible/Coupe Incl: Cabriolet</t>
        </is>
      </c>
      <c r="C25" s="25" t="inlineStr">
        <is>
          <t>Conv/Cpe Inc:Cabr</t>
        </is>
      </c>
      <c r="D25" s="25" t="n"/>
      <c r="E25" s="25">
        <f>LEN(TYPE缩写表[[#This Row],[SHORT-TYPE]])</f>
        <v/>
      </c>
      <c r="F25" s="25">
        <f>COUNTIFS(非皮卡压缩表[LONG-TYPE],TYPE缩写表[[#This Row],[LONG-TYPE]],非皮卡压缩表[TYPE],TYPE缩写表[[#This Row],[SHORT-TYPE]])</f>
        <v/>
      </c>
    </row>
    <row r="26" customFormat="1" s="25">
      <c r="A26" s="25" t="inlineStr">
        <is>
          <t>Porsche Panamera</t>
        </is>
      </c>
      <c r="B26" s="25" t="inlineStr">
        <is>
          <t>Wagon Sport Turismo</t>
        </is>
      </c>
      <c r="C26" s="25" t="inlineStr">
        <is>
          <t>Wgn SportTur</t>
        </is>
      </c>
      <c r="D26" s="25" t="n"/>
      <c r="E26" s="25">
        <f>LEN(TYPE缩写表[[#This Row],[SHORT-TYPE]])</f>
        <v/>
      </c>
      <c r="F26" s="25">
        <f>COUNTIFS(非皮卡压缩表[LONG-TYPE],TYPE缩写表[[#This Row],[LONG-TYPE]],非皮卡压缩表[TYPE],TYPE缩写表[[#This Row],[SHORT-TYPE]])</f>
        <v/>
      </c>
    </row>
    <row r="27" ht="12.4" customFormat="1" customHeight="1" s="25">
      <c r="A27" s="25" t="inlineStr">
        <is>
          <t>Jaguar XF</t>
        </is>
      </c>
      <c r="B27" s="31" t="inlineStr">
        <is>
          <t>Wagon Sportbrake</t>
        </is>
      </c>
      <c r="C27" s="31" t="inlineStr">
        <is>
          <t>Wgn Sportbrake</t>
        </is>
      </c>
      <c r="D27" s="25" t="n"/>
      <c r="E27" s="25">
        <f>LEN(TYPE缩写表[[#This Row],[SHORT-TYPE]])</f>
        <v/>
      </c>
      <c r="F27" s="25">
        <f>COUNTIFS(非皮卡压缩表[LONG-TYPE],TYPE缩写表[[#This Row],[LONG-TYPE]],非皮卡压缩表[TYPE],TYPE缩写表[[#This Row],[SHORT-TYPE]])</f>
        <v/>
      </c>
    </row>
    <row r="28" customFormat="1" s="25">
      <c r="A28" s="25" t="inlineStr">
        <is>
          <t>Porsche Taycan</t>
        </is>
      </c>
      <c r="B28" s="25" t="inlineStr">
        <is>
          <t>Wagon Incl: Cross Turismo/Sport Turismo</t>
        </is>
      </c>
      <c r="C28" s="25" t="inlineStr">
        <is>
          <t>Wgn Inc:Cross/Spt</t>
        </is>
      </c>
      <c r="D28" s="25" t="inlineStr">
        <is>
          <t>Turismo重复语义省略，保留Cross/Sport差异</t>
        </is>
      </c>
      <c r="E28" s="25">
        <f>LEN(TYPE缩写表[[#This Row],[SHORT-TYPE]])</f>
        <v/>
      </c>
      <c r="F28" s="25">
        <f>COUNTIFS(非皮卡压缩表[LONG-TYPE],TYPE缩写表[[#This Row],[LONG-TYPE]],非皮卡压缩表[TYPE],TYPE缩写表[[#This Row],[SHORT-TYPE]])</f>
        <v/>
      </c>
    </row>
    <row r="29" customFormat="1" s="25">
      <c r="A29" s="25" t="inlineStr">
        <is>
          <t>Mercedes-Benz E-Class</t>
        </is>
      </c>
      <c r="B29" s="25" t="inlineStr">
        <is>
          <t>Wagon Incl: All-Terrain</t>
        </is>
      </c>
      <c r="C29" s="25" t="inlineStr">
        <is>
          <t>Wgn Inc:AllTerr</t>
        </is>
      </c>
      <c r="D29" s="25" t="n"/>
      <c r="E29" s="25">
        <f>LEN(TYPE缩写表[[#This Row],[SHORT-TYPE]])</f>
        <v/>
      </c>
      <c r="F29" s="25">
        <f>COUNTIFS(非皮卡压缩表[LONG-TYPE],TYPE缩写表[[#This Row],[LONG-TYPE]],非皮卡压缩表[TYPE],TYPE缩写表[[#This Row],[SHORT-TYPE]])</f>
        <v/>
      </c>
    </row>
    <row r="30" customFormat="1" s="25">
      <c r="A30" s="25" t="inlineStr">
        <is>
          <t>Oldsmobile Cutlass</t>
        </is>
      </c>
      <c r="B30" s="25" t="inlineStr">
        <is>
          <t>Wagon Ciera/Cutlass/F-85</t>
        </is>
      </c>
      <c r="C30" s="25" t="inlineStr">
        <is>
          <t>Wgn Ciera/F85</t>
        </is>
      </c>
      <c r="D30" s="25" t="inlineStr">
        <is>
          <t>Cutlass与主车型重复，短标题省略</t>
        </is>
      </c>
      <c r="E30" s="25">
        <f>LEN(TYPE缩写表[[#This Row],[SHORT-TYPE]])</f>
        <v/>
      </c>
      <c r="F30" s="25">
        <f>COUNTIFS(非皮卡压缩表[LONG-TYPE],TYPE缩写表[[#This Row],[LONG-TYPE]],非皮卡压缩表[TYPE],TYPE缩写表[[#This Row],[SHORT-TYPE]])</f>
        <v/>
      </c>
    </row>
    <row r="31" ht="12.4" customFormat="1" customHeight="1" s="25">
      <c r="B31" s="31" t="inlineStr">
        <is>
          <t>Sportback/Wagon</t>
        </is>
      </c>
      <c r="C31" s="25" t="inlineStr">
        <is>
          <t>Sptbk/Wgn</t>
        </is>
      </c>
      <c r="D31" s="25" t="n"/>
      <c r="E31" s="25">
        <f>LEN(TYPE缩写表[[#This Row],[SHORT-TYPE]])</f>
        <v/>
      </c>
      <c r="F31" s="32">
        <f>COUNTIFS(非皮卡压缩表[LONG-TYPE],TYPE缩写表[[#This Row],[LONG-TYPE]],非皮卡压缩表[TYPE],TYPE缩写表[[#This Row],[SHORT-TYPE]])</f>
        <v/>
      </c>
    </row>
    <row r="32" customFormat="1" s="25">
      <c r="A32" s="25" t="inlineStr">
        <is>
          <t>Volkswagen Jetta</t>
        </is>
      </c>
      <c r="B32" s="25" t="inlineStr">
        <is>
          <t>Sedan Incl: Diesel</t>
        </is>
      </c>
      <c r="C32" s="25" t="inlineStr">
        <is>
          <t>Sedan</t>
        </is>
      </c>
      <c r="D32" s="25" t="inlineStr">
        <is>
          <t>Diesel为动力类型，短标题不单独区分</t>
        </is>
      </c>
      <c r="E32" s="25">
        <f>LEN(TYPE缩写表[[#This Row],[SHORT-TYPE]])</f>
        <v/>
      </c>
      <c r="F32" s="25">
        <f>COUNTIFS(非皮卡压缩表[LONG-TYPE],TYPE缩写表[[#This Row],[LONG-TYPE]],非皮卡压缩表[TYPE],TYPE缩写表[[#This Row],[SHORT-TYPE]])</f>
        <v/>
      </c>
    </row>
    <row r="33" customFormat="1" s="25">
      <c r="A33" s="25" t="inlineStr">
        <is>
          <t>Porsche Taycan</t>
        </is>
      </c>
      <c r="B33" s="25" t="inlineStr">
        <is>
          <t>Sedan Incl: Turbo GT</t>
        </is>
      </c>
      <c r="C33" s="25" t="inlineStr">
        <is>
          <t>Sdn Inc:TurboGT</t>
        </is>
      </c>
      <c r="D33" s="25" t="n"/>
      <c r="E33" s="25">
        <f>LEN(TYPE缩写表[[#This Row],[SHORT-TYPE]])</f>
        <v/>
      </c>
      <c r="F33" s="25">
        <f>COUNTIFS(非皮卡压缩表[LONG-TYPE],TYPE缩写表[[#This Row],[LONG-TYPE]],非皮卡压缩表[TYPE],TYPE缩写表[[#This Row],[SHORT-TYPE]])</f>
        <v/>
      </c>
    </row>
    <row r="34" customFormat="1" s="25">
      <c r="A34" s="25" t="inlineStr">
        <is>
          <t>Chevrolet Impala</t>
        </is>
      </c>
      <c r="B34" s="25" t="inlineStr">
        <is>
          <t>Sedan Incl: Impala SS</t>
        </is>
      </c>
      <c r="C34" s="25" t="inlineStr">
        <is>
          <t>Sdn Inc:SS</t>
        </is>
      </c>
      <c r="D34" s="25" t="inlineStr">
        <is>
          <t>Impala与主车型重复，仅保留SS</t>
        </is>
      </c>
      <c r="E34" s="25">
        <f>LEN(TYPE缩写表[[#This Row],[SHORT-TYPE]])</f>
        <v/>
      </c>
      <c r="F34" s="25">
        <f>COUNTIFS(非皮卡压缩表[LONG-TYPE],TYPE缩写表[[#This Row],[LONG-TYPE]],非皮卡压缩表[TYPE],TYPE缩写表[[#This Row],[SHORT-TYPE]])</f>
        <v/>
      </c>
    </row>
    <row r="35" ht="12.4" customFormat="1" customHeight="1" s="25">
      <c r="A35" s="25" t="inlineStr">
        <is>
          <t>Mercedes-Benz C-Class</t>
        </is>
      </c>
      <c r="B35" s="31" t="inlineStr">
        <is>
          <t>Sedan Incl: PHEV</t>
        </is>
      </c>
      <c r="C35" s="31" t="inlineStr">
        <is>
          <t>Sdn Inc:PHEV</t>
        </is>
      </c>
      <c r="D35" s="25" t="n"/>
      <c r="E35" s="25">
        <f>LEN(TYPE缩写表[[#This Row],[SHORT-TYPE]])</f>
        <v/>
      </c>
      <c r="F35" s="25">
        <f>COUNTIFS(非皮卡压缩表[LONG-TYPE],TYPE缩写表[[#This Row],[LONG-TYPE]],非皮卡压缩表[TYPE],TYPE缩写表[[#This Row],[SHORT-TYPE]])</f>
        <v/>
      </c>
    </row>
    <row r="36" ht="12.4" customFormat="1" customHeight="1" s="25">
      <c r="A36" s="25" t="inlineStr">
        <is>
          <t>Cadillac CTS</t>
        </is>
      </c>
      <c r="B36" s="31" t="inlineStr">
        <is>
          <t>Sedan Incl: CTS-V</t>
        </is>
      </c>
      <c r="C36" s="31" t="inlineStr">
        <is>
          <t>Sdn Inc:CTS-V</t>
        </is>
      </c>
      <c r="D36" s="25" t="n"/>
      <c r="E36" s="25">
        <f>LEN(TYPE缩写表[[#This Row],[SHORT-TYPE]])</f>
        <v/>
      </c>
      <c r="F36" s="25">
        <f>COUNTIFS(非皮卡压缩表[LONG-TYPE],TYPE缩写表[[#This Row],[LONG-TYPE]],非皮卡压缩表[TYPE],TYPE缩写表[[#This Row],[SHORT-TYPE]])</f>
        <v/>
      </c>
    </row>
    <row r="37" ht="12.4" customFormat="1" customHeight="1" s="25">
      <c r="A37" s="25" t="inlineStr">
        <is>
          <t>Mercedes-Benz E-Class</t>
        </is>
      </c>
      <c r="B37" s="31" t="inlineStr">
        <is>
          <t>Sedan Incl: AMG/PHEV</t>
        </is>
      </c>
      <c r="C37" s="31" t="inlineStr">
        <is>
          <t>Sdn Inc:AMG/PHEV</t>
        </is>
      </c>
      <c r="D37" s="25" t="n"/>
      <c r="E37" s="25">
        <f>LEN(TYPE缩写表[[#This Row],[SHORT-TYPE]])</f>
        <v/>
      </c>
      <c r="F37" s="25">
        <f>COUNTIFS(非皮卡压缩表[LONG-TYPE],TYPE缩写表[[#This Row],[LONG-TYPE]],非皮卡压缩表[TYPE],TYPE缩写表[[#This Row],[SHORT-TYPE]])</f>
        <v/>
      </c>
    </row>
    <row r="38" ht="12.4" customFormat="1" customHeight="1" s="25">
      <c r="A38" s="25" t="inlineStr">
        <is>
          <t>BMW 2 Series</t>
        </is>
      </c>
      <c r="B38" s="31" t="inlineStr">
        <is>
          <t>Sedan Gran Coupe</t>
        </is>
      </c>
      <c r="C38" s="31" t="inlineStr">
        <is>
          <t>Sdn GranCoupe</t>
        </is>
      </c>
      <c r="D38" s="25" t="n"/>
      <c r="E38" s="25">
        <f>LEN(TYPE缩写表[[#This Row],[SHORT-TYPE]])</f>
        <v/>
      </c>
      <c r="F38" s="25">
        <f>COUNTIFS(非皮卡压缩表[LONG-TYPE],TYPE缩写表[[#This Row],[LONG-TYPE]],非皮卡压缩表[TYPE],TYPE缩写表[[#This Row],[SHORT-TYPE]])</f>
        <v/>
      </c>
    </row>
    <row r="39" customFormat="1" s="25">
      <c r="A39" s="25" t="inlineStr">
        <is>
          <t>Mercedes-Benz SL-Class</t>
        </is>
      </c>
      <c r="B39" s="25" t="inlineStr">
        <is>
          <t>Roadster Incl: AMG</t>
        </is>
      </c>
      <c r="C39" s="25" t="inlineStr">
        <is>
          <t>Rdstr Inc:AMG</t>
        </is>
      </c>
      <c r="D39" s="25" t="n"/>
      <c r="E39" s="25">
        <f>LEN(TYPE缩写表[[#This Row],[SHORT-TYPE]])</f>
        <v/>
      </c>
      <c r="F39" s="25">
        <f>COUNTIFS(非皮卡压缩表[LONG-TYPE],TYPE缩写表[[#This Row],[LONG-TYPE]],非皮卡压缩表[TYPE],TYPE缩写表[[#This Row],[SHORT-TYPE]])</f>
        <v/>
      </c>
    </row>
    <row r="40" customFormat="1" s="25">
      <c r="A40" s="25" t="inlineStr">
        <is>
          <t>Mercedes-Benz SL-Class</t>
        </is>
      </c>
      <c r="B40" s="25" t="inlineStr">
        <is>
          <t>Roadster 300SL/560SL/AMG</t>
        </is>
      </c>
      <c r="C40" s="25" t="inlineStr">
        <is>
          <t>Rdstr 300/560/AMG</t>
        </is>
      </c>
      <c r="D40" s="25" t="n"/>
      <c r="E40" s="25">
        <f>LEN(TYPE缩写表[[#This Row],[SHORT-TYPE]])</f>
        <v/>
      </c>
      <c r="F40" s="25">
        <f>COUNTIFS(非皮卡压缩表[LONG-TYPE],TYPE缩写表[[#This Row],[LONG-TYPE]],非皮卡压缩表[TYPE],TYPE缩写表[[#This Row],[SHORT-TYPE]])</f>
        <v/>
      </c>
    </row>
    <row r="41" ht="12.4" customFormat="1" customHeight="1" s="25">
      <c r="B41" s="31" t="inlineStr">
        <is>
          <t>Pickup/SUV</t>
        </is>
      </c>
      <c r="C41" s="25" t="inlineStr">
        <is>
          <t>Pickup/SUV</t>
        </is>
      </c>
      <c r="D41" s="25" t="n"/>
      <c r="E41" s="25">
        <f>LEN(TYPE缩写表[[#This Row],[SHORT-TYPE]])</f>
        <v/>
      </c>
      <c r="F41" s="32">
        <f>COUNTIFS(非皮卡压缩表[LONG-TYPE],TYPE缩写表[[#This Row],[LONG-TYPE]],非皮卡压缩表[TYPE],TYPE缩写表[[#This Row],[SHORT-TYPE]])</f>
        <v/>
      </c>
    </row>
    <row r="42" customFormat="1" s="25">
      <c r="B42" s="25" t="inlineStr">
        <is>
          <t>Liftback/Sportback Incl: Executive LWB</t>
        </is>
      </c>
      <c r="C42" s="25" t="inlineStr">
        <is>
          <t>Lftbk/Sptbk Inc:LW</t>
        </is>
      </c>
      <c r="D42" s="25" t="inlineStr">
        <is>
          <t>Executive因长度限制去除，保留LWB语义</t>
        </is>
      </c>
      <c r="E42" s="25">
        <f>LEN(TYPE缩写表[[#This Row],[SHORT-TYPE]])</f>
        <v/>
      </c>
      <c r="F42" s="25">
        <f>COUNTIFS(非皮卡压缩表[LONG-TYPE],TYPE缩写表[[#This Row],[LONG-TYPE]],非皮卡压缩表[TYPE],TYPE缩写表[[#This Row],[SHORT-TYPE]])</f>
        <v/>
      </c>
    </row>
    <row r="43" ht="12.4" customFormat="1" customHeight="1" s="25">
      <c r="A43" s="25" t="inlineStr">
        <is>
          <t>Subaru Crosstrek</t>
        </is>
      </c>
      <c r="B43" s="31" t="inlineStr">
        <is>
          <t>Incl: Wilderness</t>
        </is>
      </c>
      <c r="C43" s="31" t="inlineStr">
        <is>
          <t>Inc:Wild</t>
        </is>
      </c>
      <c r="D43" s="25" t="inlineStr">
        <is>
          <t>Wilderness压缩为Wild</t>
        </is>
      </c>
      <c r="E43" s="25">
        <f>LEN(TYPE缩写表[[#This Row],[SHORT-TYPE]])</f>
        <v/>
      </c>
      <c r="F43" s="25">
        <f>COUNTIFS(非皮卡压缩表[LONG-TYPE],TYPE缩写表[[#This Row],[LONG-TYPE]],非皮卡压缩表[TYPE],TYPE缩写表[[#This Row],[SHORT-TYPE]])</f>
        <v/>
      </c>
    </row>
    <row r="44" ht="12.4" customFormat="1" customHeight="1" s="25">
      <c r="A44" s="25" t="inlineStr">
        <is>
          <t>Honda Pilot</t>
        </is>
      </c>
      <c r="B44" s="31" t="inlineStr">
        <is>
          <t>Incl: TrailSport</t>
        </is>
      </c>
      <c r="C44" s="31" t="inlineStr">
        <is>
          <t>Inc:TrailSport</t>
        </is>
      </c>
      <c r="D44" s="25" t="n"/>
      <c r="E44" s="25">
        <f>LEN(TYPE缩写表[[#This Row],[SHORT-TYPE]])</f>
        <v/>
      </c>
      <c r="F44" s="25">
        <f>COUNTIFS(非皮卡压缩表[LONG-TYPE],TYPE缩写表[[#This Row],[LONG-TYPE]],非皮卡压缩表[TYPE],TYPE缩写表[[#This Row],[SHORT-TYPE]])</f>
        <v/>
      </c>
    </row>
    <row r="45" ht="12.4" customFormat="1" customHeight="1" s="25">
      <c r="A45" s="25" t="inlineStr">
        <is>
          <t>Ford Explorer</t>
        </is>
      </c>
      <c r="B45" s="31" t="inlineStr">
        <is>
          <t>Incl: Timberline</t>
        </is>
      </c>
      <c r="C45" s="31" t="inlineStr">
        <is>
          <t>Inc:Timber</t>
        </is>
      </c>
      <c r="D45" s="25" t="inlineStr">
        <is>
          <t>Timberline压缩为Timber</t>
        </is>
      </c>
      <c r="E45" s="25">
        <f>LEN(TYPE缩写表[[#This Row],[SHORT-TYPE]])</f>
        <v/>
      </c>
      <c r="F45" s="25">
        <f>COUNTIFS(非皮卡压缩表[LONG-TYPE],TYPE缩写表[[#This Row],[LONG-TYPE]],非皮卡压缩表[TYPE],TYPE缩写表[[#This Row],[SHORT-TYPE]])</f>
        <v/>
      </c>
    </row>
    <row r="46" ht="12.4" customFormat="1" customHeight="1" s="25">
      <c r="A46" s="25" t="inlineStr">
        <is>
          <t>Nissan Pathfinder</t>
        </is>
      </c>
      <c r="B46" s="31" t="inlineStr">
        <is>
          <t>Incl: Rock Creek</t>
        </is>
      </c>
      <c r="C46" s="31" t="inlineStr">
        <is>
          <t>Inc:RockCrk</t>
        </is>
      </c>
      <c r="D46" s="25" t="inlineStr">
        <is>
          <t>Rock Creek压缩为RockCrk</t>
        </is>
      </c>
      <c r="E46" s="25">
        <f>LEN(TYPE缩写表[[#This Row],[SHORT-TYPE]])</f>
        <v/>
      </c>
      <c r="F46" s="25">
        <f>COUNTIFS(非皮卡压缩表[LONG-TYPE],TYPE缩写表[[#This Row],[LONG-TYPE]],非皮卡压缩表[TYPE],TYPE缩写表[[#This Row],[SHORT-TYPE]])</f>
        <v/>
      </c>
    </row>
    <row r="47" ht="12.4" customFormat="1" customHeight="1" s="25">
      <c r="A47" s="25" t="inlineStr">
        <is>
          <t>Mazda Miata</t>
        </is>
      </c>
      <c r="B47" s="31" t="inlineStr">
        <is>
          <t>Incl: RF/soft top</t>
        </is>
      </c>
      <c r="C47" s="31" t="inlineStr">
        <is>
          <t>Inc:RF/Sf</t>
        </is>
      </c>
      <c r="D47" s="25" t="inlineStr">
        <is>
          <t>soft top压缩为Sf</t>
        </is>
      </c>
      <c r="E47" s="25">
        <f>LEN(TYPE缩写表[[#This Row],[SHORT-TYPE]])</f>
        <v/>
      </c>
      <c r="F47" s="25">
        <f>COUNTIFS(非皮卡压缩表[LONG-TYPE],TYPE缩写表[[#This Row],[LONG-TYPE]],非皮卡压缩表[TYPE],TYPE缩写表[[#This Row],[SHORT-TYPE]])</f>
        <v/>
      </c>
    </row>
    <row r="48" ht="12.4" customFormat="1" customHeight="1" s="25">
      <c r="A48" s="25" t="inlineStr">
        <is>
          <t>Jaguar F-Type</t>
        </is>
      </c>
      <c r="B48" s="31" t="inlineStr">
        <is>
          <t>Incl: P450/P575/R/R75/SVR/V6/V8 S</t>
        </is>
      </c>
      <c r="C48" s="31" t="inlineStr">
        <is>
          <t>Inc:R/SVR</t>
        </is>
      </c>
      <c r="D48" s="25" t="inlineStr">
        <is>
          <t>P450/P575/R75/V6/V8 S为动力/马力标识，因长度限制去除</t>
        </is>
      </c>
      <c r="E48" s="25">
        <f>LEN(TYPE缩写表[[#This Row],[SHORT-TYPE]])</f>
        <v/>
      </c>
      <c r="F48" s="25">
        <f>COUNTIFS(非皮卡压缩表[LONG-TYPE],TYPE缩写表[[#This Row],[LONG-TYPE]],非皮卡压缩表[TYPE],TYPE缩写表[[#This Row],[SHORT-TYPE]])</f>
        <v/>
      </c>
    </row>
    <row r="49" ht="12.4" customFormat="1" customHeight="1" s="25">
      <c r="A49" s="25" t="inlineStr">
        <is>
          <t>Alfa Romeo GIULIA</t>
        </is>
      </c>
      <c r="B49" s="31" t="inlineStr">
        <is>
          <t>Incl: Quadrifoglio</t>
        </is>
      </c>
      <c r="C49" s="31" t="inlineStr">
        <is>
          <t>Inc:Quad</t>
        </is>
      </c>
      <c r="D49" s="25" t="inlineStr">
        <is>
          <t>Quadrifoglio压缩为Quad</t>
        </is>
      </c>
      <c r="E49" s="25">
        <f>LEN(TYPE缩写表[[#This Row],[SHORT-TYPE]])</f>
        <v/>
      </c>
      <c r="F49" s="25">
        <f>COUNTIFS(非皮卡压缩表[LONG-TYPE],TYPE缩写表[[#This Row],[LONG-TYPE]],非皮卡压缩表[TYPE],TYPE缩写表[[#This Row],[SHORT-TYPE]])</f>
        <v/>
      </c>
    </row>
    <row r="50" ht="12.4" customFormat="1" customHeight="1" s="25">
      <c r="A50" s="25" t="inlineStr">
        <is>
          <t>Tesla Model Y</t>
        </is>
      </c>
      <c r="B50" s="31" t="inlineStr">
        <is>
          <t>Incl: Performance</t>
        </is>
      </c>
      <c r="C50" s="31" t="inlineStr">
        <is>
          <t>Inc:Perf</t>
        </is>
      </c>
      <c r="D50" s="25" t="inlineStr">
        <is>
          <t>Performance压缩为Perf</t>
        </is>
      </c>
      <c r="E50" s="25">
        <f>LEN(TYPE缩写表[[#This Row],[SHORT-TYPE]])</f>
        <v/>
      </c>
      <c r="F50" s="25">
        <f>COUNTIFS(非皮卡压缩表[LONG-TYPE],TYPE缩写表[[#This Row],[LONG-TYPE]],非皮卡压缩表[TYPE],TYPE缩写表[[#This Row],[SHORT-TYPE]])</f>
        <v/>
      </c>
    </row>
    <row r="51" ht="12.4" customFormat="1" customHeight="1" s="25">
      <c r="A51" s="25" t="inlineStr">
        <is>
          <t>Subaru Outback Sport</t>
        </is>
      </c>
      <c r="B51" s="31" t="inlineStr">
        <is>
          <t>Incl: Outback Sport</t>
        </is>
      </c>
      <c r="C51" s="31" t="inlineStr">
        <is>
          <t>Inc:Outbk</t>
        </is>
      </c>
      <c r="D51" s="25" t="inlineStr">
        <is>
          <t>Sport后缀省略，保留Outback核心识别</t>
        </is>
      </c>
      <c r="E51" s="25">
        <f>LEN(TYPE缩写表[[#This Row],[SHORT-TYPE]])</f>
        <v/>
      </c>
      <c r="F51" s="25">
        <f>COUNTIFS(非皮卡压缩表[LONG-TYPE],TYPE缩写表[[#This Row],[LONG-TYPE]],非皮卡压缩表[TYPE],TYPE缩写表[[#This Row],[SHORT-TYPE]])</f>
        <v/>
      </c>
    </row>
    <row r="52" ht="12.4" customFormat="1" customHeight="1" s="25">
      <c r="A52" s="25" t="inlineStr">
        <is>
          <t>Nissan Armada</t>
        </is>
      </c>
      <c r="B52" s="31" t="inlineStr">
        <is>
          <t>Incl: NISMO/PRO-4X</t>
        </is>
      </c>
      <c r="C52" s="31" t="inlineStr">
        <is>
          <t>Inc:NIS/PRO4X</t>
        </is>
      </c>
      <c r="D52" s="25" t="inlineStr">
        <is>
          <t>NISMO/PRO-4X压缩为NIS/PRO4X</t>
        </is>
      </c>
      <c r="E52" s="25">
        <f>LEN(TYPE缩写表[[#This Row],[SHORT-TYPE]])</f>
        <v/>
      </c>
      <c r="F52" s="25">
        <f>COUNTIFS(非皮卡压缩表[LONG-TYPE],TYPE缩写表[[#This Row],[LONG-TYPE]],非皮卡压缩表[TYPE],TYPE缩写表[[#This Row],[SHORT-TYPE]])</f>
        <v/>
      </c>
    </row>
    <row r="53" ht="12.4" customFormat="1" customHeight="1" s="25">
      <c r="B53" s="31" t="inlineStr">
        <is>
          <t>Incl: Sedona/Sedona LWB/Sedona SWB</t>
        </is>
      </c>
      <c r="C53" s="31" t="inlineStr">
        <is>
          <t>Inc:LWB/SWB</t>
        </is>
      </c>
      <c r="D53" s="25" t="inlineStr">
        <is>
          <t>Sedona与车型语义重复，仅保留LWB/SWB</t>
        </is>
      </c>
      <c r="E53" s="25">
        <f>LEN(TYPE缩写表[[#This Row],[SHORT-TYPE]])</f>
        <v/>
      </c>
      <c r="F53" s="25">
        <f>COUNTIFS(非皮卡压缩表[LONG-TYPE],TYPE缩写表[[#This Row],[LONG-TYPE]],非皮卡压缩表[TYPE],TYPE缩写表[[#This Row],[SHORT-TYPE]])</f>
        <v/>
      </c>
    </row>
    <row r="54" ht="12.4" customFormat="1" customHeight="1" s="25">
      <c r="A54" s="25" t="inlineStr">
        <is>
          <t>Kia Optima</t>
        </is>
      </c>
      <c r="B54" s="31" t="inlineStr">
        <is>
          <t>Incl: Hybrid/PHEV</t>
        </is>
      </c>
      <c r="C54" s="31" t="inlineStr">
        <is>
          <t>Inc:Hy/PHEV</t>
        </is>
      </c>
      <c r="D54" s="25" t="inlineStr">
        <is>
          <t>Hybrid压缩为Hy</t>
        </is>
      </c>
      <c r="E54" s="25">
        <f>LEN(TYPE缩写表[[#This Row],[SHORT-TYPE]])</f>
        <v/>
      </c>
      <c r="F54" s="25">
        <f>COUNTIFS(非皮卡压缩表[LONG-TYPE],TYPE缩写表[[#This Row],[LONG-TYPE]],非皮卡压缩表[TYPE],TYPE缩写表[[#This Row],[SHORT-TYPE]])</f>
        <v/>
      </c>
    </row>
    <row r="55" ht="12.4" customFormat="1" customHeight="1" s="25">
      <c r="A55" s="25" t="inlineStr">
        <is>
          <t>Dodge Durango</t>
        </is>
      </c>
      <c r="B55" s="31" t="inlineStr">
        <is>
          <t>Incl: Hellcat/SRT</t>
        </is>
      </c>
      <c r="C55" s="31" t="inlineStr">
        <is>
          <t>Inc:HC/SRT</t>
        </is>
      </c>
      <c r="D55" s="25" t="inlineStr">
        <is>
          <t>Hellcat压缩为HC</t>
        </is>
      </c>
      <c r="E55" s="25">
        <f>LEN(TYPE缩写表[[#This Row],[SHORT-TYPE]])</f>
        <v/>
      </c>
      <c r="F55" s="25">
        <f>COUNTIFS(非皮卡压缩表[LONG-TYPE],TYPE缩写表[[#This Row],[LONG-TYPE]],非皮卡压缩表[TYPE],TYPE缩写表[[#This Row],[SHORT-TYPE]])</f>
        <v/>
      </c>
    </row>
    <row r="56" ht="12.4" customFormat="1" customHeight="1" s="25">
      <c r="A56" s="25" t="inlineStr">
        <is>
          <t>Volkswagen Atlas</t>
        </is>
      </c>
      <c r="B56" s="31" t="inlineStr">
        <is>
          <t>Incl: Cross Sport</t>
        </is>
      </c>
      <c r="C56" s="31" t="inlineStr">
        <is>
          <t>Inc:CrossSpt</t>
        </is>
      </c>
      <c r="D56" s="25" t="inlineStr">
        <is>
          <t>Cross Sport压缩为CrossSpt</t>
        </is>
      </c>
      <c r="E56" s="25">
        <f>LEN(TYPE缩写表[[#This Row],[SHORT-TYPE]])</f>
        <v/>
      </c>
      <c r="F56" s="25">
        <f>COUNTIFS(非皮卡压缩表[LONG-TYPE],TYPE缩写表[[#This Row],[LONG-TYPE]],非皮卡压缩表[TYPE],TYPE缩写表[[#This Row],[SHORT-TYPE]])</f>
        <v/>
      </c>
    </row>
    <row r="57" ht="12.4" customFormat="1" customHeight="1" s="25">
      <c r="B57" s="31" t="inlineStr">
        <is>
          <t>Incl: Cross Country</t>
        </is>
      </c>
      <c r="C57" s="31" t="inlineStr">
        <is>
          <t>Inc:CrossCtry</t>
        </is>
      </c>
      <c r="D57" s="25" t="inlineStr">
        <is>
          <t>Cross Country压缩为CrossCtry</t>
        </is>
      </c>
      <c r="E57" s="25">
        <f>LEN(TYPE缩写表[[#This Row],[SHORT-TYPE]])</f>
        <v/>
      </c>
      <c r="F57" s="25">
        <f>COUNTIFS(非皮卡压缩表[LONG-TYPE],TYPE缩写表[[#This Row],[LONG-TYPE]],非皮卡压缩表[TYPE],TYPE缩写表[[#This Row],[SHORT-TYPE]])</f>
        <v/>
      </c>
    </row>
    <row r="58" ht="12.4" customFormat="1" customHeight="1" s="25">
      <c r="A58" s="25" t="inlineStr">
        <is>
          <t>Cadillac CT6</t>
        </is>
      </c>
      <c r="B58" s="31" t="inlineStr">
        <is>
          <t>Incl: Blackwing/PHEV</t>
        </is>
      </c>
      <c r="C58" s="31" t="inlineStr">
        <is>
          <t>Inc:Black/PHEV</t>
        </is>
      </c>
      <c r="D58" s="25" t="inlineStr">
        <is>
          <t>Blackwing压缩为Black</t>
        </is>
      </c>
      <c r="E58" s="25">
        <f>LEN(TYPE缩写表[[#This Row],[SHORT-TYPE]])</f>
        <v/>
      </c>
      <c r="F58" s="25">
        <f>COUNTIFS(非皮卡压缩表[LONG-TYPE],TYPE缩写表[[#This Row],[LONG-TYPE]],非皮卡压缩表[TYPE],TYPE缩写表[[#This Row],[SHORT-TYPE]])</f>
        <v/>
      </c>
    </row>
    <row r="59" ht="12.4" customFormat="1" customHeight="1" s="25">
      <c r="A59" s="25" t="inlineStr">
        <is>
          <t>Mercedes-Benz M-Class</t>
        </is>
      </c>
      <c r="B59" s="31" t="inlineStr">
        <is>
          <t>Incl: AMG/Diesel</t>
        </is>
      </c>
      <c r="C59" s="31" t="inlineStr">
        <is>
          <t>Inc:AMG</t>
        </is>
      </c>
      <c r="D59" s="25" t="inlineStr">
        <is>
          <t>Diesel为动力类型，短标题仅保留AMG</t>
        </is>
      </c>
      <c r="E59" s="25">
        <f>LEN(TYPE缩写表[[#This Row],[SHORT-TYPE]])</f>
        <v/>
      </c>
      <c r="F59" s="25">
        <f>COUNTIFS(非皮卡压缩表[LONG-TYPE],TYPE缩写表[[#This Row],[LONG-TYPE]],非皮卡压缩表[TYPE],TYPE缩写表[[#This Row],[SHORT-TYPE]])</f>
        <v/>
      </c>
    </row>
    <row r="60" ht="12.4" customFormat="1" customHeight="1" s="25">
      <c r="A60" s="25" t="inlineStr">
        <is>
          <t>Hyundai Genesis</t>
        </is>
      </c>
      <c r="B60" s="31" t="inlineStr">
        <is>
          <t>Incl: 5.0 R-Spec</t>
        </is>
      </c>
      <c r="C60" s="31" t="inlineStr">
        <is>
          <t>Inc:5.0RSpc</t>
        </is>
      </c>
      <c r="D60" s="25" t="inlineStr">
        <is>
          <t>5.0 R-Spec压缩为5.0RSpc</t>
        </is>
      </c>
      <c r="E60" s="25">
        <f>LEN(TYPE缩写表[[#This Row],[SHORT-TYPE]])</f>
        <v/>
      </c>
      <c r="F60" s="25">
        <f>COUNTIFS(非皮卡压缩表[LONG-TYPE],TYPE缩写表[[#This Row],[LONG-TYPE]],非皮卡压缩表[TYPE],TYPE缩写表[[#This Row],[SHORT-TYPE]])</f>
        <v/>
      </c>
    </row>
    <row r="61" customFormat="1" s="25">
      <c r="A61" s="25" t="inlineStr">
        <is>
          <t>Subaru WRX</t>
        </is>
      </c>
      <c r="B61" s="25" t="inlineStr">
        <is>
          <t>Hatchback/Wagon STI/WRX</t>
        </is>
      </c>
      <c r="C61" s="25" t="inlineStr">
        <is>
          <t>Hbk/Wgn STI/WRX</t>
        </is>
      </c>
      <c r="D61" s="25" t="n"/>
      <c r="E61" s="25">
        <f>LEN(TYPE缩写表[[#This Row],[SHORT-TYPE]])</f>
        <v/>
      </c>
      <c r="F61" s="25">
        <f>COUNTIFS(非皮卡压缩表[LONG-TYPE],TYPE缩写表[[#This Row],[LONG-TYPE]],非皮卡压缩表[TYPE],TYPE缩写表[[#This Row],[SHORT-TYPE]])</f>
        <v/>
      </c>
    </row>
    <row r="62" customFormat="1" s="25">
      <c r="B62" s="25" t="inlineStr">
        <is>
          <t>Hatchback/Wagon Incl: Safari</t>
        </is>
      </c>
      <c r="C62" s="25" t="inlineStr">
        <is>
          <t>Hbk/Wgn Inc:Safari</t>
        </is>
      </c>
      <c r="D62" s="25" t="n"/>
      <c r="E62" s="25">
        <f>LEN(TYPE缩写表[[#This Row],[SHORT-TYPE]])</f>
        <v/>
      </c>
      <c r="F62" s="25">
        <f>COUNTIFS(非皮卡压缩表[LONG-TYPE],TYPE缩写表[[#This Row],[LONG-TYPE]],非皮卡压缩表[TYPE],TYPE缩写表[[#This Row],[SHORT-TYPE]])</f>
        <v/>
      </c>
    </row>
    <row r="63" customFormat="1" s="25">
      <c r="A63" s="25" t="inlineStr">
        <is>
          <t>Pontiac LeMans</t>
        </is>
      </c>
      <c r="B63" s="25" t="inlineStr">
        <is>
          <t>Hatchback/Wagon Incl: LeMans/Safari/Tempest</t>
        </is>
      </c>
      <c r="C63" s="25" t="inlineStr">
        <is>
          <t>Hbk/Wgn Inc:Saf/T</t>
        </is>
      </c>
      <c r="D63" s="25" t="inlineStr">
        <is>
          <t>LeMans与主车型重复；Safari/Tempest压缩保留</t>
        </is>
      </c>
      <c r="E63" s="25">
        <f>LEN(TYPE缩写表[[#This Row],[SHORT-TYPE]])</f>
        <v/>
      </c>
      <c r="F63" s="25">
        <f>COUNTIFS(非皮卡压缩表[LONG-TYPE],TYPE缩写表[[#This Row],[LONG-TYPE]],非皮卡压缩表[TYPE],TYPE缩写表[[#This Row],[SHORT-TYPE]])</f>
        <v/>
      </c>
    </row>
    <row r="64" customFormat="1" s="25">
      <c r="A64" s="25" t="inlineStr">
        <is>
          <t>Subaru Impreza</t>
        </is>
      </c>
      <c r="B64" s="25" t="inlineStr">
        <is>
          <t>Hatchback/Wagon Incl: Outback Sport</t>
        </is>
      </c>
      <c r="C64" s="25" t="inlineStr">
        <is>
          <t>Hbk/Wgn Inc:Outbk</t>
        </is>
      </c>
      <c r="D64" s="25" t="inlineStr">
        <is>
          <t>Sport后缀因长度限制去除，保留Outback核心识别</t>
        </is>
      </c>
      <c r="E64" s="25">
        <f>LEN(TYPE缩写表[[#This Row],[SHORT-TYPE]])</f>
        <v/>
      </c>
      <c r="F64" s="25">
        <f>COUNTIFS(非皮卡压缩表[LONG-TYPE],TYPE缩写表[[#This Row],[LONG-TYPE]],非皮卡压缩表[TYPE],TYPE缩写表[[#This Row],[SHORT-TYPE]])</f>
        <v/>
      </c>
    </row>
    <row r="65" customFormat="1" s="25">
      <c r="A65" s="25" t="inlineStr">
        <is>
          <t>BMW 3 Series</t>
        </is>
      </c>
      <c r="B65" s="25" t="inlineStr">
        <is>
          <t>Hatchback/Wagon Incl: GT</t>
        </is>
      </c>
      <c r="C65" s="25" t="inlineStr">
        <is>
          <t>Hbk/Wgn Inc:GT</t>
        </is>
      </c>
      <c r="D65" s="25" t="n"/>
      <c r="E65" s="25">
        <f>LEN(TYPE缩写表[[#This Row],[SHORT-TYPE]])</f>
        <v/>
      </c>
      <c r="F65" s="25">
        <f>COUNTIFS(非皮卡压缩表[LONG-TYPE],TYPE缩写表[[#This Row],[LONG-TYPE]],非皮卡压缩表[TYPE],TYPE缩写表[[#This Row],[SHORT-TYPE]])</f>
        <v/>
      </c>
    </row>
    <row r="66" customFormat="1" s="25">
      <c r="A66" s="25" t="inlineStr">
        <is>
          <t>Toyota Corolla</t>
        </is>
      </c>
      <c r="B66" s="25" t="inlineStr">
        <is>
          <t>Hatchback/Wagon Incl: GR Corolla</t>
        </is>
      </c>
      <c r="C66" s="25" t="inlineStr">
        <is>
          <t>Hbk/Wgn Inc:GR</t>
        </is>
      </c>
      <c r="D66" s="25" t="inlineStr">
        <is>
          <t>Corolla与主车型重复，仅保留GR</t>
        </is>
      </c>
      <c r="E66" s="25">
        <f>LEN(TYPE缩写表[[#This Row],[SHORT-TYPE]])</f>
        <v/>
      </c>
      <c r="F66" s="25">
        <f>COUNTIFS(非皮卡压缩表[LONG-TYPE],TYPE缩写表[[#This Row],[LONG-TYPE]],非皮卡压缩表[TYPE],TYPE缩写表[[#This Row],[SHORT-TYPE]])</f>
        <v/>
      </c>
    </row>
    <row r="67" customFormat="1" s="25">
      <c r="A67" s="25" t="inlineStr">
        <is>
          <t>Kia Soul</t>
        </is>
      </c>
      <c r="B67" s="25" t="inlineStr">
        <is>
          <t>Hatchback/Wagon Incl: EV</t>
        </is>
      </c>
      <c r="C67" s="25" t="inlineStr">
        <is>
          <t>Hbk/Wgn Inc:EV</t>
        </is>
      </c>
      <c r="D67" s="25" t="n"/>
      <c r="E67" s="25">
        <f>LEN(TYPE缩写表[[#This Row],[SHORT-TYPE]])</f>
        <v/>
      </c>
      <c r="F67" s="25">
        <f>COUNTIFS(非皮卡压缩表[LONG-TYPE],TYPE缩写表[[#This Row],[LONG-TYPE]],非皮卡压缩表[TYPE],TYPE缩写表[[#This Row],[SHORT-TYPE]])</f>
        <v/>
      </c>
    </row>
    <row r="68" customFormat="1" s="25">
      <c r="A68" s="25" t="inlineStr">
        <is>
          <t>Toyota Tercel</t>
        </is>
      </c>
      <c r="B68" s="25" t="inlineStr">
        <is>
          <t>Hatchback/Wagon Incl: 4WD</t>
        </is>
      </c>
      <c r="C68" s="25" t="inlineStr">
        <is>
          <t>Hbk/Wgn Inc:4WD</t>
        </is>
      </c>
      <c r="D68" s="25" t="n"/>
      <c r="E68" s="25">
        <f>LEN(TYPE缩写表[[#This Row],[SHORT-TYPE]])</f>
        <v/>
      </c>
      <c r="F68" s="25">
        <f>COUNTIFS(非皮卡压缩表[LONG-TYPE],TYPE缩写表[[#This Row],[LONG-TYPE]],非皮卡压缩表[TYPE],TYPE缩写表[[#This Row],[SHORT-TYPE]])</f>
        <v/>
      </c>
    </row>
    <row r="69" customFormat="1" s="25">
      <c r="B69" s="25" t="inlineStr">
        <is>
          <t>Hatchback/Sportback</t>
        </is>
      </c>
      <c r="C69" s="25" t="inlineStr">
        <is>
          <t>Hbk/Sptbk</t>
        </is>
      </c>
      <c r="D69" s="25" t="n"/>
      <c r="E69" s="25">
        <f>LEN(TYPE缩写表[[#This Row],[SHORT-TYPE]])</f>
        <v/>
      </c>
      <c r="F69" s="25">
        <f>COUNTIFS(非皮卡压缩表[LONG-TYPE],TYPE缩写表[[#This Row],[LONG-TYPE]],非皮卡压缩表[TYPE],TYPE缩写表[[#This Row],[SHORT-TYPE]])</f>
        <v/>
      </c>
    </row>
    <row r="70" customFormat="1" s="25">
      <c r="A70" s="25" t="inlineStr">
        <is>
          <t>Porsche Panamera</t>
        </is>
      </c>
      <c r="B70" s="25" t="inlineStr">
        <is>
          <t>Hatchback/Liftback Incl: Executive LWB</t>
        </is>
      </c>
      <c r="C70" s="25" t="inlineStr">
        <is>
          <t>Hbk/Lftbk Inc:LWB</t>
        </is>
      </c>
      <c r="D70" s="25" t="inlineStr">
        <is>
          <t>Executive因长度限制去除，保留LWB</t>
        </is>
      </c>
      <c r="E70" s="25">
        <f>LEN(TYPE缩写表[[#This Row],[SHORT-TYPE]])</f>
        <v/>
      </c>
      <c r="F70" s="25">
        <f>COUNTIFS(非皮卡压缩表[LONG-TYPE],TYPE缩写表[[#This Row],[LONG-TYPE]],非皮卡压缩表[TYPE],TYPE缩写表[[#This Row],[SHORT-TYPE]])</f>
        <v/>
      </c>
    </row>
    <row r="71" ht="12.4" customFormat="1" customHeight="1" s="25">
      <c r="A71" s="25" t="inlineStr">
        <is>
          <t>Honda Civic</t>
        </is>
      </c>
      <c r="B71" s="31" t="inlineStr">
        <is>
          <t>Hatchback Type R</t>
        </is>
      </c>
      <c r="C71" s="31" t="inlineStr">
        <is>
          <t>Hbk Type R</t>
        </is>
      </c>
      <c r="D71" s="25" t="n"/>
      <c r="E71" s="25">
        <f>LEN(TYPE缩写表[[#This Row],[SHORT-TYPE]])</f>
        <v/>
      </c>
      <c r="F71" s="25">
        <f>COUNTIFS(非皮卡压缩表[LONG-TYPE],TYPE缩写表[[#This Row],[LONG-TYPE]],非皮卡压缩表[TYPE],TYPE缩写表[[#This Row],[SHORT-TYPE]])</f>
        <v/>
      </c>
    </row>
    <row r="72" customFormat="1" s="25">
      <c r="A72" s="25" t="inlineStr">
        <is>
          <t>Mercedes-Benz C-Class</t>
        </is>
      </c>
      <c r="B72" s="25" t="inlineStr">
        <is>
          <t>Hatchback SportCoupe</t>
        </is>
      </c>
      <c r="C72" s="25" t="inlineStr">
        <is>
          <t>Hbk SportCoupe</t>
        </is>
      </c>
      <c r="D72" s="25" t="n"/>
      <c r="E72" s="25">
        <f>LEN(TYPE缩写表[[#This Row],[SHORT-TYPE]])</f>
        <v/>
      </c>
      <c r="F72" s="25">
        <f>COUNTIFS(非皮卡压缩表[LONG-TYPE],TYPE缩写表[[#This Row],[LONG-TYPE]],非皮卡压缩表[TYPE],TYPE缩写表[[#This Row],[SHORT-TYPE]])</f>
        <v/>
      </c>
    </row>
    <row r="73" customFormat="1" s="25">
      <c r="A73" s="25" t="inlineStr">
        <is>
          <t>Mazda Protege</t>
        </is>
      </c>
      <c r="B73" s="25" t="inlineStr">
        <is>
          <t>Hatchback Protege5</t>
        </is>
      </c>
      <c r="C73" s="25" t="inlineStr">
        <is>
          <t>Hbk Protege5</t>
        </is>
      </c>
      <c r="D73" s="25" t="n"/>
      <c r="E73" s="25">
        <f>LEN(TYPE缩写表[[#This Row],[SHORT-TYPE]])</f>
        <v/>
      </c>
      <c r="F73" s="25">
        <f>COUNTIFS(非皮卡压缩表[LONG-TYPE],TYPE缩写表[[#This Row],[LONG-TYPE]],非皮卡压缩表[TYPE],TYPE缩写表[[#This Row],[SHORT-TYPE]])</f>
        <v/>
      </c>
    </row>
    <row r="74" customFormat="1" s="25">
      <c r="A74" s="25" t="inlineStr">
        <is>
          <t>Acura Integra</t>
        </is>
      </c>
      <c r="B74" s="25" t="inlineStr">
        <is>
          <t>Hatchback Incl: Type S</t>
        </is>
      </c>
      <c r="C74" s="25" t="inlineStr">
        <is>
          <t>Hbk Inc:TypeS</t>
        </is>
      </c>
      <c r="D74" s="25" t="n"/>
      <c r="E74" s="25">
        <f>LEN(TYPE缩写表[[#This Row],[SHORT-TYPE]])</f>
        <v/>
      </c>
      <c r="F74" s="32">
        <f>COUNTIFS(非皮卡压缩表[LONG-TYPE],TYPE缩写表[[#This Row],[LONG-TYPE]],非皮卡压缩表[TYPE],TYPE缩写表[[#This Row],[SHORT-TYPE]])</f>
        <v/>
      </c>
    </row>
    <row r="75" customFormat="1" s="25">
      <c r="A75" s="25" t="inlineStr">
        <is>
          <t>Ford Fiesta</t>
        </is>
      </c>
      <c r="B75" s="25" t="inlineStr">
        <is>
          <t>Hatchback Incl: ST</t>
        </is>
      </c>
      <c r="C75" s="25" t="inlineStr">
        <is>
          <t>Hbk Inc:ST</t>
        </is>
      </c>
      <c r="D75" s="25" t="n"/>
      <c r="E75" s="25">
        <f>LEN(TYPE缩写表[[#This Row],[SHORT-TYPE]])</f>
        <v/>
      </c>
      <c r="F75" s="25">
        <f>COUNTIFS(非皮卡压缩表[LONG-TYPE],TYPE缩写表[[#This Row],[LONG-TYPE]],非皮卡压缩表[TYPE],TYPE缩写表[[#This Row],[SHORT-TYPE]])</f>
        <v/>
      </c>
    </row>
    <row r="76" customFormat="1" s="25">
      <c r="A76" s="25" t="inlineStr">
        <is>
          <t>Ford Focus</t>
        </is>
      </c>
      <c r="B76" s="25" t="inlineStr">
        <is>
          <t>Hatchback Incl: RS/ZX3/ZX5</t>
        </is>
      </c>
      <c r="C76" s="25" t="inlineStr">
        <is>
          <t>Hbk Inc:RS/Z3/Z5</t>
        </is>
      </c>
      <c r="D76" s="25" t="n"/>
      <c r="E76" s="25">
        <f>LEN(TYPE缩写表[[#This Row],[SHORT-TYPE]])</f>
        <v/>
      </c>
      <c r="F76" s="25">
        <f>COUNTIFS(非皮卡压缩表[LONG-TYPE],TYPE缩写表[[#This Row],[LONG-TYPE]],非皮卡压缩表[TYPE],TYPE缩写表[[#This Row],[SHORT-TYPE]])</f>
        <v/>
      </c>
    </row>
    <row r="77" customFormat="1" s="25">
      <c r="A77" s="25" t="inlineStr">
        <is>
          <t>Volkswagen Golf</t>
        </is>
      </c>
      <c r="B77" s="25" t="inlineStr">
        <is>
          <t>Hatchback Incl: Diesel/R</t>
        </is>
      </c>
      <c r="C77" s="25" t="inlineStr">
        <is>
          <t>Hbk Inc:R</t>
        </is>
      </c>
      <c r="D77" s="25" t="inlineStr">
        <is>
          <t>Diesel为动力类型，短标题仅保留R</t>
        </is>
      </c>
      <c r="E77" s="25">
        <f>LEN(TYPE缩写表[[#This Row],[SHORT-TYPE]])</f>
        <v/>
      </c>
      <c r="F77" s="25">
        <f>COUNTIFS(非皮卡压缩表[LONG-TYPE],TYPE缩写表[[#This Row],[LONG-TYPE]],非皮卡压缩表[TYPE],TYPE缩写表[[#This Row],[SHORT-TYPE]])</f>
        <v/>
      </c>
    </row>
    <row r="78" customFormat="1" s="25">
      <c r="A78" s="25" t="inlineStr">
        <is>
          <t>Volkswagen Rabbit</t>
        </is>
      </c>
      <c r="B78" s="25" t="inlineStr">
        <is>
          <t>Hatchback Incl: GTI</t>
        </is>
      </c>
      <c r="C78" s="25" t="inlineStr">
        <is>
          <t>Hbk Inc:GTI</t>
        </is>
      </c>
      <c r="D78" s="25" t="n"/>
      <c r="E78" s="25">
        <f>LEN(TYPE缩写表[[#This Row],[SHORT-TYPE]])</f>
        <v/>
      </c>
      <c r="F78" s="25">
        <f>COUNTIFS(非皮卡压缩表[LONG-TYPE],TYPE缩写表[[#This Row],[LONG-TYPE]],非皮卡压缩表[TYPE],TYPE缩写表[[#This Row],[SHORT-TYPE]])</f>
        <v/>
      </c>
    </row>
    <row r="79">
      <c r="A79" s="25" t="inlineStr">
        <is>
          <t>BMW 6 Series</t>
        </is>
      </c>
      <c r="B79" s="25" t="inlineStr">
        <is>
          <t>Hatchback Incl: GT</t>
        </is>
      </c>
      <c r="C79" s="25" t="inlineStr">
        <is>
          <t>Hbk Inc:GT</t>
        </is>
      </c>
      <c r="E79" s="25">
        <f>LEN(TYPE缩写表[[#This Row],[SHORT-TYPE]])</f>
        <v/>
      </c>
      <c r="F79" s="25">
        <f>COUNTIFS(非皮卡压缩表[LONG-TYPE],TYPE缩写表[[#This Row],[LONG-TYPE]],非皮卡压缩表[TYPE],TYPE缩写表[[#This Row],[SHORT-TYPE]])</f>
        <v/>
      </c>
    </row>
    <row r="80">
      <c r="A80" s="25" t="inlineStr">
        <is>
          <t>Volkswagen Beetle</t>
        </is>
      </c>
      <c r="B80" s="25" t="inlineStr">
        <is>
          <t>Hatchback Incl: Dune</t>
        </is>
      </c>
      <c r="C80" s="25" t="inlineStr">
        <is>
          <t>Hbk Inc:Dune</t>
        </is>
      </c>
      <c r="E80" s="25">
        <f>LEN(TYPE缩写表[[#This Row],[SHORT-TYPE]])</f>
        <v/>
      </c>
      <c r="F80" s="25">
        <f>COUNTIFS(非皮卡压缩表[LONG-TYPE],TYPE缩写表[[#This Row],[LONG-TYPE]],非皮卡压缩表[TYPE],TYPE缩写表[[#This Row],[SHORT-TYPE]])</f>
        <v/>
      </c>
    </row>
    <row r="81" ht="12.4" customHeight="1" s="23">
      <c r="A81" s="25" t="inlineStr">
        <is>
          <t>Kia Forte</t>
        </is>
      </c>
      <c r="B81" s="31" t="inlineStr">
        <is>
          <t>Hatchback Forte5</t>
        </is>
      </c>
      <c r="C81" s="31" t="inlineStr">
        <is>
          <t>Hbk Forte5</t>
        </is>
      </c>
      <c r="E81" s="25">
        <f>LEN(TYPE缩写表[[#This Row],[SHORT-TYPE]])</f>
        <v/>
      </c>
      <c r="F81" s="25">
        <f>COUNTIFS(非皮卡压缩表[LONG-TYPE],TYPE缩写表[[#This Row],[LONG-TYPE]],非皮卡压缩表[TYPE],TYPE缩写表[[#This Row],[SHORT-TYPE]])</f>
        <v/>
      </c>
    </row>
    <row r="82" ht="12.4" customHeight="1" s="23">
      <c r="A82" s="25" t="inlineStr">
        <is>
          <t>Dodge Caravan</t>
        </is>
      </c>
      <c r="B82" s="31" t="inlineStr">
        <is>
          <t>Grand Caravan/LWB</t>
        </is>
      </c>
      <c r="C82" s="31" t="inlineStr">
        <is>
          <t>Grand/LWB</t>
        </is>
      </c>
      <c r="D82" s="25" t="inlineStr">
        <is>
          <t>Caravan与主车型重复，保留Grand/LWB</t>
        </is>
      </c>
      <c r="E82" s="25">
        <f>LEN(TYPE缩写表[[#This Row],[SHORT-TYPE]])</f>
        <v/>
      </c>
      <c r="F82" s="25">
        <f>COUNTIFS(非皮卡压缩表[LONG-TYPE],TYPE缩写表[[#This Row],[LONG-TYPE]],非皮卡压缩表[TYPE],TYPE缩写表[[#This Row],[SHORT-TYPE]])</f>
        <v/>
      </c>
    </row>
    <row r="83" ht="12.4" customHeight="1" s="23">
      <c r="A83" s="31" t="inlineStr">
        <is>
          <t>Porsche 911</t>
        </is>
      </c>
      <c r="B83" s="31" t="inlineStr">
        <is>
          <t>Coupe/Roadster GT2 RS/GT3 RS/Speedster</t>
        </is>
      </c>
      <c r="C83" s="31" t="inlineStr">
        <is>
          <t>Cpe/Rdstr RS/Spd</t>
        </is>
      </c>
      <c r="D83" s="25" t="inlineStr">
        <is>
          <t>GT2 RS/GT3 RS合并为RS；Speedster压缩为Spd</t>
        </is>
      </c>
      <c r="E83" s="25">
        <f>LEN(TYPE缩写表[[#This Row],[SHORT-TYPE]])</f>
        <v/>
      </c>
      <c r="F83" s="32">
        <f>COUNTIFS(非皮卡压缩表[LONG-TYPE],TYPE缩写表[[#This Row],[LONG-TYPE]],非皮卡压缩表[TYPE],TYPE缩写表[[#This Row],[SHORT-TYPE]])</f>
        <v/>
      </c>
    </row>
    <row r="84" ht="12.4" customHeight="1" s="23">
      <c r="B84" s="31" t="inlineStr">
        <is>
          <t>Coupe/Roadster</t>
        </is>
      </c>
      <c r="C84" s="25" t="inlineStr">
        <is>
          <t>Cpe/Rdstr</t>
        </is>
      </c>
      <c r="E84" s="25">
        <f>LEN(TYPE缩写表[[#This Row],[SHORT-TYPE]])</f>
        <v/>
      </c>
      <c r="F84" s="32">
        <f>COUNTIFS(非皮卡压缩表[LONG-TYPE],TYPE缩写表[[#This Row],[LONG-TYPE]],非皮卡压缩表[TYPE],TYPE缩写表[[#This Row],[SHORT-TYPE]])</f>
        <v/>
      </c>
    </row>
    <row r="85" ht="12.4" customHeight="1" s="23">
      <c r="B85" s="31" t="inlineStr">
        <is>
          <t>Coupe/Fastback</t>
        </is>
      </c>
      <c r="C85" s="25" t="inlineStr">
        <is>
          <t>Cpe/Fastbk</t>
        </is>
      </c>
      <c r="E85" s="25">
        <f>LEN(TYPE缩写表[[#This Row],[SHORT-TYPE]])</f>
        <v/>
      </c>
      <c r="F85" s="32">
        <f>COUNTIFS(非皮卡压缩表[LONG-TYPE],TYPE缩写表[[#This Row],[LONG-TYPE]],非皮卡压缩表[TYPE],TYPE缩写表[[#This Row],[SHORT-TYPE]])</f>
        <v/>
      </c>
    </row>
    <row r="86" ht="12.4" customHeight="1" s="23">
      <c r="A86" s="25" t="inlineStr">
        <is>
          <t>Oldsmobile Cutlass</t>
        </is>
      </c>
      <c r="B86" s="31" t="inlineStr">
        <is>
          <t>Coupe RWD/Supreme</t>
        </is>
      </c>
      <c r="C86" s="31" t="inlineStr">
        <is>
          <t>Cpe RWD/Supr</t>
        </is>
      </c>
      <c r="D86" s="25" t="inlineStr">
        <is>
          <t>Supreme压缩为Supr</t>
        </is>
      </c>
      <c r="E86" s="25">
        <f>LEN(TYPE缩写表[[#This Row],[SHORT-TYPE]])</f>
        <v/>
      </c>
      <c r="F86" s="25">
        <f>COUNTIFS(非皮卡压缩表[LONG-TYPE],TYPE缩写表[[#This Row],[LONG-TYPE]],非皮卡压缩表[TYPE],TYPE缩写表[[#This Row],[SHORT-TYPE]])</f>
        <v/>
      </c>
    </row>
    <row r="87" ht="12.4" customHeight="1" s="23">
      <c r="A87" s="31" t="inlineStr">
        <is>
          <t>Chevrolet Corvette</t>
        </is>
      </c>
      <c r="B87" s="31" t="inlineStr">
        <is>
          <t>Coupe Incl: Z06/ZR1</t>
        </is>
      </c>
      <c r="C87" s="31" t="inlineStr">
        <is>
          <t>Cpe Inc:Z06/ZR1</t>
        </is>
      </c>
      <c r="E87" s="25">
        <f>LEN(TYPE缩写表[[#This Row],[SHORT-TYPE]])</f>
        <v/>
      </c>
      <c r="F87" s="25">
        <f>COUNTIFS(非皮卡压缩表[LONG-TYPE],TYPE缩写表[[#This Row],[LONG-TYPE]],非皮卡压缩表[TYPE],TYPE缩写表[[#This Row],[SHORT-TYPE]])</f>
        <v/>
      </c>
    </row>
    <row r="88">
      <c r="A88" s="25" t="inlineStr">
        <is>
          <t>Chevrolet Chevelle</t>
        </is>
      </c>
      <c r="B88" s="25" t="inlineStr">
        <is>
          <t>Coupe Incl: Laguna Type S-3</t>
        </is>
      </c>
      <c r="C88" s="25" t="inlineStr">
        <is>
          <t>Cpe Inc:LagunaS3</t>
        </is>
      </c>
      <c r="E88" s="25">
        <f>LEN(TYPE缩写表[[#This Row],[SHORT-TYPE]])</f>
        <v/>
      </c>
      <c r="F88" s="25">
        <f>COUNTIFS(非皮卡压缩表[LONG-TYPE],TYPE缩写表[[#This Row],[LONG-TYPE]],非皮卡压缩表[TYPE],TYPE缩写表[[#This Row],[SHORT-TYPE]])</f>
        <v/>
      </c>
    </row>
    <row r="89" ht="12.4" customHeight="1" s="23">
      <c r="A89" s="31" t="inlineStr">
        <is>
          <t>Porsche 911</t>
        </is>
      </c>
      <c r="B89" s="31" t="inlineStr">
        <is>
          <t>Coupe GT2/GT3/GT3 RS/Turbo</t>
        </is>
      </c>
      <c r="C89" s="31" t="inlineStr">
        <is>
          <t>Cpe GT2/GT3/Turb</t>
        </is>
      </c>
      <c r="D89" s="25" t="inlineStr">
        <is>
          <t>GT3 RS并入GT3；Turbo压缩为Turb</t>
        </is>
      </c>
      <c r="E89" s="25">
        <f>LEN(TYPE缩写表[[#This Row],[SHORT-TYPE]])</f>
        <v/>
      </c>
      <c r="F89" s="25">
        <f>COUNTIFS(非皮卡压缩表[LONG-TYPE],TYPE缩写表[[#This Row],[LONG-TYPE]],非皮卡压缩表[TYPE],TYPE缩写表[[#This Row],[SHORT-TYPE]])</f>
        <v/>
      </c>
    </row>
    <row r="90" ht="12.4" customHeight="1" s="23">
      <c r="A90" s="31" t="inlineStr">
        <is>
          <t>Porsche 911</t>
        </is>
      </c>
      <c r="B90" s="31" t="inlineStr">
        <is>
          <t>Coupe GT2/GT3/GT3 RS</t>
        </is>
      </c>
      <c r="C90" s="31" t="inlineStr">
        <is>
          <t>Cpe GT2/GT3</t>
        </is>
      </c>
      <c r="D90" s="25" t="inlineStr">
        <is>
          <t>GT3 RS并入GT3，避免重复</t>
        </is>
      </c>
      <c r="E90" s="25">
        <f>LEN(TYPE缩写表[[#This Row],[SHORT-TYPE]])</f>
        <v/>
      </c>
      <c r="F90" s="25">
        <f>COUNTIFS(非皮卡压缩表[LONG-TYPE],TYPE缩写表[[#This Row],[LONG-TYPE]],非皮卡压缩表[TYPE],TYPE缩写表[[#This Row],[SHORT-TYPE]])</f>
        <v/>
      </c>
    </row>
    <row r="91">
      <c r="A91" s="25" t="inlineStr">
        <is>
          <t>Plymouth Valiant</t>
        </is>
      </c>
      <c r="B91" s="25" t="inlineStr">
        <is>
          <t>Coupe Duster/Scamp</t>
        </is>
      </c>
      <c r="C91" s="25" t="inlineStr">
        <is>
          <t>Cpe Duster/Scamp</t>
        </is>
      </c>
      <c r="E91" s="25">
        <f>LEN(TYPE缩写表[[#This Row],[SHORT-TYPE]])</f>
        <v/>
      </c>
      <c r="F91" s="25">
        <f>COUNTIFS(非皮卡压缩表[LONG-TYPE],TYPE缩写表[[#This Row],[LONG-TYPE]],非皮卡压缩表[TYPE],TYPE缩写表[[#This Row],[SHORT-TYPE]])</f>
        <v/>
      </c>
    </row>
    <row r="92" ht="12.4" customHeight="1" s="23">
      <c r="A92" s="31" t="inlineStr">
        <is>
          <t>Porsche 911</t>
        </is>
      </c>
      <c r="B92" s="31" t="inlineStr">
        <is>
          <t>Coupe Dakar/GT3/GT3 RS/Turbo</t>
        </is>
      </c>
      <c r="C92" s="31" t="inlineStr">
        <is>
          <t>Cpe Dakar/GT3/T</t>
        </is>
      </c>
      <c r="D92" s="25" t="inlineStr">
        <is>
          <t>GT3 RS并入GT3；Turbo压缩为T</t>
        </is>
      </c>
      <c r="E92" s="25">
        <f>LEN(TYPE缩写表[[#This Row],[SHORT-TYPE]])</f>
        <v/>
      </c>
      <c r="F92" s="25">
        <f>COUNTIFS(非皮卡压缩表[LONG-TYPE],TYPE缩写表[[#This Row],[LONG-TYPE]],非皮卡压缩表[TYPE],TYPE缩写表[[#This Row],[SHORT-TYPE]])</f>
        <v/>
      </c>
    </row>
    <row r="93">
      <c r="B93" s="25" t="inlineStr">
        <is>
          <t>Convertible/Roadster</t>
        </is>
      </c>
      <c r="C93" s="25" t="inlineStr">
        <is>
          <t>Conv/Rdstr</t>
        </is>
      </c>
      <c r="E93" s="25">
        <f>LEN(TYPE缩写表[[#This Row],[SHORT-TYPE]])</f>
        <v/>
      </c>
      <c r="F93" s="25">
        <f>COUNTIFS(非皮卡压缩表[LONG-TYPE],TYPE缩写表[[#This Row],[LONG-TYPE]],非皮卡压缩表[TYPE],TYPE缩写表[[#This Row],[SHORT-TYPE]])</f>
        <v/>
      </c>
    </row>
    <row r="94">
      <c r="B94" s="25" t="inlineStr">
        <is>
          <t>Convertible/Coupe/Targa</t>
        </is>
      </c>
      <c r="C94" s="25" t="inlineStr">
        <is>
          <t>Conv/Cpe/Targa</t>
        </is>
      </c>
      <c r="E94" s="25">
        <f>LEN(TYPE缩写表[[#This Row],[SHORT-TYPE]])</f>
        <v/>
      </c>
      <c r="F94" s="25">
        <f>COUNTIFS(非皮卡压缩表[LONG-TYPE],TYPE缩写表[[#This Row],[LONG-TYPE]],非皮卡压缩表[TYPE],TYPE缩写表[[#This Row],[SHORT-TYPE]])</f>
        <v/>
      </c>
    </row>
    <row r="95" ht="12.4" customHeight="1" s="23">
      <c r="A95" s="31" t="inlineStr">
        <is>
          <t>Porsche 911</t>
        </is>
      </c>
      <c r="B95" s="31" t="inlineStr">
        <is>
          <t>Convertible/Coupe/Targa Incl: GT2 RS</t>
        </is>
      </c>
      <c r="C95" s="31" t="inlineStr">
        <is>
          <t>Conv/Cpe/Targa</t>
        </is>
      </c>
      <c r="D95" s="25" t="inlineStr">
        <is>
          <t>GT2 RS因长度限制去除，优先保留三结构</t>
        </is>
      </c>
      <c r="E95" s="25">
        <f>LEN(TYPE缩写表[[#This Row],[SHORT-TYPE]])</f>
        <v/>
      </c>
      <c r="F95" s="25">
        <f>COUNTIFS(非皮卡压缩表[LONG-TYPE],TYPE缩写表[[#This Row],[LONG-TYPE]],非皮卡压缩表[TYPE],TYPE缩写表[[#This Row],[SHORT-TYPE]])</f>
        <v/>
      </c>
    </row>
    <row r="96" ht="12.4" customHeight="1" s="23">
      <c r="A96" s="31" t="n"/>
      <c r="B96" s="31" t="inlineStr">
        <is>
          <t>Convertible/Coupe/Hatchback</t>
        </is>
      </c>
      <c r="C96" s="31" t="inlineStr">
        <is>
          <t>Conv/Cpe/Hbk</t>
        </is>
      </c>
      <c r="E96" s="25">
        <f>LEN(TYPE缩写表[[#This Row],[SHORT-TYPE]])</f>
        <v/>
      </c>
      <c r="F96" s="25">
        <f>COUNTIFS(非皮卡压缩表[LONG-TYPE],TYPE缩写表[[#This Row],[LONG-TYPE]],非皮卡压缩表[TYPE],TYPE缩写表[[#This Row],[SHORT-TYPE]])</f>
        <v/>
      </c>
    </row>
    <row r="97" ht="12.4" customHeight="1" s="23">
      <c r="A97" s="31" t="inlineStr">
        <is>
          <t>Pontiac Firebird</t>
        </is>
      </c>
      <c r="B97" s="31" t="inlineStr">
        <is>
          <t>Convertible/Coupe Trans Am</t>
        </is>
      </c>
      <c r="C97" s="31" t="inlineStr">
        <is>
          <t>Conv/Cpe TransAm</t>
        </is>
      </c>
      <c r="E97" s="25">
        <f>LEN(TYPE缩写表[[#This Row],[SHORT-TYPE]])</f>
        <v/>
      </c>
      <c r="F97" s="25">
        <f>COUNTIFS(非皮卡压缩表[LONG-TYPE],TYPE缩写表[[#This Row],[LONG-TYPE]],非皮卡压缩表[TYPE],TYPE缩写表[[#This Row],[SHORT-TYPE]])</f>
        <v/>
      </c>
    </row>
    <row r="98">
      <c r="A98" s="25" t="inlineStr">
        <is>
          <t>Chevrolet Corvette</t>
        </is>
      </c>
      <c r="B98" s="25" t="inlineStr">
        <is>
          <t>Convertible/Coupe Incl: ZR-1</t>
        </is>
      </c>
      <c r="C98" s="25" t="inlineStr">
        <is>
          <t>Conv/Cpe Inc:ZR1</t>
        </is>
      </c>
      <c r="E98" s="25">
        <f>LEN(TYPE缩写表[[#This Row],[SHORT-TYPE]])</f>
        <v/>
      </c>
      <c r="F98" s="25">
        <f>COUNTIFS(非皮卡压缩表[LONG-TYPE],TYPE缩写表[[#This Row],[LONG-TYPE]],非皮卡压缩表[TYPE],TYPE缩写表[[#This Row],[SHORT-TYPE]])</f>
        <v/>
      </c>
    </row>
    <row r="99" ht="12.4" customHeight="1" s="23">
      <c r="A99" s="31" t="inlineStr">
        <is>
          <t>Chevrolet Camaro</t>
        </is>
      </c>
      <c r="B99" s="31" t="inlineStr">
        <is>
          <t>Convertible/Coupe Incl: ZL1</t>
        </is>
      </c>
      <c r="C99" s="31" t="inlineStr">
        <is>
          <t>Conv/Cpe Inc:ZL1</t>
        </is>
      </c>
      <c r="E99" s="25">
        <f>LEN(TYPE缩写表[[#This Row],[SHORT-TYPE]])</f>
        <v/>
      </c>
      <c r="F99" s="25">
        <f>COUNTIFS(非皮卡压缩表[LONG-TYPE],TYPE缩写表[[#This Row],[LONG-TYPE]],非皮卡压缩表[TYPE],TYPE缩写表[[#This Row],[SHORT-TYPE]])</f>
        <v/>
      </c>
    </row>
    <row r="100" ht="12.4" customHeight="1" s="23">
      <c r="A100" s="31" t="inlineStr">
        <is>
          <t>Chevrolet Camaro</t>
        </is>
      </c>
      <c r="B100" s="31" t="inlineStr">
        <is>
          <t>Convertible/Coupe Incl: Z28</t>
        </is>
      </c>
      <c r="C100" s="31" t="inlineStr">
        <is>
          <t>Conv/Cpe Inc:Z28</t>
        </is>
      </c>
      <c r="E100" s="25">
        <f>LEN(TYPE缩写表[[#This Row],[SHORT-TYPE]])</f>
        <v/>
      </c>
      <c r="F100" s="25">
        <f>COUNTIFS(非皮卡压缩表[LONG-TYPE],TYPE缩写表[[#This Row],[LONG-TYPE]],非皮卡压缩表[TYPE],TYPE缩写表[[#This Row],[SHORT-TYPE]])</f>
        <v/>
      </c>
    </row>
    <row r="101">
      <c r="A101" s="25" t="inlineStr">
        <is>
          <t>Pontiac Firebird</t>
        </is>
      </c>
      <c r="B101" s="25" t="inlineStr">
        <is>
          <t>Convertible/Coupe Incl: Trans Am</t>
        </is>
      </c>
      <c r="C101" s="25" t="inlineStr">
        <is>
          <t>Conv/Cpe Inc:TAm</t>
        </is>
      </c>
      <c r="E101" s="25">
        <f>LEN(TYPE缩写表[[#This Row],[SHORT-TYPE]])</f>
        <v/>
      </c>
      <c r="F101" s="25">
        <f>COUNTIFS(非皮卡压缩表[LONG-TYPE],TYPE缩写表[[#This Row],[LONG-TYPE]],非皮卡压缩表[TYPE],TYPE缩写表[[#This Row],[SHORT-TYPE]])</f>
        <v/>
      </c>
    </row>
    <row r="102">
      <c r="A102" s="25" t="inlineStr">
        <is>
          <t>Mercedes-Benz S-Class</t>
        </is>
      </c>
      <c r="B102" s="25" t="inlineStr">
        <is>
          <t>Convertible/Coupe Incl: PHEV</t>
        </is>
      </c>
      <c r="C102" s="25" t="inlineStr">
        <is>
          <t>Conv/Cpe Inc:PHEV</t>
        </is>
      </c>
      <c r="E102" s="25">
        <f>LEN(TYPE缩写表[[#This Row],[SHORT-TYPE]])</f>
        <v/>
      </c>
      <c r="F102" s="25">
        <f>COUNTIFS(非皮卡压缩表[LONG-TYPE],TYPE缩写表[[#This Row],[LONG-TYPE]],非皮卡压缩表[TYPE],TYPE缩写表[[#This Row],[SHORT-TYPE]])</f>
        <v/>
      </c>
    </row>
    <row r="103" ht="24.75" customHeight="1" s="23">
      <c r="A103" s="31" t="inlineStr">
        <is>
          <t>Ford Mustang</t>
        </is>
      </c>
      <c r="B103" s="31" t="inlineStr">
        <is>
          <t>Convertible/Coupe Incl: Mach 1/SVO/SVT Cobra</t>
        </is>
      </c>
      <c r="C103" s="31" t="inlineStr">
        <is>
          <t>Conv/Cpe Inc:M1+</t>
        </is>
      </c>
      <c r="D103" s="25" t="inlineStr">
        <is>
          <t>Mach 1/SVO/SVT Cobra压缩为M1+</t>
        </is>
      </c>
      <c r="E103" s="25">
        <f>LEN(TYPE缩写表[[#This Row],[SHORT-TYPE]])</f>
        <v/>
      </c>
      <c r="F103" s="25">
        <f>COUNTIFS(非皮卡压缩表[LONG-TYPE],TYPE缩写表[[#This Row],[LONG-TYPE]],非皮卡压缩表[TYPE],TYPE缩写表[[#This Row],[SHORT-TYPE]])</f>
        <v/>
      </c>
    </row>
    <row r="104" ht="12.4" customHeight="1" s="23">
      <c r="A104" s="31" t="inlineStr">
        <is>
          <t>Chevrolet Camaro</t>
        </is>
      </c>
      <c r="B104" s="31" t="inlineStr">
        <is>
          <t>Convertible/Coupe Incl: IROC-Z/Z28</t>
        </is>
      </c>
      <c r="C104" s="31" t="inlineStr">
        <is>
          <t>Conv/Cpe Inc:IZ28</t>
        </is>
      </c>
      <c r="D104" s="25" t="inlineStr">
        <is>
          <t>IROC-Z/Z28压缩为IZ28</t>
        </is>
      </c>
      <c r="E104" s="25">
        <f>LEN(TYPE缩写表[[#This Row],[SHORT-TYPE]])</f>
        <v/>
      </c>
      <c r="F104" s="25">
        <f>COUNTIFS(非皮卡压缩表[LONG-TYPE],TYPE缩写表[[#This Row],[LONG-TYPE]],非皮卡压缩表[TYPE],TYPE缩写表[[#This Row],[SHORT-TYPE]])</f>
        <v/>
      </c>
    </row>
    <row r="105" ht="12.4" customHeight="1" s="23">
      <c r="A105" s="31" t="inlineStr">
        <is>
          <t>Porsche 911</t>
        </is>
      </c>
      <c r="B105" s="31" t="inlineStr">
        <is>
          <t>Convertible/Coupe Incl: GT3</t>
        </is>
      </c>
      <c r="C105" s="31" t="inlineStr">
        <is>
          <t>Conv/Cpe Inc:GT3</t>
        </is>
      </c>
      <c r="E105" s="25">
        <f>LEN(TYPE缩写表[[#This Row],[SHORT-TYPE]])</f>
        <v/>
      </c>
      <c r="F105" s="25">
        <f>COUNTIFS(非皮卡压缩表[LONG-TYPE],TYPE缩写表[[#This Row],[LONG-TYPE]],非皮卡压缩表[TYPE],TYPE缩写表[[#This Row],[SHORT-TYPE]])</f>
        <v/>
      </c>
    </row>
    <row r="106" ht="12.4" customHeight="1" s="23">
      <c r="A106" s="31" t="inlineStr">
        <is>
          <t>Ford Mustang</t>
        </is>
      </c>
      <c r="B106" s="31" t="inlineStr">
        <is>
          <t>Convertible/Coupe Incl: Dark Horse</t>
        </is>
      </c>
      <c r="C106" s="31" t="inlineStr">
        <is>
          <t>Conv/Cpe Inc:DH</t>
        </is>
      </c>
      <c r="D106" s="25" t="inlineStr">
        <is>
          <t>Dark Horse压缩为DH</t>
        </is>
      </c>
      <c r="E106" s="25">
        <f>LEN(TYPE缩写表[[#This Row],[SHORT-TYPE]])</f>
        <v/>
      </c>
      <c r="F106" s="25">
        <f>COUNTIFS(非皮卡压缩表[LONG-TYPE],TYPE缩写表[[#This Row],[LONG-TYPE]],非皮卡压缩表[TYPE],TYPE缩写表[[#This Row],[SHORT-TYPE]])</f>
        <v/>
      </c>
    </row>
    <row r="107">
      <c r="B107" s="25" t="inlineStr">
        <is>
          <t>Convertible/Coupe Incl: All-Trac</t>
        </is>
      </c>
      <c r="C107" s="25" t="inlineStr">
        <is>
          <t>Conv/Cpe Inc:ATrac</t>
        </is>
      </c>
      <c r="E107" s="25">
        <f>LEN(TYPE缩写表[[#This Row],[SHORT-TYPE]])</f>
        <v/>
      </c>
      <c r="F107" s="25">
        <f>COUNTIFS(非皮卡压缩表[LONG-TYPE],TYPE缩写表[[#This Row],[LONG-TYPE]],非皮卡压缩表[TYPE],TYPE缩写表[[#This Row],[SHORT-TYPE]])</f>
        <v/>
      </c>
    </row>
    <row r="108" ht="12.4" customHeight="1" s="23">
      <c r="A108" s="31" t="inlineStr">
        <is>
          <t>Nissan 300ZX</t>
        </is>
      </c>
      <c r="B108" s="31" t="inlineStr">
        <is>
          <t>Convertible/Coupe Incl: 2+2</t>
        </is>
      </c>
      <c r="C108" s="31" t="inlineStr">
        <is>
          <t>Conv/Cpe Inc:2+2</t>
        </is>
      </c>
      <c r="E108" s="25">
        <f>LEN(TYPE缩写表[[#This Row],[SHORT-TYPE]])</f>
        <v/>
      </c>
      <c r="F108" s="25">
        <f>COUNTIFS(非皮卡压缩表[LONG-TYPE],TYPE缩写表[[#This Row],[LONG-TYPE]],非皮卡压缩表[TYPE],TYPE缩写表[[#This Row],[SHORT-TYPE]])</f>
        <v/>
      </c>
    </row>
    <row r="109">
      <c r="A109" s="25" t="inlineStr">
        <is>
          <t>Pontiac LeMans</t>
        </is>
      </c>
      <c r="B109" s="25" t="inlineStr">
        <is>
          <t>Convertible Tempest/LeMans</t>
        </is>
      </c>
      <c r="C109" s="25" t="inlineStr">
        <is>
          <t>Conv Temp/LeMans</t>
        </is>
      </c>
      <c r="E109" s="25">
        <f>LEN(TYPE缩写表[[#This Row],[SHORT-TYPE]])</f>
        <v/>
      </c>
      <c r="F109" s="25">
        <f>COUNTIFS(非皮卡压缩表[LONG-TYPE],TYPE缩写表[[#This Row],[LONG-TYPE]],非皮卡压缩表[TYPE],TYPE缩写表[[#This Row],[SHORT-TYPE]])</f>
        <v/>
      </c>
    </row>
    <row r="110">
      <c r="A110" s="25" t="inlineStr">
        <is>
          <t>Volkswagen Beetle</t>
        </is>
      </c>
      <c r="B110" s="25" t="inlineStr">
        <is>
          <t>Convertible Incl: Dune</t>
        </is>
      </c>
      <c r="C110" s="25" t="inlineStr">
        <is>
          <t>Conv Inc:Dune</t>
        </is>
      </c>
      <c r="E110" s="25">
        <f>LEN(TYPE缩写表[[#This Row],[SHORT-TYPE]])</f>
        <v/>
      </c>
      <c r="F110" s="25">
        <f>COUNTIFS(非皮卡压缩表[LONG-TYPE],TYPE缩写表[[#This Row],[LONG-TYPE]],非皮卡压缩表[TYPE],TYPE缩写表[[#This Row],[SHORT-TYPE]])</f>
        <v/>
      </c>
    </row>
    <row r="111">
      <c r="A111" s="25" t="inlineStr">
        <is>
          <t>Fiat 500</t>
        </is>
      </c>
      <c r="B111" s="25" t="inlineStr">
        <is>
          <t>Convertible Incl: Abarth</t>
        </is>
      </c>
      <c r="C111" s="25" t="inlineStr">
        <is>
          <t>Conv Inc:Abarth</t>
        </is>
      </c>
      <c r="E111" s="25">
        <f>LEN(TYPE缩写表[[#This Row],[SHORT-TYPE]])</f>
        <v/>
      </c>
      <c r="F111" s="25">
        <f>COUNTIFS(非皮卡压缩表[LONG-TYPE],TYPE缩写表[[#This Row],[LONG-TYPE]],非皮卡压缩表[TYPE],TYPE缩写表[[#This Row],[SHORT-TYPE]])</f>
        <v/>
      </c>
    </row>
    <row r="112" ht="12.4" customHeight="1" s="23">
      <c r="A112" s="31" t="inlineStr">
        <is>
          <t>Jeep Wrangler</t>
        </is>
      </c>
      <c r="B112" s="31" t="inlineStr">
        <is>
          <t>4dr SUV Rubicon/Unlimited</t>
        </is>
      </c>
      <c r="C112" s="31" t="inlineStr">
        <is>
          <t>4dr SUV Rub/Un</t>
        </is>
      </c>
      <c r="D112" s="25" t="inlineStr">
        <is>
          <t>Rubicon/Unlimited压缩为Rub/Un</t>
        </is>
      </c>
      <c r="E112" s="25">
        <f>LEN(TYPE缩写表[[#This Row],[SHORT-TYPE]])</f>
        <v/>
      </c>
      <c r="F112" s="25">
        <f>COUNTIFS(非皮卡压缩表[LONG-TYPE],TYPE缩写表[[#This Row],[LONG-TYPE]],非皮卡压缩表[TYPE],TYPE缩写表[[#This Row],[SHORT-TYPE]])</f>
        <v/>
      </c>
    </row>
    <row r="113" ht="12.4" customHeight="1" s="23">
      <c r="A113" s="25" t="inlineStr">
        <is>
          <t>Jeep Wrangler</t>
        </is>
      </c>
      <c r="B113" s="31" t="inlineStr">
        <is>
          <t>2dr SUV/4dr SUV Rubicon/Unlimited</t>
        </is>
      </c>
      <c r="C113" s="31" t="inlineStr">
        <is>
          <t>2dr/4drSUV Rub/Un</t>
        </is>
      </c>
      <c r="D113" s="25" t="inlineStr">
        <is>
          <t>Rubicon/Unlimited压缩为Rub/Un</t>
        </is>
      </c>
      <c r="E113" s="25">
        <f>LEN(TYPE缩写表[[#This Row],[SHORT-TYPE]])</f>
        <v/>
      </c>
      <c r="F113" s="25">
        <f>COUNTIFS(非皮卡压缩表[LONG-TYPE],TYPE缩写表[[#This Row],[LONG-TYPE]],非皮卡压缩表[TYPE],TYPE缩写表[[#This Row],[SHORT-TYPE]])</f>
        <v/>
      </c>
    </row>
    <row r="114">
      <c r="A114" s="25" t="inlineStr">
        <is>
          <t>Jeep Wrangler</t>
        </is>
      </c>
      <c r="B114" s="25" t="inlineStr">
        <is>
          <t>2dr SUV Incl: Xtreme</t>
        </is>
      </c>
      <c r="C114" s="25" t="inlineStr">
        <is>
          <t>2dr SUV Inc:Xtrm</t>
        </is>
      </c>
      <c r="D114" s="25" t="inlineStr">
        <is>
          <t>Xtreme压缩为Xtrm</t>
        </is>
      </c>
      <c r="E114" s="25">
        <f>LEN(TYPE缩写表[[#This Row],[SHORT-TYPE]])</f>
        <v/>
      </c>
      <c r="F114" s="25">
        <f>COUNTIFS(非皮卡压缩表[LONG-TYPE],TYPE缩写表[[#This Row],[LONG-TYPE]],非皮卡压缩表[TYPE],TYPE缩写表[[#This Row],[SHORT-TYPE]])</f>
        <v/>
      </c>
    </row>
    <row r="115">
      <c r="A115" s="25" t="inlineStr">
        <is>
          <t>Chevrolet Bel Air</t>
        </is>
      </c>
      <c r="B115" s="25" t="inlineStr">
        <is>
          <t>Wagon Incl: Kingswood/Parkwood</t>
        </is>
      </c>
      <c r="C115" s="25" t="inlineStr">
        <is>
          <t>Wgn Inc:King/Park</t>
        </is>
      </c>
      <c r="D115" s="25" t="inlineStr">
        <is>
          <t>Kingswood/Parkwood压缩为King/Park</t>
        </is>
      </c>
      <c r="E115" s="25">
        <f>LEN(TYPE缩写表[[#This Row],[SHORT-TYPE]])</f>
        <v/>
      </c>
      <c r="F115" s="25">
        <f>COUNTIFS(非皮卡压缩表[LONG-TYPE],TYPE缩写表[[#This Row],[LONG-TYPE]],非皮卡压缩表[TYPE],TYPE缩写表[[#This Row],[SHORT-TYPE]])</f>
        <v/>
      </c>
    </row>
    <row r="116">
      <c r="A116" s="25" t="inlineStr">
        <is>
          <t>Pontiac Bonneville</t>
        </is>
      </c>
      <c r="B116" s="25" t="inlineStr">
        <is>
          <t>Wagon Grand Safari</t>
        </is>
      </c>
      <c r="C116" s="25" t="inlineStr">
        <is>
          <t>Wgn GrandSafari</t>
        </is>
      </c>
      <c r="E116" s="25">
        <f>LEN(TYPE缩写表[[#This Row],[SHORT-TYPE]])</f>
        <v/>
      </c>
      <c r="F116" s="25">
        <f>COUNTIFS(非皮卡压缩表[LONG-TYPE],TYPE缩写表[[#This Row],[LONG-TYPE]],非皮卡压缩表[TYPE],TYPE缩写表[[#This Row],[SHORT-TYPE]])</f>
        <v/>
      </c>
    </row>
    <row r="117" ht="12.4" customHeight="1" s="23">
      <c r="B117" s="31" t="inlineStr">
        <is>
          <t>Sedan/Wagon</t>
        </is>
      </c>
      <c r="C117" s="25" t="inlineStr">
        <is>
          <t>Sdn/Wgn</t>
        </is>
      </c>
      <c r="E117" s="25">
        <f>LEN(TYPE缩写表[[#This Row],[SHORT-TYPE]])</f>
        <v/>
      </c>
      <c r="F117" s="32">
        <f>COUNTIFS(非皮卡压缩表[LONG-TYPE],TYPE缩写表[[#This Row],[LONG-TYPE]],非皮卡压缩表[TYPE],TYPE缩写表[[#This Row],[SHORT-TYPE]])</f>
        <v/>
      </c>
    </row>
    <row r="118" ht="12.4" customHeight="1" s="23">
      <c r="A118" s="25" t="inlineStr">
        <is>
          <t>Oldsmobile Cutlass</t>
        </is>
      </c>
      <c r="B118" s="31" t="inlineStr">
        <is>
          <t>Sedan RWD/Supreme</t>
        </is>
      </c>
      <c r="C118" s="31" t="inlineStr">
        <is>
          <t>Sdn RWD/Supr</t>
        </is>
      </c>
      <c r="D118" s="25" t="inlineStr">
        <is>
          <t>Supreme压缩为Supr</t>
        </is>
      </c>
      <c r="E118" s="25">
        <f>LEN(TYPE缩写表[[#This Row],[SHORT-TYPE]])</f>
        <v/>
      </c>
      <c r="F118" s="25">
        <f>COUNTIFS(非皮卡压缩表[LONG-TYPE],TYPE缩写表[[#This Row],[LONG-TYPE]],非皮卡压缩表[TYPE],TYPE缩写表[[#This Row],[SHORT-TYPE]])</f>
        <v/>
      </c>
    </row>
    <row r="119">
      <c r="A119" s="25" t="inlineStr">
        <is>
          <t>Oldsmobile Cutlass</t>
        </is>
      </c>
      <c r="B119" s="25" t="inlineStr">
        <is>
          <t>Sedan Incl: Cutlass/F-85</t>
        </is>
      </c>
      <c r="C119" s="25" t="inlineStr">
        <is>
          <t>Sdn Inc:F85</t>
        </is>
      </c>
      <c r="D119" s="25" t="inlineStr">
        <is>
          <t>Cutlass与主车型重复，仅保留F85</t>
        </is>
      </c>
      <c r="E119" s="25">
        <f>LEN(TYPE缩写表[[#This Row],[SHORT-TYPE]])</f>
        <v/>
      </c>
      <c r="F119" s="25">
        <f>COUNTIFS(非皮卡压缩表[LONG-TYPE],TYPE缩写表[[#This Row],[LONG-TYPE]],非皮卡压缩表[TYPE],TYPE缩写表[[#This Row],[SHORT-TYPE]])</f>
        <v/>
      </c>
    </row>
    <row r="120">
      <c r="A120" s="25" t="inlineStr">
        <is>
          <t>Oldsmobile Cutlass</t>
        </is>
      </c>
      <c r="B120" s="25" t="inlineStr">
        <is>
          <t>Sedan FWD/RWD/Supreme</t>
        </is>
      </c>
      <c r="C120" s="25" t="inlineStr">
        <is>
          <t>Sdn FWD/RWD/Supr</t>
        </is>
      </c>
      <c r="E120" s="25">
        <f>LEN(TYPE缩写表[[#This Row],[SHORT-TYPE]])</f>
        <v/>
      </c>
      <c r="F120" s="25">
        <f>COUNTIFS(非皮卡压缩表[LONG-TYPE],TYPE缩写表[[#This Row],[LONG-TYPE]],非皮卡压缩表[TYPE],TYPE缩写表[[#This Row],[SHORT-TYPE]])</f>
        <v/>
      </c>
    </row>
    <row r="121">
      <c r="A121" s="25" t="inlineStr">
        <is>
          <t>Oldsmobile Cutlass</t>
        </is>
      </c>
      <c r="B121" s="25" t="inlineStr">
        <is>
          <t>Sedan F-85/Cutlass</t>
        </is>
      </c>
      <c r="C121" s="25" t="inlineStr">
        <is>
          <t>Sdn F85/Cutlass</t>
        </is>
      </c>
      <c r="E121" s="25">
        <f>LEN(TYPE缩写表[[#This Row],[SHORT-TYPE]])</f>
        <v/>
      </c>
      <c r="F121" s="25">
        <f>COUNTIFS(非皮卡压缩表[LONG-TYPE],TYPE缩写表[[#This Row],[LONG-TYPE]],非皮卡压缩表[TYPE],TYPE缩写表[[#This Row],[SHORT-TYPE]])</f>
        <v/>
      </c>
    </row>
    <row r="122" ht="12.4" customHeight="1" s="23">
      <c r="A122" s="25" t="inlineStr">
        <is>
          <t>Ford Expedition</t>
        </is>
      </c>
      <c r="B122" s="31" t="inlineStr">
        <is>
          <t>Incl: EL/MAX/Tremor</t>
        </is>
      </c>
      <c r="C122" s="31" t="inlineStr">
        <is>
          <t>Inc:EL/MAX/T</t>
        </is>
      </c>
      <c r="D122" s="25" t="inlineStr">
        <is>
          <t>Tremor压缩为T</t>
        </is>
      </c>
      <c r="E122" s="25">
        <f>LEN(TYPE缩写表[[#This Row],[SHORT-TYPE]])</f>
        <v/>
      </c>
      <c r="F122" s="25">
        <f>COUNTIFS(非皮卡压缩表[LONG-TYPE],TYPE缩写表[[#This Row],[LONG-TYPE]],非皮卡压缩表[TYPE],TYPE缩写表[[#This Row],[SHORT-TYPE]])</f>
        <v/>
      </c>
    </row>
    <row r="123">
      <c r="A123" s="25" t="inlineStr">
        <is>
          <t>Plymouth Fury</t>
        </is>
      </c>
      <c r="B123" s="25" t="inlineStr">
        <is>
          <t>Hardtop Belvedere Fury</t>
        </is>
      </c>
      <c r="C123" s="25" t="inlineStr">
        <is>
          <t>HTop BelvFury</t>
        </is>
      </c>
      <c r="D123" s="25" t="inlineStr">
        <is>
          <t>Belvedere压缩为Belv</t>
        </is>
      </c>
      <c r="E123" s="25">
        <f>LEN(TYPE缩写表[[#This Row],[SHORT-TYPE]])</f>
        <v/>
      </c>
      <c r="F123" s="25">
        <f>COUNTIFS(非皮卡压缩表[LONG-TYPE],TYPE缩写表[[#This Row],[LONG-TYPE]],非皮卡压缩表[TYPE],TYPE缩写表[[#This Row],[SHORT-TYPE]])</f>
        <v/>
      </c>
    </row>
    <row r="124">
      <c r="A124" s="25" t="inlineStr">
        <is>
          <t>Kia Rio</t>
        </is>
      </c>
      <c r="B124" s="25" t="inlineStr">
        <is>
          <t>Hatchback/Wagon Rio5</t>
        </is>
      </c>
      <c r="C124" s="25" t="inlineStr">
        <is>
          <t>Hbk/Wgn Rio5</t>
        </is>
      </c>
      <c r="E124" s="25">
        <f>LEN(TYPE缩写表[[#This Row],[SHORT-TYPE]])</f>
        <v/>
      </c>
      <c r="F124" s="25">
        <f>COUNTIFS(非皮卡压缩表[LONG-TYPE],TYPE缩写表[[#This Row],[LONG-TYPE]],非皮卡压缩表[TYPE],TYPE缩写表[[#This Row],[SHORT-TYPE]])</f>
        <v/>
      </c>
    </row>
    <row r="125" ht="12.4" customHeight="1" s="23">
      <c r="A125" s="31" t="n"/>
      <c r="B125" s="31" t="inlineStr">
        <is>
          <t>Hatchback/Wagon Incl: Grand Safari/Safari</t>
        </is>
      </c>
      <c r="C125" s="31" t="inlineStr">
        <is>
          <t>Hbk/Wgn Inc:Safari</t>
        </is>
      </c>
      <c r="D125" s="25" t="inlineStr">
        <is>
          <t>Grand Safari压缩并入Safari</t>
        </is>
      </c>
      <c r="E125" s="25">
        <f>LEN(TYPE缩写表[[#This Row],[SHORT-TYPE]])</f>
        <v/>
      </c>
      <c r="F125" s="25">
        <f>COUNTIFS(非皮卡压缩表[LONG-TYPE],TYPE缩写表[[#This Row],[LONG-TYPE]],非皮卡压缩表[TYPE],TYPE缩写表[[#This Row],[SHORT-TYPE]])</f>
        <v/>
      </c>
    </row>
    <row r="126">
      <c r="A126" s="25" t="inlineStr">
        <is>
          <t>Mercury Cougar</t>
        </is>
      </c>
      <c r="B126" s="25" t="inlineStr">
        <is>
          <t>Coupe/Sedan/Wagon Incl: XR-7</t>
        </is>
      </c>
      <c r="C126" s="25" t="inlineStr">
        <is>
          <t>Cpe/Sdn/Wgn</t>
        </is>
      </c>
      <c r="D126" s="25" t="inlineStr">
        <is>
          <t>XR-7因长度限制去除，优先保留三种结构</t>
        </is>
      </c>
      <c r="E126" s="25">
        <f>LEN(TYPE缩写表[[#This Row],[SHORT-TYPE]])</f>
        <v/>
      </c>
      <c r="F126" s="25">
        <f>COUNTIFS(非皮卡压缩表[LONG-TYPE],TYPE缩写表[[#This Row],[LONG-TYPE]],非皮卡压缩表[TYPE],TYPE缩写表[[#This Row],[SHORT-TYPE]])</f>
        <v/>
      </c>
    </row>
    <row r="127">
      <c r="A127" s="25" t="inlineStr">
        <is>
          <t>Plymouth Fury</t>
        </is>
      </c>
      <c r="B127" s="25" t="inlineStr">
        <is>
          <t>Coupe/Hardtop Incl: Belvedere Fury</t>
        </is>
      </c>
      <c r="C127" s="25" t="inlineStr">
        <is>
          <t>Cpe/HTop Inc:Belv</t>
        </is>
      </c>
      <c r="D127" s="25" t="inlineStr">
        <is>
          <t>Fury与主车型重复；Belvedere缩写保留</t>
        </is>
      </c>
      <c r="E127" s="25">
        <f>LEN(TYPE缩写表[[#This Row],[SHORT-TYPE]])</f>
        <v/>
      </c>
      <c r="F127" s="25">
        <f>COUNTIFS(非皮卡压缩表[LONG-TYPE],TYPE缩写表[[#This Row],[LONG-TYPE]],非皮卡压缩表[TYPE],TYPE缩写表[[#This Row],[SHORT-TYPE]])</f>
        <v/>
      </c>
    </row>
    <row r="128" ht="12.4" customHeight="1" s="23">
      <c r="A128" s="31" t="n"/>
      <c r="B128" s="31" t="inlineStr">
        <is>
          <t>Coupe/Hatchback/Wagon</t>
        </is>
      </c>
      <c r="C128" s="31" t="inlineStr">
        <is>
          <t>Cpe/Hbk/Wgn</t>
        </is>
      </c>
      <c r="E128" s="25">
        <f>LEN(TYPE缩写表[[#This Row],[SHORT-TYPE]])</f>
        <v/>
      </c>
      <c r="F128" s="25">
        <f>COUNTIFS(非皮卡压缩表[LONG-TYPE],TYPE缩写表[[#This Row],[LONG-TYPE]],非皮卡压缩表[TYPE],TYPE缩写表[[#This Row],[SHORT-TYPE]])</f>
        <v/>
      </c>
    </row>
    <row r="129" ht="12.4" customHeight="1" s="23">
      <c r="A129" s="25" t="inlineStr">
        <is>
          <t>Mercury Cougar</t>
        </is>
      </c>
      <c r="B129" s="31" t="inlineStr">
        <is>
          <t>Coupe Incl: XR-7</t>
        </is>
      </c>
      <c r="C129" s="31" t="inlineStr">
        <is>
          <t>Cpe Inc:XR7</t>
        </is>
      </c>
      <c r="D129" s="25" t="inlineStr">
        <is>
          <t>XR-7压缩为XR7</t>
        </is>
      </c>
      <c r="E129" s="25">
        <f>LEN(TYPE缩写表[[#This Row],[SHORT-TYPE]])</f>
        <v/>
      </c>
      <c r="F129" s="25">
        <f>COUNTIFS(非皮卡压缩表[LONG-TYPE],TYPE缩写表[[#This Row],[LONG-TYPE]],非皮卡压缩表[TYPE],TYPE缩写表[[#This Row],[SHORT-TYPE]])</f>
        <v/>
      </c>
    </row>
    <row r="130" ht="12.4" customHeight="1" s="23">
      <c r="A130" s="25" t="inlineStr">
        <is>
          <t>Oldsmobile Cutlass</t>
        </is>
      </c>
      <c r="B130" s="31" t="inlineStr">
        <is>
          <t>Coupe Incl: Ciera</t>
        </is>
      </c>
      <c r="C130" s="31" t="inlineStr">
        <is>
          <t>Cpe Inc:Ciera</t>
        </is>
      </c>
      <c r="E130" s="25">
        <f>LEN(TYPE缩写表[[#This Row],[SHORT-TYPE]])</f>
        <v/>
      </c>
      <c r="F130" s="25">
        <f>COUNTIFS(非皮卡压缩表[LONG-TYPE],TYPE缩写表[[#This Row],[LONG-TYPE]],非皮卡压缩表[TYPE],TYPE缩写表[[#This Row],[SHORT-TYPE]])</f>
        <v/>
      </c>
    </row>
    <row r="131" ht="12.4" customHeight="1" s="23">
      <c r="A131" s="31" t="inlineStr">
        <is>
          <t>Pontiac LeMans</t>
        </is>
      </c>
      <c r="B131" s="31" t="inlineStr">
        <is>
          <t>Coupe Incl: Can Am</t>
        </is>
      </c>
      <c r="C131" s="31" t="inlineStr">
        <is>
          <t>Cpe Inc:CanAm</t>
        </is>
      </c>
      <c r="E131" s="25">
        <f>LEN(TYPE缩写表[[#This Row],[SHORT-TYPE]])</f>
        <v/>
      </c>
      <c r="F131" s="25">
        <f>COUNTIFS(非皮卡压缩表[LONG-TYPE],TYPE缩写表[[#This Row],[LONG-TYPE]],非皮卡压缩表[TYPE],TYPE缩写表[[#This Row],[SHORT-TYPE]])</f>
        <v/>
      </c>
    </row>
    <row r="132" ht="12.4" customHeight="1" s="23">
      <c r="B132" s="31" t="inlineStr">
        <is>
          <t>Convertible/Wagon</t>
        </is>
      </c>
      <c r="C132" s="31" t="inlineStr">
        <is>
          <t>Conv/Wgn</t>
        </is>
      </c>
      <c r="E132" s="25">
        <f>LEN(TYPE缩写表[[#This Row],[SHORT-TYPE]])</f>
        <v/>
      </c>
      <c r="F132" s="25">
        <f>COUNTIFS(非皮卡压缩表[LONG-TYPE],TYPE缩写表[[#This Row],[LONG-TYPE]],非皮卡压缩表[TYPE],TYPE缩写表[[#This Row],[SHORT-TYPE]])</f>
        <v/>
      </c>
    </row>
    <row r="133" ht="12.4" customHeight="1" s="23">
      <c r="B133" s="31" t="inlineStr">
        <is>
          <t>Convertible/Sedan</t>
        </is>
      </c>
      <c r="C133" s="31" t="inlineStr">
        <is>
          <t>Conv/Sdn</t>
        </is>
      </c>
      <c r="E133" s="25">
        <f>LEN(TYPE缩写表[[#This Row],[SHORT-TYPE]])</f>
        <v/>
      </c>
      <c r="F133" s="25">
        <f>COUNTIFS(非皮卡压缩表[LONG-TYPE],TYPE缩写表[[#This Row],[LONG-TYPE]],非皮卡压缩表[TYPE],TYPE缩写表[[#This Row],[SHORT-TYPE]])</f>
        <v/>
      </c>
    </row>
    <row r="134">
      <c r="B134" s="25" t="inlineStr">
        <is>
          <t>Convertible/Coupe/Wagon</t>
        </is>
      </c>
      <c r="C134" s="25" t="inlineStr">
        <is>
          <t>Conv/Cpe/Wgn</t>
        </is>
      </c>
      <c r="E134" s="25">
        <f>LEN(TYPE缩写表[[#This Row],[SHORT-TYPE]])</f>
        <v/>
      </c>
      <c r="F134" s="25">
        <f>COUNTIFS(非皮卡压缩表[LONG-TYPE],TYPE缩写表[[#This Row],[LONG-TYPE]],非皮卡压缩表[TYPE],TYPE缩写表[[#This Row],[SHORT-TYPE]])</f>
        <v/>
      </c>
    </row>
    <row r="135" ht="24.75" customHeight="1" s="23">
      <c r="A135" s="25" t="inlineStr">
        <is>
          <t>Chevrolet Bel Air</t>
        </is>
      </c>
      <c r="B135" s="31" t="inlineStr">
        <is>
          <t>Convertible/Coupe/Wagon Incl: Hardtop/Kingswood/Parkwood</t>
        </is>
      </c>
      <c r="C135" s="31" t="inlineStr">
        <is>
          <t>Conv/Cpe/Wgn</t>
        </is>
      </c>
      <c r="D135" s="25" t="inlineStr">
        <is>
          <t>Hardtop/Kingswood/Parkwood因长度限制去除，优先保留三结构</t>
        </is>
      </c>
      <c r="E135" s="25">
        <f>LEN(TYPE缩写表[[#This Row],[SHORT-TYPE]])</f>
        <v/>
      </c>
      <c r="F135" s="25">
        <f>COUNTIFS(非皮卡压缩表[LONG-TYPE],TYPE缩写表[[#This Row],[LONG-TYPE]],非皮卡压缩表[TYPE],TYPE缩写表[[#This Row],[SHORT-TYPE]])</f>
        <v/>
      </c>
    </row>
    <row r="136" ht="12.4" customHeight="1" s="23">
      <c r="A136" s="31" t="inlineStr">
        <is>
          <t>Oldsmobile Cutlass</t>
        </is>
      </c>
      <c r="B136" s="31" t="inlineStr">
        <is>
          <t>Convertible/Coupe/Sedan Cutlass/F-85/FWD</t>
        </is>
      </c>
      <c r="C136" s="31" t="inlineStr">
        <is>
          <t>Conv/Cpe/Sdn F85</t>
        </is>
      </c>
      <c r="D136" s="25" t="inlineStr">
        <is>
          <t>Cutlass与主车型重复；FWD为驱动/平台标识，因长度限制去除</t>
        </is>
      </c>
      <c r="E136" s="25">
        <f>LEN(TYPE缩写表[[#This Row],[SHORT-TYPE]])</f>
        <v/>
      </c>
      <c r="F136" s="25">
        <f>COUNTIFS(非皮卡压缩表[LONG-TYPE],TYPE缩写表[[#This Row],[LONG-TYPE]],非皮卡压缩表[TYPE],TYPE缩写表[[#This Row],[SHORT-TYPE]])</f>
        <v/>
      </c>
    </row>
    <row r="137">
      <c r="B137" s="25" t="inlineStr">
        <is>
          <t>Convertible/Coupe/Sedan</t>
        </is>
      </c>
      <c r="C137" s="25" t="inlineStr">
        <is>
          <t>Conv/Cpe/Sdn</t>
        </is>
      </c>
      <c r="E137" s="25">
        <f>LEN(TYPE缩写表[[#This Row],[SHORT-TYPE]])</f>
        <v/>
      </c>
      <c r="F137" s="25">
        <f>COUNTIFS(非皮卡压缩表[LONG-TYPE],TYPE缩写表[[#This Row],[LONG-TYPE]],非皮卡压缩表[TYPE],TYPE缩写表[[#This Row],[SHORT-TYPE]])</f>
        <v/>
      </c>
    </row>
    <row r="138" ht="24.75" customHeight="1" s="23">
      <c r="A138" s="31" t="inlineStr">
        <is>
          <t>Plymouth Fury</t>
        </is>
      </c>
      <c r="B138" s="31" t="inlineStr">
        <is>
          <t>Convertible/Coupe/Hardtop Incl: Belvedere Fury</t>
        </is>
      </c>
      <c r="C138" s="31" t="inlineStr">
        <is>
          <t>Conv/Cpe/HTop</t>
        </is>
      </c>
      <c r="D138" s="25" t="inlineStr">
        <is>
          <t>Belvedere Fury因长度限制去除，优先保留三结构</t>
        </is>
      </c>
      <c r="E138" s="25">
        <f>LEN(TYPE缩写表[[#This Row],[SHORT-TYPE]])</f>
        <v/>
      </c>
      <c r="F138" s="25">
        <f>COUNTIFS(非皮卡压缩表[LONG-TYPE],TYPE缩写表[[#This Row],[LONG-TYPE]],非皮卡压缩表[TYPE],TYPE缩写表[[#This Row],[SHORT-TYPE]])</f>
        <v/>
      </c>
    </row>
    <row r="139">
      <c r="A139" s="25" t="inlineStr">
        <is>
          <t>Pontiac Bonneville</t>
        </is>
      </c>
      <c r="B139" s="25" t="inlineStr">
        <is>
          <t>Convertible/Coupe/Hatchback/Wagon Incl: Grand Safari/Safari</t>
        </is>
      </c>
      <c r="C139" s="25" t="inlineStr">
        <is>
          <t>Conv/Cpe/Hbk/Wgn</t>
        </is>
      </c>
      <c r="D139" s="25" t="inlineStr">
        <is>
          <t>Grand Safari/Safari因长度限制去除，优先保留多结构信息</t>
        </is>
      </c>
      <c r="E139" s="25">
        <f>LEN(TYPE缩写表[[#This Row],[SHORT-TYPE]])</f>
        <v/>
      </c>
      <c r="F139" s="25">
        <f>COUNTIFS(非皮卡压缩表[LONG-TYPE],TYPE缩写表[[#This Row],[LONG-TYPE]],非皮卡压缩表[TYPE],TYPE缩写表[[#This Row],[SHORT-TYPE]])</f>
        <v/>
      </c>
    </row>
    <row r="140" ht="12.4" customHeight="1" s="23">
      <c r="A140" s="31" t="inlineStr">
        <is>
          <t>BMW 4 Series</t>
        </is>
      </c>
      <c r="B140" s="31" t="inlineStr">
        <is>
          <t>Convertible/Coupe/Sedan Gran Coupe/M4</t>
        </is>
      </c>
      <c r="C140" s="31" t="inlineStr">
        <is>
          <t>Conv/Cpe/GC/M4</t>
        </is>
      </c>
      <c r="D140" s="25" t="inlineStr">
        <is>
          <t>Sedan Gran Coupe压缩为GC</t>
        </is>
      </c>
      <c r="E140" s="25">
        <f>LEN(TYPE缩写表[[#This Row],[SHORT-TYPE]])</f>
        <v/>
      </c>
      <c r="F140" s="25">
        <f>COUNTIFS(非皮卡压缩表[LONG-TYPE],TYPE缩写表[[#This Row],[LONG-TYPE]],非皮卡压缩表[TYPE],TYPE缩写表[[#This Row],[SHORT-TYPE]])</f>
        <v/>
      </c>
    </row>
    <row r="141" ht="12.4" customHeight="1" s="23">
      <c r="A141" s="31" t="inlineStr">
        <is>
          <t>BMW 4 Series</t>
        </is>
      </c>
      <c r="B141" s="31" t="inlineStr">
        <is>
          <t>Convertible/Coupe M4</t>
        </is>
      </c>
      <c r="C141" s="31" t="inlineStr">
        <is>
          <t>Conv/Cpe M4</t>
        </is>
      </c>
      <c r="E141" s="25">
        <f>LEN(TYPE缩写表[[#This Row],[SHORT-TYPE]])</f>
        <v/>
      </c>
      <c r="F141" s="25">
        <f>COUNTIFS(非皮卡压缩表[LONG-TYPE],TYPE缩写表[[#This Row],[LONG-TYPE]],非皮卡压缩表[TYPE],TYPE缩写表[[#This Row],[SHORT-TYPE]])</f>
        <v/>
      </c>
    </row>
    <row r="142" ht="12.4" customHeight="1" s="23">
      <c r="A142" s="31" t="inlineStr">
        <is>
          <t>Chevrolet Bel Air</t>
        </is>
      </c>
      <c r="B142" s="31" t="inlineStr">
        <is>
          <t>Convertible/Coupe Incl: Hardtop</t>
        </is>
      </c>
      <c r="C142" s="31" t="inlineStr">
        <is>
          <t>Conv/Cpe Inc:HTop</t>
        </is>
      </c>
      <c r="E142" s="25">
        <f>LEN(TYPE缩写表[[#This Row],[SHORT-TYPE]])</f>
        <v/>
      </c>
      <c r="F142" s="25">
        <f>COUNTIFS(非皮卡压缩表[LONG-TYPE],TYPE缩写表[[#This Row],[LONG-TYPE]],非皮卡压缩表[TYPE],TYPE缩写表[[#This Row],[SHORT-TYPE]])</f>
        <v/>
      </c>
    </row>
    <row r="143">
      <c r="B143" s="25" t="inlineStr">
        <is>
          <t>Convertible/Coupe Incl: Can Am</t>
        </is>
      </c>
      <c r="C143" s="25" t="inlineStr">
        <is>
          <t>Conv/Cpe Inc:CanAm</t>
        </is>
      </c>
      <c r="E143" s="25">
        <f>LEN(TYPE缩写表[[#This Row],[SHORT-TYPE]])</f>
        <v/>
      </c>
      <c r="F143" s="25">
        <f>COUNTIFS(非皮卡压缩表[LONG-TYPE],TYPE缩写表[[#This Row],[LONG-TYPE]],非皮卡压缩表[TYPE],TYPE缩写表[[#This Row],[SHORT-TYPE]])</f>
        <v/>
      </c>
    </row>
    <row r="144">
      <c r="A144" s="25" t="inlineStr">
        <is>
          <t>Oldsmobile Cutlass</t>
        </is>
      </c>
      <c r="B144" s="25" t="inlineStr">
        <is>
          <t>Convertible/Coupe Ciera/Cutlass/F-85</t>
        </is>
      </c>
      <c r="C144" s="25" t="inlineStr">
        <is>
          <t>Conv/Cpe Cie/F85</t>
        </is>
      </c>
      <c r="D144" s="25" t="inlineStr">
        <is>
          <t>Cutlass与主车型重复，短标题省略</t>
        </is>
      </c>
      <c r="E144" s="25">
        <f>LEN(TYPE缩写表[[#This Row],[SHORT-TYPE]])</f>
        <v/>
      </c>
      <c r="F144" s="25">
        <f>COUNTIFS(非皮卡压缩表[LONG-TYPE],TYPE缩写表[[#This Row],[LONG-TYPE]],非皮卡压缩表[TYPE],TYPE缩写表[[#This Row],[SHORT-TYPE]])</f>
        <v/>
      </c>
    </row>
    <row r="145" ht="12.4" customHeight="1" s="23">
      <c r="A145" s="25" t="inlineStr">
        <is>
          <t>Land Rover Defender</t>
        </is>
      </c>
      <c r="B145" s="31" t="inlineStr">
        <is>
          <t>90 NAS/110 NAS/130</t>
        </is>
      </c>
      <c r="C145" s="31" t="inlineStr">
        <is>
          <t>90/110/130 NAS</t>
        </is>
      </c>
      <c r="D145" s="25" t="inlineStr">
        <is>
          <t>NAS重复合并到末尾</t>
        </is>
      </c>
      <c r="E145" s="25">
        <f>LEN(TYPE缩写表[[#This Row],[SHORT-TYPE]])</f>
        <v/>
      </c>
      <c r="F145" s="25">
        <f>COUNTIFS(非皮卡压缩表[LONG-TYPE],TYPE缩写表[[#This Row],[LONG-TYPE]],非皮卡压缩表[TYPE],TYPE缩写表[[#This Row],[SHORT-TYPE]])</f>
        <v/>
      </c>
    </row>
    <row r="146">
      <c r="A146" s="25" t="inlineStr">
        <is>
          <t>MINI Hardtop</t>
        </is>
      </c>
      <c r="B146" s="25" t="inlineStr">
        <is>
          <t>2dr Hatchback/4dr Hatchback</t>
        </is>
      </c>
      <c r="C146" s="25" t="inlineStr">
        <is>
          <t>2dr/4dr Hbk</t>
        </is>
      </c>
      <c r="E146" s="25">
        <f>LEN(TYPE缩写表[[#This Row],[SHORT-TYPE]])</f>
        <v/>
      </c>
      <c r="F146" s="25">
        <f>COUNTIFS(非皮卡压缩表[LONG-TYPE],TYPE缩写表[[#This Row],[LONG-TYPE]],非皮卡压缩表[TYPE],TYPE缩写表[[#This Row],[SHORT-TYPE]])</f>
        <v/>
      </c>
    </row>
    <row r="147">
      <c r="A147" s="25" t="inlineStr">
        <is>
          <t>MINI Hatchback</t>
        </is>
      </c>
      <c r="B147" s="25" t="inlineStr">
        <is>
          <t>2dr Hatchback/4dr Hatchback Incl: Cooper SE</t>
        </is>
      </c>
      <c r="C147" s="25" t="inlineStr">
        <is>
          <t>2dr/4dr Hbk</t>
        </is>
      </c>
      <c r="D147" s="25" t="inlineStr">
        <is>
          <t>Cooper SE因长度限制去除，优先保留2dr/4dr结构</t>
        </is>
      </c>
      <c r="E147" s="25">
        <f>LEN(TYPE缩写表[[#This Row],[SHORT-TYPE]])</f>
        <v/>
      </c>
      <c r="F147" s="25">
        <f>COUNTIFS(非皮卡压缩表[LONG-TYPE],TYPE缩写表[[#This Row],[LONG-TYPE]],非皮卡压缩表[TYPE],TYPE缩写表[[#This Row],[SHORT-TYPE]])</f>
        <v/>
      </c>
    </row>
    <row r="148">
      <c r="A148" s="25" t="inlineStr">
        <is>
          <t>MINI Hatchback</t>
        </is>
      </c>
      <c r="B148" s="25" t="inlineStr">
        <is>
          <t>2dr Hatchback Incl: Cooper SE</t>
        </is>
      </c>
      <c r="C148" s="25" t="inlineStr">
        <is>
          <t>2dr Hbk Inc:SE</t>
        </is>
      </c>
      <c r="D148" s="25" t="inlineStr">
        <is>
          <t>Cooper与MINI常规版本语义重复，仅保留SE</t>
        </is>
      </c>
      <c r="E148" s="25">
        <f>LEN(TYPE缩写表[[#This Row],[SHORT-TYPE]])</f>
        <v/>
      </c>
      <c r="F148" s="25">
        <f>COUNTIFS(非皮卡压缩表[LONG-TYPE],TYPE缩写表[[#This Row],[LONG-TYPE]],非皮卡压缩表[TYPE],TYPE缩写表[[#This Row],[SHORT-TYPE]])</f>
        <v/>
      </c>
    </row>
    <row r="149" ht="12.4" customHeight="1" s="23">
      <c r="B149" s="31" t="inlineStr">
        <is>
          <t>Sportback/SUV</t>
        </is>
      </c>
      <c r="C149" s="25" t="inlineStr">
        <is>
          <t>Sptbk/SUV</t>
        </is>
      </c>
      <c r="E149" s="25">
        <f>LEN(TYPE缩写表[[#This Row],[SHORT-TYPE]])</f>
        <v/>
      </c>
      <c r="F149" s="32">
        <f>COUNTIFS(非皮卡压缩表[LONG-TYPE],TYPE缩写表[[#This Row],[LONG-TYPE]],非皮卡压缩表[TYPE],TYPE缩写表[[#This Row],[SHORT-TYPE]])</f>
        <v/>
      </c>
    </row>
    <row r="150">
      <c r="A150" s="25" t="inlineStr">
        <is>
          <t>Mercedes-Benz E-Class</t>
        </is>
      </c>
      <c r="B150" s="25" t="inlineStr">
        <is>
          <t>Sedan Incl: AMG/PHEV</t>
        </is>
      </c>
      <c r="C150" s="25" t="inlineStr">
        <is>
          <t>Sdn Inc:AMG</t>
        </is>
      </c>
      <c r="D150" s="25" t="inlineStr">
        <is>
          <t>PHEV为动力类型，短标题仅保留AMG</t>
        </is>
      </c>
      <c r="E150" s="25">
        <f>LEN(TYPE缩写表[[#This Row],[SHORT-TYPE]])</f>
        <v/>
      </c>
      <c r="F150" s="25">
        <f>COUNTIFS(非皮卡压缩表[LONG-TYPE],TYPE缩写表[[#This Row],[LONG-TYPE]],非皮卡压缩表[TYPE],TYPE缩写表[[#This Row],[SHORT-TYPE]])</f>
        <v/>
      </c>
    </row>
    <row r="151" ht="12.4" customHeight="1" s="23">
      <c r="A151" s="25" t="inlineStr">
        <is>
          <t>Oldsmobile Cutlass</t>
        </is>
      </c>
      <c r="B151" s="31" t="inlineStr">
        <is>
          <t>Sedan F-85/Cutlass</t>
        </is>
      </c>
      <c r="C151" s="31" t="inlineStr">
        <is>
          <t>Sdn F85</t>
        </is>
      </c>
      <c r="D151" s="25" t="inlineStr">
        <is>
          <t>Cutlass与主车型重复，短标题省略</t>
        </is>
      </c>
      <c r="E151" s="25">
        <f>LEN(TYPE缩写表[[#This Row],[SHORT-TYPE]])</f>
        <v/>
      </c>
      <c r="F151" s="25">
        <f>COUNTIFS(非皮卡压缩表[LONG-TYPE],TYPE缩写表[[#This Row],[LONG-TYPE]],非皮卡压缩表[TYPE],TYPE缩写表[[#This Row],[SHORT-TYPE]])</f>
        <v/>
      </c>
    </row>
    <row r="152" ht="12.4" customHeight="1" s="23">
      <c r="B152" s="31" t="inlineStr">
        <is>
          <t>Liftback/Sportback</t>
        </is>
      </c>
      <c r="C152" s="25" t="inlineStr">
        <is>
          <t>Lftbk/Sptbk</t>
        </is>
      </c>
      <c r="E152" s="25">
        <f>LEN(TYPE缩写表[[#This Row],[SHORT-TYPE]])</f>
        <v/>
      </c>
      <c r="F152" s="32">
        <f>COUNTIFS(非皮卡压缩表[LONG-TYPE],TYPE缩写表[[#This Row],[LONG-TYPE]],非皮卡压缩表[TYPE],TYPE缩写表[[#This Row],[SHORT-TYPE]])</f>
        <v/>
      </c>
    </row>
    <row r="153" ht="12.4" customHeight="1" s="23">
      <c r="B153" s="31" t="inlineStr">
        <is>
          <t>Hatchback/Liftback</t>
        </is>
      </c>
      <c r="C153" s="25" t="inlineStr">
        <is>
          <t>Hbk/Lftbk</t>
        </is>
      </c>
      <c r="E153" s="25">
        <f>LEN(TYPE缩写表[[#This Row],[SHORT-TYPE]])</f>
        <v/>
      </c>
      <c r="F153" s="32">
        <f>COUNTIFS(非皮卡压缩表[LONG-TYPE],TYPE缩写表[[#This Row],[LONG-TYPE]],非皮卡压缩表[TYPE],TYPE缩写表[[#This Row],[SHORT-TYPE]])</f>
        <v/>
      </c>
    </row>
    <row r="154" ht="12.4" customHeight="1" s="23">
      <c r="B154" s="31" t="inlineStr">
        <is>
          <t>CUV/SUV</t>
        </is>
      </c>
      <c r="C154" s="25" t="inlineStr">
        <is>
          <t>CUV/SUV</t>
        </is>
      </c>
      <c r="E154" s="25">
        <f>LEN(TYPE缩写表[[#This Row],[SHORT-TYPE]])</f>
        <v/>
      </c>
      <c r="F154" s="32">
        <f>COUNTIFS(非皮卡压缩表[LONG-TYPE],TYPE缩写表[[#This Row],[LONG-TYPE]],非皮卡压缩表[TYPE],TYPE缩写表[[#This Row],[SHORT-TYPE]])</f>
        <v/>
      </c>
    </row>
    <row r="155" ht="12.4" customHeight="1" s="23">
      <c r="B155" s="31" t="inlineStr">
        <is>
          <t>Coupe SUV/SUV</t>
        </is>
      </c>
      <c r="C155" s="25" t="inlineStr">
        <is>
          <t>CpeSUV/SUV</t>
        </is>
      </c>
      <c r="E155" s="25">
        <f>LEN(TYPE缩写表[[#This Row],[SHORT-TYPE]])</f>
        <v/>
      </c>
      <c r="F155" s="32">
        <f>COUNTIFS(非皮卡压缩表[LONG-TYPE],TYPE缩写表[[#This Row],[LONG-TYPE]],非皮卡压缩表[TYPE],TYPE缩写表[[#This Row],[SHORT-TYPE]])</f>
        <v/>
      </c>
    </row>
    <row r="156" ht="12.4" customHeight="1" s="23">
      <c r="B156" s="31" t="inlineStr">
        <is>
          <t>Coupe SUV/CUV</t>
        </is>
      </c>
      <c r="C156" s="25" t="inlineStr">
        <is>
          <t>CpeSUV/CUV</t>
        </is>
      </c>
      <c r="E156" s="25">
        <f>LEN(TYPE缩写表[[#This Row],[SHORT-TYPE]])</f>
        <v/>
      </c>
      <c r="F156" s="32">
        <f>COUNTIFS(非皮卡压缩表[LONG-TYPE],TYPE缩写表[[#This Row],[LONG-TYPE]],非皮卡压缩表[TYPE],TYPE缩写表[[#This Row],[SHORT-TYPE]])</f>
        <v/>
      </c>
    </row>
    <row r="157" ht="12.4" customHeight="1" s="23">
      <c r="B157" s="31" t="inlineStr">
        <is>
          <t>Coupe/Sedan/Wagon</t>
        </is>
      </c>
      <c r="C157" s="25" t="inlineStr">
        <is>
          <t>Cpe/Sdn/Wgn</t>
        </is>
      </c>
      <c r="E157" s="25">
        <f>LEN(TYPE缩写表[[#This Row],[SHORT-TYPE]])</f>
        <v/>
      </c>
      <c r="F157" s="32">
        <f>COUNTIFS(非皮卡压缩表[LONG-TYPE],TYPE缩写表[[#This Row],[LONG-TYPE]],非皮卡压缩表[TYPE],TYPE缩写表[[#This Row],[SHORT-TYPE]])</f>
        <v/>
      </c>
    </row>
    <row r="158" ht="12.4" customHeight="1" s="23">
      <c r="B158" s="31" t="inlineStr">
        <is>
          <t>Coupe/Hardtop</t>
        </is>
      </c>
      <c r="C158" s="25" t="inlineStr">
        <is>
          <t>Cpe/HTop</t>
        </is>
      </c>
      <c r="E158" s="25">
        <f>LEN(TYPE缩写表[[#This Row],[SHORT-TYPE]])</f>
        <v/>
      </c>
      <c r="F158" s="32">
        <f>COUNTIFS(非皮卡压缩表[LONG-TYPE],TYPE缩写表[[#This Row],[LONG-TYPE]],非皮卡压缩表[TYPE],TYPE缩写表[[#This Row],[SHORT-TYPE]])</f>
        <v/>
      </c>
    </row>
    <row r="159" ht="12.4" customHeight="1" s="23">
      <c r="B159" s="31" t="inlineStr">
        <is>
          <t>Coupe/Fastback/Liftback</t>
        </is>
      </c>
      <c r="C159" s="25" t="inlineStr">
        <is>
          <t>Cpe/Fastbk/Lftbk</t>
        </is>
      </c>
      <c r="E159" s="25">
        <f>LEN(TYPE缩写表[[#This Row],[SHORT-TYPE]])</f>
        <v/>
      </c>
      <c r="F159" s="32">
        <f>COUNTIFS(非皮卡压缩表[LONG-TYPE],TYPE缩写表[[#This Row],[LONG-TYPE]],非皮卡压缩表[TYPE],TYPE缩写表[[#This Row],[SHORT-TYPE]])</f>
        <v/>
      </c>
    </row>
    <row r="160">
      <c r="A160" s="25" t="inlineStr">
        <is>
          <t>Porsche 911</t>
        </is>
      </c>
      <c r="B160" s="25" t="inlineStr">
        <is>
          <t>Convertible/Coupe/Targa Incl: GT3 RS</t>
        </is>
      </c>
      <c r="C160" s="25" t="inlineStr">
        <is>
          <t>Conv/Cpe/Targa</t>
        </is>
      </c>
      <c r="D160" s="25" t="inlineStr">
        <is>
          <t>GT3 RS因长度限制去除，优先保留三种结构</t>
        </is>
      </c>
      <c r="E160" s="25">
        <f>LEN(TYPE缩写表[[#This Row],[SHORT-TYPE]])</f>
        <v/>
      </c>
      <c r="F160" s="25">
        <f>COUNTIFS(非皮卡压缩表[LONG-TYPE],TYPE缩写表[[#This Row],[LONG-TYPE]],非皮卡压缩表[TYPE],TYPE缩写表[[#This Row],[SHORT-TYPE]])</f>
        <v/>
      </c>
    </row>
    <row r="161" ht="12.4" customHeight="1" s="23">
      <c r="B161" s="31" t="inlineStr">
        <is>
          <t>Convertible/Coupe/Roadster</t>
        </is>
      </c>
      <c r="C161" s="25" t="inlineStr">
        <is>
          <t>Conv/Cpe/Rdstr</t>
        </is>
      </c>
      <c r="E161" s="25">
        <f>LEN(TYPE缩写表[[#This Row],[SHORT-TYPE]])</f>
        <v/>
      </c>
      <c r="F161" s="32">
        <f>COUNTIFS(非皮卡压缩表[LONG-TYPE],TYPE缩写表[[#This Row],[LONG-TYPE]],非皮卡压缩表[TYPE],TYPE缩写表[[#This Row],[SHORT-TYPE]])</f>
        <v/>
      </c>
    </row>
    <row r="162" ht="12.4" customHeight="1" s="23">
      <c r="B162" s="31" t="inlineStr">
        <is>
          <t>Convertible/Coupe/Hardtop</t>
        </is>
      </c>
      <c r="C162" s="25" t="inlineStr">
        <is>
          <t>Conv/Cpe/HTop</t>
        </is>
      </c>
      <c r="E162" s="25">
        <f>LEN(TYPE缩写表[[#This Row],[SHORT-TYPE]])</f>
        <v/>
      </c>
      <c r="F162" s="32">
        <f>COUNTIFS(非皮卡压缩表[LONG-TYPE],TYPE缩写表[[#This Row],[LONG-TYPE]],非皮卡压缩表[TYPE],TYPE缩写表[[#This Row],[SHORT-TYPE]])</f>
        <v/>
      </c>
    </row>
    <row r="163" ht="12.4" customHeight="1" s="23">
      <c r="B163" s="31" t="inlineStr">
        <is>
          <t>Convertible/Coupe/Hatchback/Wagon</t>
        </is>
      </c>
      <c r="C163" s="25" t="inlineStr">
        <is>
          <t>Conv/Cpe/Hbk/Wgn</t>
        </is>
      </c>
      <c r="E163" s="25">
        <f>LEN(TYPE缩写表[[#This Row],[SHORT-TYPE]])</f>
        <v/>
      </c>
      <c r="F163" s="32">
        <f>COUNTIFS(非皮卡压缩表[LONG-TYPE],TYPE缩写表[[#This Row],[LONG-TYPE]],非皮卡压缩表[TYPE],TYPE缩写表[[#This Row],[SHORT-TYPE]])</f>
        <v/>
      </c>
    </row>
    <row r="164" ht="12.4" customHeight="1" s="23">
      <c r="B164" s="31" t="inlineStr">
        <is>
          <t>2dr SUV/4dr SUV</t>
        </is>
      </c>
      <c r="C164" s="25" t="inlineStr">
        <is>
          <t>2dr/4dr SUV</t>
        </is>
      </c>
      <c r="E164" s="25">
        <f>LEN(TYPE缩写表[[#This Row],[SHORT-TYPE]])</f>
        <v/>
      </c>
      <c r="F164" s="32">
        <f>COUNTIFS(非皮卡压缩表[LONG-TYPE],TYPE缩写表[[#This Row],[LONG-TYPE]],非皮卡压缩表[TYPE],TYPE缩写表[[#This Row],[SHORT-TYPE]])</f>
        <v/>
      </c>
    </row>
    <row r="165" ht="12.4" customHeight="1" s="23">
      <c r="A165" s="31" t="inlineStr">
        <is>
          <t>Jeep Wrangler</t>
        </is>
      </c>
      <c r="B165" s="31" t="inlineStr">
        <is>
          <t>2dr SUV/4dr SUV Rubicon/Unlimited</t>
        </is>
      </c>
      <c r="C165" s="31" t="inlineStr">
        <is>
          <t>2/4dr Rub/Unlimit</t>
        </is>
      </c>
      <c r="E165" s="25">
        <f>LEN(TYPE缩写表[[#This Row],[SHORT-TYPE]])</f>
        <v/>
      </c>
      <c r="F165" s="25">
        <f>COUNTIFS(非皮卡压缩表[LONG-TYPE],TYPE缩写表[[#This Row],[LONG-TYPE]],非皮卡压缩表[TYPE],TYPE缩写表[[#This Row],[SHORT-TYPE]])</f>
        <v/>
      </c>
    </row>
    <row r="166" ht="12.4" customHeight="1" s="23">
      <c r="A166" s="31" t="inlineStr">
        <is>
          <t>CAR</t>
        </is>
      </c>
      <c r="B166" s="31" t="inlineStr">
        <is>
          <t>LONG-TYPE</t>
        </is>
      </c>
      <c r="C166" s="31" t="inlineStr">
        <is>
          <t>SHORT-TYPE</t>
        </is>
      </c>
      <c r="D166" s="25" t="inlineStr">
        <is>
          <t>去除版本说明</t>
        </is>
      </c>
      <c r="E166" s="25">
        <f>LEN(TYPE缩写表[[#This Row],[SHORT-TYPE]])</f>
        <v/>
      </c>
      <c r="F166" s="25">
        <f>COUNTIFS(非皮卡压缩表[LONG-TYPE],TYPE缩写表[[#This Row],[LONG-TYPE]],非皮卡压缩表[TYPE],TYPE缩写表[[#This Row],[SHORT-TYPE]])</f>
        <v/>
      </c>
    </row>
    <row r="167" ht="12.4" customHeight="1" s="23">
      <c r="A167" s="31" t="inlineStr">
        <is>
          <t>Chevrolet Chevelle</t>
        </is>
      </c>
      <c r="B167" s="31" t="inlineStr">
        <is>
          <t>Coupe Laguna Type S-3</t>
        </is>
      </c>
      <c r="C167" s="31" t="inlineStr">
        <is>
          <t>Cpe LagunaS3</t>
        </is>
      </c>
      <c r="D167" s="25" t="inlineStr">
        <is>
          <t>Laguna Type S-3压缩为LagunaS3</t>
        </is>
      </c>
      <c r="E167" s="25">
        <f>LEN(TYPE缩写表[[#This Row],[SHORT-TYPE]])</f>
        <v/>
      </c>
      <c r="F167" s="25">
        <f>COUNTIFS(非皮卡压缩表[LONG-TYPE],TYPE缩写表[[#This Row],[LONG-TYPE]],非皮卡压缩表[TYPE],TYPE缩写表[[#This Row],[SHORT-TYPE]])</f>
        <v/>
      </c>
    </row>
    <row r="168" ht="12.4" customHeight="1" s="23">
      <c r="A168" s="31" t="inlineStr">
        <is>
          <t>Kia Carnival</t>
        </is>
      </c>
      <c r="B168" s="31" t="inlineStr">
        <is>
          <t>Incl: Sedona/Sedona LWB</t>
        </is>
      </c>
      <c r="C168" s="31" t="inlineStr">
        <is>
          <t>Inc:Sedona/LWB</t>
        </is>
      </c>
      <c r="D168" s="25" t="inlineStr">
        <is>
          <t>Sedona LWB压缩为LWB</t>
        </is>
      </c>
      <c r="E168" s="25">
        <f>LEN(TYPE缩写表[[#This Row],[SHORT-TYPE]])</f>
        <v/>
      </c>
      <c r="F168" s="25">
        <f>COUNTIFS(非皮卡压缩表[LONG-TYPE],TYPE缩写表[[#This Row],[LONG-TYPE]],非皮卡压缩表[TYPE],TYPE缩写表[[#This Row],[SHORT-TYPE]])</f>
        <v/>
      </c>
    </row>
    <row r="169" ht="12.4" customHeight="1" s="23">
      <c r="A169" s="31" t="inlineStr">
        <is>
          <t>Oldsmobile Cutlass</t>
        </is>
      </c>
      <c r="B169" s="31" t="inlineStr">
        <is>
          <t>Wagon F-85/Cutlass</t>
        </is>
      </c>
      <c r="C169" s="31" t="inlineStr">
        <is>
          <t>Wgn F85</t>
        </is>
      </c>
      <c r="D169" s="25" t="inlineStr">
        <is>
          <t>Cutlass与主车型重复，短标题省略</t>
        </is>
      </c>
      <c r="E169" s="25">
        <f>LEN(TYPE缩写表[[#This Row],[SHORT-TYPE]])</f>
        <v/>
      </c>
      <c r="F169" s="25">
        <f>COUNTIFS(非皮卡压缩表[LONG-TYPE],TYPE缩写表[[#This Row],[LONG-TYPE]],非皮卡压缩表[TYPE],TYPE缩写表[[#This Row],[SHORT-TYPE]])</f>
        <v/>
      </c>
    </row>
    <row r="170" ht="12.4" customHeight="1" s="23">
      <c r="A170" s="31" t="inlineStr">
        <is>
          <t>Pontiac Astre</t>
        </is>
      </c>
      <c r="B170" s="31" t="inlineStr">
        <is>
          <t>Hatchback/Wagon Incl: Safari</t>
        </is>
      </c>
      <c r="C170" s="31" t="inlineStr">
        <is>
          <t>Hbk/Wgn Inc:Safari</t>
        </is>
      </c>
      <c r="E170" s="25">
        <f>LEN(TYPE缩写表[[#This Row],[SHORT-TYPE]])</f>
        <v/>
      </c>
      <c r="F170" s="25">
        <f>COUNTIFS(非皮卡压缩表[LONG-TYPE],TYPE缩写表[[#This Row],[LONG-TYPE]],非皮卡压缩表[TYPE],TYPE缩写表[[#This Row],[SHORT-TYPE]])</f>
        <v/>
      </c>
    </row>
    <row r="171" ht="12.4" customHeight="1" s="23">
      <c r="A171" s="31" t="inlineStr">
        <is>
          <t>Pontiac Bonneville</t>
        </is>
      </c>
      <c r="B171" s="31" t="inlineStr">
        <is>
          <t>Hatchback/Wagon Incl: Grand Safari/Safari</t>
        </is>
      </c>
      <c r="C171" s="31" t="inlineStr">
        <is>
          <t>Hbk/Wgn Inc:Safari</t>
        </is>
      </c>
      <c r="D171" s="25" t="inlineStr">
        <is>
          <t>Grand Safari并入Safari表达</t>
        </is>
      </c>
      <c r="E171" s="25">
        <f>LEN(TYPE缩写表[[#This Row],[SHORT-TYPE]])</f>
        <v/>
      </c>
      <c r="F171" s="25">
        <f>COUNTIFS(非皮卡压缩表[LONG-TYPE],TYPE缩写表[[#This Row],[LONG-TYPE]],非皮卡压缩表[TYPE],TYPE缩写表[[#This Row],[SHORT-TYPE]])</f>
        <v/>
      </c>
    </row>
    <row r="172" ht="12.4" customHeight="1" s="23">
      <c r="A172" s="31" t="inlineStr">
        <is>
          <t>Pontiac LeMans</t>
        </is>
      </c>
      <c r="B172" s="31" t="inlineStr">
        <is>
          <t>Wagon LeMans/Safari/Tempest</t>
        </is>
      </c>
      <c r="C172" s="31" t="inlineStr">
        <is>
          <t>Wgn Saf/Temp</t>
        </is>
      </c>
      <c r="D172" s="25" t="inlineStr">
        <is>
          <t>LeMans与主车型重复；Safari/Tempest压缩为Saf/Temp</t>
        </is>
      </c>
      <c r="E172" s="25">
        <f>LEN(TYPE缩写表[[#This Row],[SHORT-TYPE]])</f>
        <v/>
      </c>
      <c r="F172" s="25">
        <f>COUNTIFS(非皮卡压缩表[LONG-TYPE],TYPE缩写表[[#This Row],[LONG-TYPE]],非皮卡压缩表[TYPE],TYPE缩写表[[#This Row],[SHORT-TYPE]])</f>
        <v/>
      </c>
    </row>
    <row r="173" ht="12.4" customHeight="1" s="23">
      <c r="A173" s="31" t="inlineStr">
        <is>
          <t>Pontiac LeMans</t>
        </is>
      </c>
      <c r="B173" s="31" t="inlineStr">
        <is>
          <t>Convertible/Coupe Incl: Can Am</t>
        </is>
      </c>
      <c r="C173" s="31" t="inlineStr">
        <is>
          <t>Conv/Cpe Inc:CanAm</t>
        </is>
      </c>
      <c r="E173" s="25">
        <f>LEN(TYPE缩写表[[#This Row],[SHORT-TYPE]])</f>
        <v/>
      </c>
      <c r="F173" s="25">
        <f>COUNTIFS(非皮卡压缩表[LONG-TYPE],TYPE缩写表[[#This Row],[LONG-TYPE]],非皮卡压缩表[TYPE],TYPE缩写表[[#This Row],[SHORT-TYPE]])</f>
        <v/>
      </c>
    </row>
    <row r="174" ht="12.4" customHeight="1" s="23">
      <c r="A174" s="31" t="inlineStr">
        <is>
          <t>Porsche Panamera</t>
        </is>
      </c>
      <c r="B174" s="31" t="inlineStr">
        <is>
          <t>Hatchback/Wagon Incl: Sport Turismo</t>
        </is>
      </c>
      <c r="C174" s="31" t="inlineStr">
        <is>
          <t>Hbk/Wgn Inc:SptTur</t>
        </is>
      </c>
      <c r="D174" s="25" t="inlineStr">
        <is>
          <t>Sport Turismo压缩为SptTur</t>
        </is>
      </c>
      <c r="E174" s="25">
        <f>LEN(TYPE缩写表[[#This Row],[SHORT-TYPE]])</f>
        <v/>
      </c>
      <c r="F174" s="25">
        <f>COUNTIFS(非皮卡压缩表[LONG-TYPE],TYPE缩写表[[#This Row],[LONG-TYPE]],非皮卡压缩表[TYPE],TYPE缩写表[[#This Row],[SHORT-TYPE]])</f>
        <v/>
      </c>
    </row>
    <row r="175" ht="12.4" customHeight="1" s="23">
      <c r="A175" s="31" t="inlineStr">
        <is>
          <t>Porsche Panamera</t>
        </is>
      </c>
      <c r="B175" s="31" t="inlineStr">
        <is>
          <t>Liftback Executive LWB</t>
        </is>
      </c>
      <c r="C175" s="31" t="inlineStr">
        <is>
          <t>Lftbk Exec LWB</t>
        </is>
      </c>
      <c r="E175" s="25">
        <f>LEN(TYPE缩写表[[#This Row],[SHORT-TYPE]])</f>
        <v/>
      </c>
      <c r="F175" s="25">
        <f>COUNTIFS(非皮卡压缩表[LONG-TYPE],TYPE缩写表[[#This Row],[LONG-TYPE]],非皮卡压缩表[TYPE],TYPE缩写表[[#This Row],[SHORT-TYPE]])</f>
        <v/>
      </c>
    </row>
    <row r="176" ht="12.4" customHeight="1" s="23">
      <c r="A176" s="31" t="inlineStr">
        <is>
          <t>Porsche Panamera</t>
        </is>
      </c>
      <c r="B176" s="31" t="inlineStr">
        <is>
          <t>Liftback/Sportback Incl: Executive LWB</t>
        </is>
      </c>
      <c r="C176" s="31" t="inlineStr">
        <is>
          <t>Lftbk/Sptbk Inc:LW</t>
        </is>
      </c>
      <c r="D176" s="25" t="inlineStr">
        <is>
          <t>Executive因长度限制去除，LWB压缩为LW</t>
        </is>
      </c>
      <c r="E176" s="25">
        <f>LEN(TYPE缩写表[[#This Row],[SHORT-TYPE]])</f>
        <v/>
      </c>
      <c r="F176" s="25">
        <f>COUNTIFS(非皮卡压缩表[LONG-TYPE],TYPE缩写表[[#This Row],[LONG-TYPE]],非皮卡压缩表[TYPE],TYPE缩写表[[#This Row],[SHORT-TYPE]])</f>
        <v/>
      </c>
    </row>
    <row r="177" ht="12.4" customHeight="1" s="23">
      <c r="A177" s="31" t="inlineStr">
        <is>
          <t>Toyota Celica</t>
        </is>
      </c>
      <c r="B177" s="31" t="inlineStr">
        <is>
          <t>Convertible/Coupe Incl: All-Trac</t>
        </is>
      </c>
      <c r="C177" s="31" t="inlineStr">
        <is>
          <t>Conv/Cpe Inc:ATrac</t>
        </is>
      </c>
      <c r="D177" s="25" t="inlineStr">
        <is>
          <t>All-Trac压缩为ATrac</t>
        </is>
      </c>
      <c r="E177" s="25">
        <f>LEN(TYPE缩写表[[#This Row],[SHORT-TYPE]])</f>
        <v/>
      </c>
      <c r="F177" s="25">
        <f>COUNTIFS(非皮卡压缩表[LONG-TYPE],TYPE缩写表[[#This Row],[LONG-TYPE]],非皮卡压缩表[TYPE],TYPE缩写表[[#This Row],[SHORT-TYPE]])</f>
        <v/>
      </c>
    </row>
    <row r="178" ht="12.4" customHeight="1" s="23">
      <c r="A178" s="31" t="inlineStr">
        <is>
          <t>Volvo V90</t>
        </is>
      </c>
      <c r="B178" s="31" t="inlineStr">
        <is>
          <t>Incl: Cross Country</t>
        </is>
      </c>
      <c r="C178" s="31" t="inlineStr">
        <is>
          <t>Inc:CrossCtry</t>
        </is>
      </c>
      <c r="D178" s="25" t="inlineStr">
        <is>
          <t>Cross Country压缩为CrossCtry</t>
        </is>
      </c>
      <c r="E178" s="25">
        <f>LEN(TYPE缩写表[[#This Row],[SHORT-TYPE]])</f>
        <v/>
      </c>
      <c r="F178" s="25">
        <f>COUNTIFS(非皮卡压缩表[LONG-TYPE],TYPE缩写表[[#This Row],[LONG-TYPE]],非皮卡压缩表[TYPE],TYPE缩写表[[#This Row],[SHORT-TYPE]])</f>
        <v/>
      </c>
    </row>
    <row r="179" ht="12.4" customHeight="1" s="23">
      <c r="A179" s="31" t="inlineStr">
        <is>
          <t>Pontiac Astre</t>
        </is>
      </c>
      <c r="B179" s="31" t="inlineStr">
        <is>
          <t>Hatchback/Wagon Incl: Safari</t>
        </is>
      </c>
      <c r="C179" s="31" t="inlineStr">
        <is>
          <t>Hbk/Wgn Inc:Safari</t>
        </is>
      </c>
      <c r="E179" s="25">
        <f>LEN(TYPE缩写表[[#This Row],[SHORT-TYPE]])</f>
        <v/>
      </c>
      <c r="F179" s="25">
        <f>COUNTIFS(非皮卡压缩表[LONG-TYPE],TYPE缩写表[[#This Row],[LONG-TYPE]],非皮卡压缩表[TYPE],TYPE缩写表[[#This Row],[SHORT-TYPE]])</f>
        <v/>
      </c>
    </row>
    <row r="180" ht="12.4" customHeight="1" s="23">
      <c r="A180" s="31" t="inlineStr">
        <is>
          <t>Pontiac LeMans</t>
        </is>
      </c>
      <c r="B180" s="31" t="inlineStr">
        <is>
          <t>Convertible/Coupe Incl: Can Am</t>
        </is>
      </c>
      <c r="C180" s="31" t="inlineStr">
        <is>
          <t>Conv/Cpe Inc:CanAm</t>
        </is>
      </c>
      <c r="E180" s="25">
        <f>LEN(TYPE缩写表[[#This Row],[SHORT-TYPE]])</f>
        <v/>
      </c>
      <c r="F180" s="25">
        <f>COUNTIFS(非皮卡压缩表[LONG-TYPE],TYPE缩写表[[#This Row],[LONG-TYPE]],非皮卡压缩表[TYPE],TYPE缩写表[[#This Row],[SHORT-TYPE]])</f>
        <v/>
      </c>
    </row>
    <row r="181" ht="12.4" customHeight="1" s="23">
      <c r="A181" s="31" t="inlineStr">
        <is>
          <t>Porsche Panamera</t>
        </is>
      </c>
      <c r="B181" s="31" t="inlineStr">
        <is>
          <t>Liftback/Sportback Incl: Executive LWB</t>
        </is>
      </c>
      <c r="C181" s="31" t="inlineStr">
        <is>
          <t>Lftbk/Sptbk Inc:LW</t>
        </is>
      </c>
      <c r="D181" s="25" t="inlineStr">
        <is>
          <t>Executive因长度限制去除，LWB压缩为LW</t>
        </is>
      </c>
      <c r="E181" s="25">
        <f>LEN(TYPE缩写表[[#This Row],[SHORT-TYPE]])</f>
        <v/>
      </c>
      <c r="F181" s="25">
        <f>COUNTIFS(非皮卡压缩表[LONG-TYPE],TYPE缩写表[[#This Row],[LONG-TYPE]],非皮卡压缩表[TYPE],TYPE缩写表[[#This Row],[SHORT-TYPE]])</f>
        <v/>
      </c>
    </row>
    <row r="182" ht="12.4" customHeight="1" s="23">
      <c r="A182" s="31" t="inlineStr">
        <is>
          <t>Toyota Celica</t>
        </is>
      </c>
      <c r="B182" s="31" t="inlineStr">
        <is>
          <t>Convertible/Coupe Incl: All-Trac</t>
        </is>
      </c>
      <c r="C182" s="31" t="inlineStr">
        <is>
          <t>Conv/Cpe Inc:ATrac</t>
        </is>
      </c>
      <c r="D182" s="25" t="inlineStr">
        <is>
          <t>All-Trac压缩为ATrac</t>
        </is>
      </c>
      <c r="E182" s="25">
        <f>LEN(TYPE缩写表[[#This Row],[SHORT-TYPE]])</f>
        <v/>
      </c>
      <c r="F182" s="25">
        <f>COUNTIFS(非皮卡压缩表[LONG-TYPE],TYPE缩写表[[#This Row],[LONG-TYPE]],非皮卡压缩表[TYPE],TYPE缩写表[[#This Row],[SHORT-TYPE]])</f>
        <v/>
      </c>
    </row>
    <row r="183" ht="12.4" customHeight="1" s="23">
      <c r="A183" s="31" t="inlineStr">
        <is>
          <t>Volvo V90</t>
        </is>
      </c>
      <c r="B183" s="31" t="inlineStr">
        <is>
          <t>Incl: Cross Country</t>
        </is>
      </c>
      <c r="C183" s="31" t="inlineStr">
        <is>
          <t>Inc:CrossCtry</t>
        </is>
      </c>
      <c r="D183" s="25" t="inlineStr">
        <is>
          <t>Cross Country压缩为CrossCtry</t>
        </is>
      </c>
      <c r="E183" s="25">
        <f>LEN(TYPE缩写表[[#This Row],[SHORT-TYPE]])</f>
        <v/>
      </c>
      <c r="F183" s="25">
        <f>COUNTIFS(非皮卡压缩表[LONG-TYPE],TYPE缩写表[[#This Row],[LONG-TYPE]],非皮卡压缩表[TYPE],TYPE缩写表[[#This Row],[SHORT-TYPE]])</f>
        <v/>
      </c>
    </row>
    <row r="184" ht="12.4" customHeight="1" s="23">
      <c r="A184" s="31" t="inlineStr">
        <is>
          <t>Pontiac Astre</t>
        </is>
      </c>
      <c r="B184" s="31" t="inlineStr">
        <is>
          <t>Hatchback/Wagon Incl: Safari</t>
        </is>
      </c>
      <c r="C184" s="31" t="inlineStr">
        <is>
          <t>Hbk/Wgn Inc:Safari</t>
        </is>
      </c>
      <c r="E184" s="25">
        <f>LEN(TYPE缩写表[[#This Row],[SHORT-TYPE]])</f>
        <v/>
      </c>
      <c r="F184" s="25">
        <f>COUNTIFS(非皮卡压缩表[LONG-TYPE],TYPE缩写表[[#This Row],[LONG-TYPE]],非皮卡压缩表[TYPE],TYPE缩写表[[#This Row],[SHORT-TYPE]])</f>
        <v/>
      </c>
    </row>
    <row r="185" ht="12.4" customHeight="1" s="23">
      <c r="A185" s="31" t="inlineStr">
        <is>
          <t>Pontiac Bonneville</t>
        </is>
      </c>
      <c r="B185" s="31" t="inlineStr">
        <is>
          <t>Hatchback/Wagon Incl: Grand Safari/Safari</t>
        </is>
      </c>
      <c r="C185" s="31" t="inlineStr">
        <is>
          <t>Hbk/Wgn Inc:Safari</t>
        </is>
      </c>
      <c r="D185" s="25" t="inlineStr">
        <is>
          <t>Grand Safari并入Safari表达</t>
        </is>
      </c>
      <c r="E185" s="25">
        <f>LEN(TYPE缩写表[[#This Row],[SHORT-TYPE]])</f>
        <v/>
      </c>
      <c r="F185" s="25">
        <f>COUNTIFS(非皮卡压缩表[LONG-TYPE],TYPE缩写表[[#This Row],[LONG-TYPE]],非皮卡压缩表[TYPE],TYPE缩写表[[#This Row],[SHORT-TYPE]])</f>
        <v/>
      </c>
    </row>
    <row r="186" ht="12.4" customHeight="1" s="23">
      <c r="A186" s="31" t="inlineStr">
        <is>
          <t>Porsche Panamera</t>
        </is>
      </c>
      <c r="B186" s="31" t="inlineStr">
        <is>
          <t>Liftback/Sportback Incl: Executive LWB</t>
        </is>
      </c>
      <c r="C186" s="31" t="inlineStr">
        <is>
          <t>Lftbk/Sptbk Inc:LW</t>
        </is>
      </c>
      <c r="D186" s="25" t="inlineStr">
        <is>
          <t>Executive因长度限制去除，LWB压缩为LW</t>
        </is>
      </c>
      <c r="E186" s="25">
        <f>LEN(TYPE缩写表[[#This Row],[SHORT-TYPE]])</f>
        <v/>
      </c>
      <c r="F186" s="25">
        <f>COUNTIFS(非皮卡压缩表[LONG-TYPE],TYPE缩写表[[#This Row],[LONG-TYPE]],非皮卡压缩表[TYPE],TYPE缩写表[[#This Row],[SHORT-TYPE]])</f>
        <v/>
      </c>
    </row>
    <row r="187" ht="12.4" customHeight="1" s="23">
      <c r="A187" s="31" t="inlineStr">
        <is>
          <t>Toyota Celica</t>
        </is>
      </c>
      <c r="B187" s="31" t="inlineStr">
        <is>
          <t>Convertible/Coupe Incl: All-Trac</t>
        </is>
      </c>
      <c r="C187" s="31" t="inlineStr">
        <is>
          <t>Conv/Cpe Inc:ATrac</t>
        </is>
      </c>
      <c r="D187" s="25" t="inlineStr">
        <is>
          <t>All-Trac压缩为ATrac</t>
        </is>
      </c>
      <c r="E187" s="25">
        <f>LEN(TYPE缩写表[[#This Row],[SHORT-TYPE]])</f>
        <v/>
      </c>
      <c r="F187" s="25">
        <f>COUNTIFS(非皮卡压缩表[LONG-TYPE],TYPE缩写表[[#This Row],[LONG-TYPE]],非皮卡压缩表[TYPE],TYPE缩写表[[#This Row],[SHORT-TYPE]])</f>
        <v/>
      </c>
    </row>
    <row r="188">
      <c r="A188" s="25" t="inlineStr">
        <is>
          <t>Volvo V90</t>
        </is>
      </c>
      <c r="B188" s="25" t="inlineStr">
        <is>
          <t>Incl: Cross Country</t>
        </is>
      </c>
      <c r="C188" s="25" t="inlineStr">
        <is>
          <t>Inc:CrossCtry</t>
        </is>
      </c>
      <c r="D188" s="25" t="inlineStr">
        <is>
          <t>Cross Country压缩为CrossCtry</t>
        </is>
      </c>
      <c r="E188" s="25">
        <f>LEN(TYPE缩写表[[#This Row],[SHORT-TYPE]])</f>
        <v/>
      </c>
      <c r="F188" s="25">
        <f>COUNTIFS(非皮卡压缩表[LONG-TYPE],TYPE缩写表[[#This Row],[LONG-TYPE]],非皮卡压缩表[TYPE],TYPE缩写表[[#This Row],[SHORT-TYPE]])</f>
        <v/>
      </c>
    </row>
  </sheetData>
  <mergeCells count="3">
    <mergeCell ref="B1:D1"/>
    <mergeCell ref="A17:F17"/>
    <mergeCell ref="G1:I1"/>
  </mergeCells>
  <hyperlinks>
    <hyperlink xmlns:r="http://schemas.openxmlformats.org/officeDocument/2006/relationships" ref="G2" display="HORT-TYPE 缩写项目移植记忆.otl" r:id="rId1"/>
  </hyperlinks>
  <pageMargins left="0.75" right="0.75" top="1" bottom="1" header="0.5" footer="0.5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/>
  </sheetPr>
  <dimension ref="A1:C11"/>
  <sheetViews>
    <sheetView zoomScale="175" zoomScaleNormal="175" workbookViewId="0">
      <selection activeCell="B5" sqref="B5"/>
    </sheetView>
  </sheetViews>
  <sheetFormatPr baseColWidth="8" defaultColWidth="8.142857142857141" defaultRowHeight="14.25"/>
  <cols>
    <col width="24.6952380952381" customWidth="1" style="23" min="1" max="1"/>
    <col width="18.552380952381" customWidth="1" style="23" min="2" max="2"/>
    <col width="8.71428571428571" customWidth="1" style="24" min="3" max="3"/>
  </cols>
  <sheetData>
    <row r="1">
      <c r="A1" s="0" t="inlineStr">
        <is>
          <t>LONG-CAB</t>
        </is>
      </c>
      <c r="B1" s="0" t="inlineStr">
        <is>
          <t>SHORT-CAB</t>
        </is>
      </c>
      <c r="C1" s="24" t="inlineStr">
        <is>
          <t>字符数</t>
        </is>
      </c>
    </row>
    <row r="2">
      <c r="A2" s="0" t="inlineStr">
        <is>
          <t>Crew/Regular/Extended</t>
        </is>
      </c>
      <c r="B2" s="0" t="inlineStr">
        <is>
          <t>Crew/Reg/Ext</t>
        </is>
      </c>
      <c r="C2" s="24">
        <f>LEN(CAB缩写表[[#This Row],[SHORT-CAB]])</f>
        <v/>
      </c>
    </row>
    <row r="3">
      <c r="A3" s="0" t="inlineStr">
        <is>
          <t>Extended/Regular</t>
        </is>
      </c>
      <c r="B3" s="0" t="inlineStr">
        <is>
          <t>Ext/Reg</t>
        </is>
      </c>
      <c r="C3" s="24">
        <f>LEN(CAB缩写表[[#This Row],[SHORT-CAB]])</f>
        <v/>
      </c>
    </row>
    <row r="4">
      <c r="A4" s="0" t="inlineStr">
        <is>
          <t>Crew/Extended/Regular</t>
        </is>
      </c>
      <c r="B4" s="0" t="inlineStr">
        <is>
          <t>Crew/Ext/Reg</t>
        </is>
      </c>
      <c r="C4" s="24">
        <f>LEN(CAB缩写表[[#This Row],[SHORT-CAB]])</f>
        <v/>
      </c>
    </row>
    <row r="5">
      <c r="A5" s="0" t="inlineStr">
        <is>
          <t>SuperCab/SuperCrew</t>
        </is>
      </c>
      <c r="B5" s="0" t="inlineStr">
        <is>
          <t>SCab/SCrew</t>
        </is>
      </c>
      <c r="C5" s="24">
        <f>LEN(CAB缩写表[[#This Row],[SHORT-CAB]])</f>
        <v/>
      </c>
    </row>
    <row r="6">
      <c r="A6" s="0" t="inlineStr">
        <is>
          <t>SuperCab/SuperCrew</t>
        </is>
      </c>
      <c r="B6" s="0" t="inlineStr">
        <is>
          <t>SCab/SCrew</t>
        </is>
      </c>
      <c r="C6" s="24">
        <f>LEN(CAB缩写表[[#This Row],[SHORT-CAB]])</f>
        <v/>
      </c>
    </row>
    <row r="7">
      <c r="A7" s="0" t="inlineStr">
        <is>
          <t>Crew/Extended/Regular</t>
        </is>
      </c>
      <c r="B7" s="0" t="inlineStr">
        <is>
          <t>Crew/Ext/Reg</t>
        </is>
      </c>
      <c r="C7" s="24">
        <f>LEN(CAB缩写表[[#This Row],[SHORT-CAB]])</f>
        <v/>
      </c>
    </row>
    <row r="8">
      <c r="A8" s="0" t="inlineStr">
        <is>
          <t>Crew/Regular/Extended</t>
        </is>
      </c>
      <c r="B8" s="0" t="inlineStr">
        <is>
          <t>Crew/Reg/Ext</t>
        </is>
      </c>
      <c r="C8" s="24">
        <f>LEN(CAB缩写表[[#This Row],[SHORT-CAB]])</f>
        <v/>
      </c>
    </row>
    <row r="9">
      <c r="A9" s="0" t="inlineStr">
        <is>
          <t>Crew/Extended/Regular</t>
        </is>
      </c>
      <c r="B9" s="0" t="inlineStr">
        <is>
          <t>Crew/Ext/Reg</t>
        </is>
      </c>
      <c r="C9" s="24">
        <f>LEN(CAB缩写表[[#This Row],[SHORT-CAB]])</f>
        <v/>
      </c>
    </row>
    <row r="10">
      <c r="A10" s="0" t="inlineStr">
        <is>
          <t>SuperCab/SuperCrew</t>
        </is>
      </c>
      <c r="B10" s="0" t="inlineStr">
        <is>
          <t>SCab/SCrew</t>
        </is>
      </c>
      <c r="C10" s="24">
        <f>LEN(CAB缩写表[[#This Row],[SHORT-CAB]])</f>
        <v/>
      </c>
    </row>
    <row r="11">
      <c r="A11" s="0" t="inlineStr">
        <is>
          <t>Crew/Extended/Regular</t>
        </is>
      </c>
      <c r="B11" s="0" t="inlineStr">
        <is>
          <t>Crew/Ext/Reg</t>
        </is>
      </c>
      <c r="C11" s="24">
        <f>LEN(CAB缩写表[[#This Row],[SHORT-CAB]])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50">
    <outlinePr summaryBelow="1" summaryRight="1"/>
    <pageSetUpPr/>
  </sheetPr>
  <dimension ref="A1:P1379"/>
  <sheetViews>
    <sheetView tabSelected="1" topLeftCell="C1" workbookViewId="0">
      <selection activeCell="L20" sqref="L20"/>
    </sheetView>
  </sheetViews>
  <sheetFormatPr baseColWidth="8" defaultColWidth="8.4" defaultRowHeight="15.75"/>
  <cols>
    <col width="9.647619047619051" customWidth="1" style="13" min="1" max="1"/>
    <col width="27.2190476190476" customWidth="1" style="13" min="2" max="2"/>
    <col width="19.9142857142857" customWidth="1" style="13" min="3" max="3"/>
    <col width="15.3047619047619" customWidth="1" style="13" min="4" max="4"/>
    <col width="10.3619047619048" customWidth="1" style="13" min="5" max="5"/>
    <col width="21.2857142857143" customWidth="1" style="13" min="6" max="6"/>
    <col width="14.8571428571429" customWidth="1" style="13" min="7" max="7"/>
    <col width="15.4" customWidth="1" style="13" min="8" max="9"/>
    <col width="22.2190476190476" customWidth="1" style="13" min="10" max="10"/>
    <col width="8.4" customWidth="1" style="13" min="11" max="11"/>
    <col width="21.2857142857143" customWidth="1" style="13" min="12" max="12"/>
    <col width="9.09523809523809" customWidth="1" style="13" min="13" max="13"/>
    <col width="17.2285714285714" customWidth="1" style="13" min="14" max="14"/>
    <col width="8.4" customWidth="1" style="13" min="15" max="15"/>
    <col width="8.4" customWidth="1" style="14" min="16" max="16"/>
    <col width="8.4" customWidth="1" style="13" min="17" max="16384"/>
  </cols>
  <sheetData>
    <row r="1" customFormat="1" s="12">
      <c r="A1" s="7" t="inlineStr">
        <is>
          <t>店铺</t>
        </is>
      </c>
      <c r="B1" s="7" t="inlineStr">
        <is>
          <t>CAR</t>
        </is>
      </c>
      <c r="C1" s="7" t="inlineStr">
        <is>
          <t>MAKE</t>
        </is>
      </c>
      <c r="D1" s="7" t="inlineStr">
        <is>
          <t>MODEL</t>
        </is>
      </c>
      <c r="E1" s="7" t="inlineStr">
        <is>
          <t>YEAR</t>
        </is>
      </c>
      <c r="F1" s="7" t="inlineStr">
        <is>
          <t>VERSION</t>
        </is>
      </c>
      <c r="G1" s="7" t="inlineStr">
        <is>
          <t>CONST</t>
        </is>
      </c>
      <c r="H1" s="7" t="inlineStr">
        <is>
          <t>BACKSIZE</t>
        </is>
      </c>
      <c r="I1" s="15" t="inlineStr">
        <is>
          <t>CATAGORY</t>
        </is>
      </c>
      <c r="J1" s="15" t="inlineStr">
        <is>
          <t>LONG-TYPE</t>
        </is>
      </c>
      <c r="K1" s="15" t="inlineStr">
        <is>
          <t>LONG-TYPE-LEN</t>
        </is>
      </c>
      <c r="L1" s="15" t="inlineStr">
        <is>
          <t>TYPE</t>
        </is>
      </c>
      <c r="M1" s="15" t="inlineStr">
        <is>
          <t xml:space="preserve">TYPE-LEN
</t>
        </is>
      </c>
      <c r="N1" s="15" t="inlineStr">
        <is>
          <t>SHORT-MODEL</t>
        </is>
      </c>
      <c r="O1" s="15" t="inlineStr">
        <is>
          <t>MODEL-LEN</t>
        </is>
      </c>
      <c r="P1" s="16" t="inlineStr">
        <is>
          <t>SIZE</t>
        </is>
      </c>
    </row>
    <row r="2" ht="13.9" customFormat="1" customHeight="1" s="13">
      <c r="A2" s="17" t="inlineStr">
        <is>
          <t>ALL</t>
        </is>
      </c>
      <c r="B2" s="18" t="inlineStr">
        <is>
          <t>Acura ADX</t>
        </is>
      </c>
      <c r="C2" s="18" t="inlineStr">
        <is>
          <t>Acura</t>
        </is>
      </c>
      <c r="D2" s="18" t="inlineStr">
        <is>
          <t>ADX</t>
        </is>
      </c>
      <c r="E2" s="18" t="inlineStr">
        <is>
          <t>2025-2026</t>
        </is>
      </c>
      <c r="F2" s="18" t="inlineStr"/>
      <c r="G2" s="18" t="inlineStr">
        <is>
          <t>SUV</t>
        </is>
      </c>
      <c r="H2" s="18" t="inlineStr">
        <is>
          <t>YL</t>
        </is>
      </c>
      <c r="I2" s="19">
        <f t="array" ref="I2">TRIM(_xlfn.XLOOKUP(非皮卡压缩表[[#This Row],[BACKSIZE]],ALL尺码表[内部尺码],ALL尺码表[分类],""))</f>
        <v/>
      </c>
      <c r="J2" s="19">
        <f t="array" ref="J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" s="20">
        <f>LEN(非皮卡压缩表[[#This Row],[LONG-TYPE]])</f>
        <v/>
      </c>
      <c r="L2" s="21">
        <f t="array" ref="L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" s="22">
        <f>LEN(非皮卡压缩表[[#This Row],[TYPE]])</f>
        <v/>
      </c>
      <c r="N2" s="22">
        <f t="array" ref="N2">_xlfn.XLOOKUP(非皮卡压缩表[[#This Row],[MODEL]],MODEL缩写表[长MODEL],MODEL缩写表[短MODEL],非皮卡压缩表[[#This Row],[MODEL]])</f>
        <v/>
      </c>
      <c r="O2" s="22">
        <f>LEN(非皮卡压缩表[[#This Row],[SHORT-MODEL]])</f>
        <v/>
      </c>
      <c r="P2" s="11">
        <f t="array" ref="P2">TRIM(_xlfn.XLOOKUP(非皮卡压缩表[[#This Row],[BACKSIZE]],ALL尺码表[内部尺码],ALL尺码表[通用尺码]))</f>
        <v/>
      </c>
    </row>
    <row r="3">
      <c r="A3" s="17" t="inlineStr">
        <is>
          <t>ALL</t>
        </is>
      </c>
      <c r="B3" s="18" t="inlineStr">
        <is>
          <t>Acura CL</t>
        </is>
      </c>
      <c r="C3" s="18" t="inlineStr">
        <is>
          <t>Acura</t>
        </is>
      </c>
      <c r="D3" s="18" t="inlineStr">
        <is>
          <t>CL</t>
        </is>
      </c>
      <c r="E3" s="18" t="inlineStr">
        <is>
          <t>1997-2003</t>
        </is>
      </c>
      <c r="F3" s="18" t="inlineStr"/>
      <c r="G3" s="18" t="inlineStr">
        <is>
          <t>Coupe</t>
        </is>
      </c>
      <c r="H3" s="18" t="inlineStr">
        <is>
          <t>3XL-0</t>
        </is>
      </c>
      <c r="I3" s="19">
        <f t="array" ref="I3">TRIM(_xlfn.XLOOKUP(非皮卡压缩表[[#This Row],[BACKSIZE]],ALL尺码表[内部尺码],ALL尺码表[分类],""))</f>
        <v/>
      </c>
      <c r="J3" s="19">
        <f t="array" ref="J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" s="20">
        <f>LEN(非皮卡压缩表[[#This Row],[LONG-TYPE]])</f>
        <v/>
      </c>
      <c r="L3" s="21">
        <f t="array" ref="L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" s="22">
        <f>LEN(非皮卡压缩表[[#This Row],[TYPE]])</f>
        <v/>
      </c>
      <c r="N3" s="22">
        <f t="array" ref="N3">_xlfn.XLOOKUP(非皮卡压缩表[[#This Row],[MODEL]],MODEL缩写表[长MODEL],MODEL缩写表[短MODEL],非皮卡压缩表[[#This Row],[MODEL]])</f>
        <v/>
      </c>
      <c r="O3" s="22">
        <f>LEN(非皮卡压缩表[[#This Row],[SHORT-MODEL]])</f>
        <v/>
      </c>
      <c r="P3" s="11">
        <f t="array" ref="P3">TRIM(_xlfn.XLOOKUP(非皮卡压缩表[[#This Row],[BACKSIZE]],ALL尺码表[内部尺码],ALL尺码表[通用尺码]))</f>
        <v/>
      </c>
    </row>
    <row r="4">
      <c r="A4" s="17" t="inlineStr">
        <is>
          <t>ALL</t>
        </is>
      </c>
      <c r="B4" s="18" t="inlineStr">
        <is>
          <t>Acura ILX</t>
        </is>
      </c>
      <c r="C4" s="18" t="inlineStr">
        <is>
          <t>Acura</t>
        </is>
      </c>
      <c r="D4" s="18" t="inlineStr">
        <is>
          <t>ILX</t>
        </is>
      </c>
      <c r="E4" s="18" t="inlineStr">
        <is>
          <t>2013-2022</t>
        </is>
      </c>
      <c r="F4" s="18" t="inlineStr"/>
      <c r="G4" s="18" t="inlineStr">
        <is>
          <t>Sedan</t>
        </is>
      </c>
      <c r="H4" s="18" t="inlineStr">
        <is>
          <t>3L</t>
        </is>
      </c>
      <c r="I4" s="19">
        <f t="array" ref="I4">TRIM(_xlfn.XLOOKUP(非皮卡压缩表[[#This Row],[BACKSIZE]],ALL尺码表[内部尺码],ALL尺码表[分类],""))</f>
        <v/>
      </c>
      <c r="J4" s="19">
        <f t="array" ref="J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" s="20">
        <f>LEN(非皮卡压缩表[[#This Row],[LONG-TYPE]])</f>
        <v/>
      </c>
      <c r="L4" s="21">
        <f t="array" ref="L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" s="22">
        <f>LEN(非皮卡压缩表[[#This Row],[TYPE]])</f>
        <v/>
      </c>
      <c r="N4" s="22">
        <f t="array" ref="N4">_xlfn.XLOOKUP(非皮卡压缩表[[#This Row],[MODEL]],MODEL缩写表[长MODEL],MODEL缩写表[短MODEL],非皮卡压缩表[[#This Row],[MODEL]])</f>
        <v/>
      </c>
      <c r="O4" s="22">
        <f>LEN(非皮卡压缩表[[#This Row],[SHORT-MODEL]])</f>
        <v/>
      </c>
      <c r="P4" s="11">
        <f t="array" ref="P4">TRIM(_xlfn.XLOOKUP(非皮卡压缩表[[#This Row],[BACKSIZE]],ALL尺码表[内部尺码],ALL尺码表[通用尺码]))</f>
        <v/>
      </c>
    </row>
    <row r="5">
      <c r="A5" s="17" t="inlineStr">
        <is>
          <t>ALL</t>
        </is>
      </c>
      <c r="B5" s="18" t="inlineStr">
        <is>
          <t>Acura Integra</t>
        </is>
      </c>
      <c r="C5" s="18" t="inlineStr">
        <is>
          <t>Acura</t>
        </is>
      </c>
      <c r="D5" s="18" t="inlineStr">
        <is>
          <t>Integra</t>
        </is>
      </c>
      <c r="E5" s="18" t="inlineStr">
        <is>
          <t>1986-1993</t>
        </is>
      </c>
      <c r="F5" s="18" t="inlineStr"/>
      <c r="G5" s="18" t="inlineStr">
        <is>
          <t>Hatchback</t>
        </is>
      </c>
      <c r="H5" s="18" t="inlineStr">
        <is>
          <t>2L+</t>
        </is>
      </c>
      <c r="I5" s="19">
        <f t="array" ref="I5">TRIM(_xlfn.XLOOKUP(非皮卡压缩表[[#This Row],[BACKSIZE]],ALL尺码表[内部尺码],ALL尺码表[分类],""))</f>
        <v/>
      </c>
      <c r="J5" s="19">
        <f t="array" ref="J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" s="20">
        <f>LEN(非皮卡压缩表[[#This Row],[LONG-TYPE]])</f>
        <v/>
      </c>
      <c r="L5" s="21">
        <f t="array" ref="L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" s="22">
        <f>LEN(非皮卡压缩表[[#This Row],[TYPE]])</f>
        <v/>
      </c>
      <c r="N5" s="22">
        <f t="array" ref="N5">_xlfn.XLOOKUP(非皮卡压缩表[[#This Row],[MODEL]],MODEL缩写表[长MODEL],MODEL缩写表[短MODEL],非皮卡压缩表[[#This Row],[MODEL]])</f>
        <v/>
      </c>
      <c r="O5" s="22">
        <f>LEN(非皮卡压缩表[[#This Row],[SHORT-MODEL]])</f>
        <v/>
      </c>
      <c r="P5" s="11">
        <f t="array" ref="P5">TRIM(_xlfn.XLOOKUP(非皮卡压缩表[[#This Row],[BACKSIZE]],ALL尺码表[内部尺码],ALL尺码表[通用尺码]))</f>
        <v/>
      </c>
    </row>
    <row r="6">
      <c r="A6" s="17" t="inlineStr">
        <is>
          <t>ALL</t>
        </is>
      </c>
      <c r="B6" s="18" t="inlineStr">
        <is>
          <t>Acura Integra</t>
        </is>
      </c>
      <c r="C6" s="18" t="inlineStr">
        <is>
          <t>Acura</t>
        </is>
      </c>
      <c r="D6" s="18" t="inlineStr">
        <is>
          <t>Integra</t>
        </is>
      </c>
      <c r="E6" s="18" t="inlineStr">
        <is>
          <t>1990-2001</t>
        </is>
      </c>
      <c r="F6" s="18" t="inlineStr"/>
      <c r="G6" s="18" t="inlineStr">
        <is>
          <t>Sedan</t>
        </is>
      </c>
      <c r="H6" s="18" t="inlineStr">
        <is>
          <t>3L</t>
        </is>
      </c>
      <c r="I6" s="19">
        <f t="array" ref="I6">TRIM(_xlfn.XLOOKUP(非皮卡压缩表[[#This Row],[BACKSIZE]],ALL尺码表[内部尺码],ALL尺码表[分类],""))</f>
        <v/>
      </c>
      <c r="J6" s="19">
        <f t="array" ref="J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" s="20">
        <f>LEN(非皮卡压缩表[[#This Row],[LONG-TYPE]])</f>
        <v/>
      </c>
      <c r="L6" s="21">
        <f t="array" ref="L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" s="22">
        <f>LEN(非皮卡压缩表[[#This Row],[TYPE]])</f>
        <v/>
      </c>
      <c r="N6" s="22">
        <f t="array" ref="N6">_xlfn.XLOOKUP(非皮卡压缩表[[#This Row],[MODEL]],MODEL缩写表[长MODEL],MODEL缩写表[短MODEL],非皮卡压缩表[[#This Row],[MODEL]])</f>
        <v/>
      </c>
      <c r="O6" s="22">
        <f>LEN(非皮卡压缩表[[#This Row],[SHORT-MODEL]])</f>
        <v/>
      </c>
      <c r="P6" s="11">
        <f t="array" ref="P6">TRIM(_xlfn.XLOOKUP(非皮卡压缩表[[#This Row],[BACKSIZE]],ALL尺码表[内部尺码],ALL尺码表[通用尺码]))</f>
        <v/>
      </c>
    </row>
    <row r="7">
      <c r="A7" s="17" t="inlineStr">
        <is>
          <t>ALL</t>
        </is>
      </c>
      <c r="B7" s="18" t="inlineStr">
        <is>
          <t>Acura Integra</t>
        </is>
      </c>
      <c r="C7" s="18" t="inlineStr">
        <is>
          <t>Acura</t>
        </is>
      </c>
      <c r="D7" s="18" t="inlineStr">
        <is>
          <t>Integra</t>
        </is>
      </c>
      <c r="E7" s="18" t="inlineStr">
        <is>
          <t>1994-2001</t>
        </is>
      </c>
      <c r="F7" s="18" t="inlineStr"/>
      <c r="G7" s="18" t="inlineStr">
        <is>
          <t>Coupe</t>
        </is>
      </c>
      <c r="H7" s="18" t="inlineStr">
        <is>
          <t>3M-0</t>
        </is>
      </c>
      <c r="I7" s="19">
        <f t="array" ref="I7">TRIM(_xlfn.XLOOKUP(非皮卡压缩表[[#This Row],[BACKSIZE]],ALL尺码表[内部尺码],ALL尺码表[分类],""))</f>
        <v/>
      </c>
      <c r="J7" s="19">
        <f t="array" ref="J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" s="20">
        <f>LEN(非皮卡压缩表[[#This Row],[LONG-TYPE]])</f>
        <v/>
      </c>
      <c r="L7" s="21">
        <f t="array" ref="L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" s="22">
        <f>LEN(非皮卡压缩表[[#This Row],[TYPE]])</f>
        <v/>
      </c>
      <c r="N7" s="22">
        <f t="array" ref="N7">_xlfn.XLOOKUP(非皮卡压缩表[[#This Row],[MODEL]],MODEL缩写表[长MODEL],MODEL缩写表[短MODEL],非皮卡压缩表[[#This Row],[MODEL]])</f>
        <v/>
      </c>
      <c r="O7" s="22">
        <f>LEN(非皮卡压缩表[[#This Row],[SHORT-MODEL]])</f>
        <v/>
      </c>
      <c r="P7" s="11">
        <f t="array" ref="P7">TRIM(_xlfn.XLOOKUP(非皮卡压缩表[[#This Row],[BACKSIZE]],ALL尺码表[内部尺码],ALL尺码表[通用尺码]))</f>
        <v/>
      </c>
    </row>
    <row r="8">
      <c r="A8" s="17" t="inlineStr">
        <is>
          <t>ALL</t>
        </is>
      </c>
      <c r="B8" s="18" t="inlineStr">
        <is>
          <t>Acura Integra</t>
        </is>
      </c>
      <c r="C8" s="18" t="inlineStr">
        <is>
          <t>Acura</t>
        </is>
      </c>
      <c r="D8" s="18" t="inlineStr">
        <is>
          <t>Integra</t>
        </is>
      </c>
      <c r="E8" s="18" t="inlineStr">
        <is>
          <t>2023-2026</t>
        </is>
      </c>
      <c r="F8" s="18" t="inlineStr">
        <is>
          <t>Incl: Type S</t>
        </is>
      </c>
      <c r="G8" s="18" t="inlineStr">
        <is>
          <t>Hatchback</t>
        </is>
      </c>
      <c r="H8" s="18" t="inlineStr">
        <is>
          <t>2XL</t>
        </is>
      </c>
      <c r="I8" s="19">
        <f t="array" ref="I8">TRIM(_xlfn.XLOOKUP(非皮卡压缩表[[#This Row],[BACKSIZE]],ALL尺码表[内部尺码],ALL尺码表[分类],""))</f>
        <v/>
      </c>
      <c r="J8" s="19">
        <f t="array" ref="J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" s="20">
        <f>LEN(非皮卡压缩表[[#This Row],[LONG-TYPE]])</f>
        <v/>
      </c>
      <c r="L8" s="21">
        <f t="array" ref="L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" s="22">
        <f>LEN(非皮卡压缩表[[#This Row],[TYPE]])</f>
        <v/>
      </c>
      <c r="N8" s="22">
        <f t="array" ref="N8">_xlfn.XLOOKUP(非皮卡压缩表[[#This Row],[MODEL]],MODEL缩写表[长MODEL],MODEL缩写表[短MODEL],非皮卡压缩表[[#This Row],[MODEL]])</f>
        <v/>
      </c>
      <c r="O8" s="22">
        <f>LEN(非皮卡压缩表[[#This Row],[SHORT-MODEL]])</f>
        <v/>
      </c>
      <c r="P8" s="11">
        <f t="array" ref="P8">TRIM(_xlfn.XLOOKUP(非皮卡压缩表[[#This Row],[BACKSIZE]],ALL尺码表[内部尺码],ALL尺码表[通用尺码]))</f>
        <v/>
      </c>
    </row>
    <row r="9">
      <c r="A9" s="17" t="inlineStr">
        <is>
          <t>ALL</t>
        </is>
      </c>
      <c r="B9" s="18" t="inlineStr">
        <is>
          <t>Acura Legend</t>
        </is>
      </c>
      <c r="C9" s="18" t="inlineStr">
        <is>
          <t>Acura</t>
        </is>
      </c>
      <c r="D9" s="18" t="inlineStr">
        <is>
          <t>Legend</t>
        </is>
      </c>
      <c r="E9" s="18" t="inlineStr">
        <is>
          <t>1986-1990</t>
        </is>
      </c>
      <c r="F9" s="18" t="inlineStr"/>
      <c r="G9" s="18" t="inlineStr">
        <is>
          <t>Sedan</t>
        </is>
      </c>
      <c r="H9" s="18" t="inlineStr">
        <is>
          <t>3XL</t>
        </is>
      </c>
      <c r="I9" s="19">
        <f t="array" ref="I9">TRIM(_xlfn.XLOOKUP(非皮卡压缩表[[#This Row],[BACKSIZE]],ALL尺码表[内部尺码],ALL尺码表[分类],""))</f>
        <v/>
      </c>
      <c r="J9" s="19">
        <f t="array" ref="J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" s="20">
        <f>LEN(非皮卡压缩表[[#This Row],[LONG-TYPE]])</f>
        <v/>
      </c>
      <c r="L9" s="21">
        <f t="array" ref="L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" s="22">
        <f>LEN(非皮卡压缩表[[#This Row],[TYPE]])</f>
        <v/>
      </c>
      <c r="N9" s="22">
        <f t="array" ref="N9">_xlfn.XLOOKUP(非皮卡压缩表[[#This Row],[MODEL]],MODEL缩写表[长MODEL],MODEL缩写表[短MODEL],非皮卡压缩表[[#This Row],[MODEL]])</f>
        <v/>
      </c>
      <c r="O9" s="22">
        <f>LEN(非皮卡压缩表[[#This Row],[SHORT-MODEL]])</f>
        <v/>
      </c>
      <c r="P9" s="11">
        <f t="array" ref="P9">TRIM(_xlfn.XLOOKUP(非皮卡压缩表[[#This Row],[BACKSIZE]],ALL尺码表[内部尺码],ALL尺码表[通用尺码]))</f>
        <v/>
      </c>
    </row>
    <row r="10">
      <c r="A10" s="17" t="inlineStr">
        <is>
          <t>ALL</t>
        </is>
      </c>
      <c r="B10" s="18" t="inlineStr">
        <is>
          <t>Acura Legend</t>
        </is>
      </c>
      <c r="C10" s="18" t="inlineStr">
        <is>
          <t>Acura</t>
        </is>
      </c>
      <c r="D10" s="18" t="inlineStr">
        <is>
          <t>Legend</t>
        </is>
      </c>
      <c r="E10" s="18" t="inlineStr">
        <is>
          <t>1987-1995</t>
        </is>
      </c>
      <c r="F10" s="18" t="inlineStr"/>
      <c r="G10" s="18" t="inlineStr">
        <is>
          <t>Coupe</t>
        </is>
      </c>
      <c r="H10" s="18" t="inlineStr">
        <is>
          <t>3XL-0</t>
        </is>
      </c>
      <c r="I10" s="19">
        <f t="array" ref="I10">TRIM(_xlfn.XLOOKUP(非皮卡压缩表[[#This Row],[BACKSIZE]],ALL尺码表[内部尺码],ALL尺码表[分类],""))</f>
        <v/>
      </c>
      <c r="J10" s="19">
        <f t="array" ref="J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" s="20">
        <f>LEN(非皮卡压缩表[[#This Row],[LONG-TYPE]])</f>
        <v/>
      </c>
      <c r="L10" s="21">
        <f t="array" ref="L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" s="22">
        <f>LEN(非皮卡压缩表[[#This Row],[TYPE]])</f>
        <v/>
      </c>
      <c r="N10" s="22">
        <f t="array" ref="N10">_xlfn.XLOOKUP(非皮卡压缩表[[#This Row],[MODEL]],MODEL缩写表[长MODEL],MODEL缩写表[短MODEL],非皮卡压缩表[[#This Row],[MODEL]])</f>
        <v/>
      </c>
      <c r="O10" s="22">
        <f>LEN(非皮卡压缩表[[#This Row],[SHORT-MODEL]])</f>
        <v/>
      </c>
      <c r="P10" s="11">
        <f t="array" ref="P10">TRIM(_xlfn.XLOOKUP(非皮卡压缩表[[#This Row],[BACKSIZE]],ALL尺码表[内部尺码],ALL尺码表[通用尺码]))</f>
        <v/>
      </c>
    </row>
    <row r="11">
      <c r="A11" s="17" t="inlineStr">
        <is>
          <t>ALL</t>
        </is>
      </c>
      <c r="B11" s="18" t="inlineStr">
        <is>
          <t>Acura Legend</t>
        </is>
      </c>
      <c r="C11" s="18" t="inlineStr">
        <is>
          <t>Acura</t>
        </is>
      </c>
      <c r="D11" s="18" t="inlineStr">
        <is>
          <t>Legend</t>
        </is>
      </c>
      <c r="E11" s="18" t="inlineStr">
        <is>
          <t>1991-1995</t>
        </is>
      </c>
      <c r="F11" s="18" t="inlineStr"/>
      <c r="G11" s="18" t="inlineStr">
        <is>
          <t>Sedan</t>
        </is>
      </c>
      <c r="H11" s="18" t="inlineStr">
        <is>
          <t>3XXL</t>
        </is>
      </c>
      <c r="I11" s="19">
        <f t="array" ref="I11">TRIM(_xlfn.XLOOKUP(非皮卡压缩表[[#This Row],[BACKSIZE]],ALL尺码表[内部尺码],ALL尺码表[分类],""))</f>
        <v/>
      </c>
      <c r="J11" s="19">
        <f t="array" ref="J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" s="20">
        <f>LEN(非皮卡压缩表[[#This Row],[LONG-TYPE]])</f>
        <v/>
      </c>
      <c r="L11" s="21">
        <f t="array" ref="L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" s="22">
        <f>LEN(非皮卡压缩表[[#This Row],[TYPE]])</f>
        <v/>
      </c>
      <c r="N11" s="22">
        <f t="array" ref="N11">_xlfn.XLOOKUP(非皮卡压缩表[[#This Row],[MODEL]],MODEL缩写表[长MODEL],MODEL缩写表[短MODEL],非皮卡压缩表[[#This Row],[MODEL]])</f>
        <v/>
      </c>
      <c r="O11" s="22">
        <f>LEN(非皮卡压缩表[[#This Row],[SHORT-MODEL]])</f>
        <v/>
      </c>
      <c r="P11" s="11">
        <f t="array" ref="P11">TRIM(_xlfn.XLOOKUP(非皮卡压缩表[[#This Row],[BACKSIZE]],ALL尺码表[内部尺码],ALL尺码表[通用尺码]))</f>
        <v/>
      </c>
    </row>
    <row r="12">
      <c r="A12" s="17" t="inlineStr">
        <is>
          <t>ALL</t>
        </is>
      </c>
      <c r="B12" s="18" t="inlineStr">
        <is>
          <t>Acura MDX</t>
        </is>
      </c>
      <c r="C12" s="18" t="inlineStr">
        <is>
          <t>Acura</t>
        </is>
      </c>
      <c r="D12" s="18" t="inlineStr">
        <is>
          <t>MDX</t>
        </is>
      </c>
      <c r="E12" s="18" t="inlineStr">
        <is>
          <t>2001-2006</t>
        </is>
      </c>
      <c r="F12" s="18" t="inlineStr"/>
      <c r="G12" s="18" t="inlineStr">
        <is>
          <t>SUV</t>
        </is>
      </c>
      <c r="H12" s="18" t="inlineStr">
        <is>
          <t>YL</t>
        </is>
      </c>
      <c r="I12" s="19">
        <f t="array" ref="I12">TRIM(_xlfn.XLOOKUP(非皮卡压缩表[[#This Row],[BACKSIZE]],ALL尺码表[内部尺码],ALL尺码表[分类],""))</f>
        <v/>
      </c>
      <c r="J12" s="19">
        <f t="array" ref="J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" s="20">
        <f>LEN(非皮卡压缩表[[#This Row],[LONG-TYPE]])</f>
        <v/>
      </c>
      <c r="L12" s="21">
        <f t="array" ref="L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" s="22">
        <f>LEN(非皮卡压缩表[[#This Row],[TYPE]])</f>
        <v/>
      </c>
      <c r="N12" s="22">
        <f t="array" ref="N12">_xlfn.XLOOKUP(非皮卡压缩表[[#This Row],[MODEL]],MODEL缩写表[长MODEL],MODEL缩写表[短MODEL],非皮卡压缩表[[#This Row],[MODEL]])</f>
        <v/>
      </c>
      <c r="O12" s="22">
        <f>LEN(非皮卡压缩表[[#This Row],[SHORT-MODEL]])</f>
        <v/>
      </c>
      <c r="P12" s="11">
        <f t="array" ref="P12">TRIM(_xlfn.XLOOKUP(非皮卡压缩表[[#This Row],[BACKSIZE]],ALL尺码表[内部尺码],ALL尺码表[通用尺码]))</f>
        <v/>
      </c>
    </row>
    <row r="13">
      <c r="A13" s="17" t="inlineStr">
        <is>
          <t>ALL</t>
        </is>
      </c>
      <c r="B13" s="18" t="inlineStr">
        <is>
          <t>Acura MDX</t>
        </is>
      </c>
      <c r="C13" s="18" t="inlineStr">
        <is>
          <t>Acura</t>
        </is>
      </c>
      <c r="D13" s="18" t="inlineStr">
        <is>
          <t>MDX</t>
        </is>
      </c>
      <c r="E13" s="18" t="inlineStr">
        <is>
          <t>2007-2026</t>
        </is>
      </c>
      <c r="F13" s="18" t="inlineStr">
        <is>
          <t>Incl: Type S</t>
        </is>
      </c>
      <c r="G13" s="18" t="inlineStr">
        <is>
          <t>SUV</t>
        </is>
      </c>
      <c r="H13" s="18" t="inlineStr">
        <is>
          <t>YXL</t>
        </is>
      </c>
      <c r="I13" s="19">
        <f t="array" ref="I13">TRIM(_xlfn.XLOOKUP(非皮卡压缩表[[#This Row],[BACKSIZE]],ALL尺码表[内部尺码],ALL尺码表[分类],""))</f>
        <v/>
      </c>
      <c r="J13" s="19">
        <f t="array" ref="J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" s="20">
        <f>LEN(非皮卡压缩表[[#This Row],[LONG-TYPE]])</f>
        <v/>
      </c>
      <c r="L13" s="21">
        <f t="array" ref="L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" s="22">
        <f>LEN(非皮卡压缩表[[#This Row],[TYPE]])</f>
        <v/>
      </c>
      <c r="N13" s="22">
        <f t="array" ref="N13">_xlfn.XLOOKUP(非皮卡压缩表[[#This Row],[MODEL]],MODEL缩写表[长MODEL],MODEL缩写表[短MODEL],非皮卡压缩表[[#This Row],[MODEL]])</f>
        <v/>
      </c>
      <c r="O13" s="22">
        <f>LEN(非皮卡压缩表[[#This Row],[SHORT-MODEL]])</f>
        <v/>
      </c>
      <c r="P13" s="11">
        <f t="array" ref="P13">TRIM(_xlfn.XLOOKUP(非皮卡压缩表[[#This Row],[BACKSIZE]],ALL尺码表[内部尺码],ALL尺码表[通用尺码]))</f>
        <v/>
      </c>
    </row>
    <row r="14">
      <c r="A14" s="17" t="inlineStr">
        <is>
          <t>ALL</t>
        </is>
      </c>
      <c r="B14" s="18" t="inlineStr">
        <is>
          <t>Acura NSX</t>
        </is>
      </c>
      <c r="C14" s="18" t="inlineStr">
        <is>
          <t>Acura</t>
        </is>
      </c>
      <c r="D14" s="18" t="inlineStr">
        <is>
          <t>NSX</t>
        </is>
      </c>
      <c r="E14" s="18" t="inlineStr">
        <is>
          <t>1991-2021</t>
        </is>
      </c>
      <c r="F14" s="18" t="inlineStr"/>
      <c r="G14" s="18" t="inlineStr">
        <is>
          <t>Coupe</t>
        </is>
      </c>
      <c r="H14" s="18" t="inlineStr">
        <is>
          <t>3M-0</t>
        </is>
      </c>
      <c r="I14" s="19">
        <f t="array" ref="I14">TRIM(_xlfn.XLOOKUP(非皮卡压缩表[[#This Row],[BACKSIZE]],ALL尺码表[内部尺码],ALL尺码表[分类],""))</f>
        <v/>
      </c>
      <c r="J14" s="19">
        <f t="array" ref="J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" s="20">
        <f>LEN(非皮卡压缩表[[#This Row],[LONG-TYPE]])</f>
        <v/>
      </c>
      <c r="L14" s="21">
        <f t="array" ref="L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" s="22">
        <f>LEN(非皮卡压缩表[[#This Row],[TYPE]])</f>
        <v/>
      </c>
      <c r="N14" s="22">
        <f t="array" ref="N14">_xlfn.XLOOKUP(非皮卡压缩表[[#This Row],[MODEL]],MODEL缩写表[长MODEL],MODEL缩写表[短MODEL],非皮卡压缩表[[#This Row],[MODEL]])</f>
        <v/>
      </c>
      <c r="O14" s="22">
        <f>LEN(非皮卡压缩表[[#This Row],[SHORT-MODEL]])</f>
        <v/>
      </c>
      <c r="P14" s="11">
        <f t="array" ref="P14">TRIM(_xlfn.XLOOKUP(非皮卡压缩表[[#This Row],[BACKSIZE]],ALL尺码表[内部尺码],ALL尺码表[通用尺码]))</f>
        <v/>
      </c>
    </row>
    <row r="15">
      <c r="A15" s="17" t="inlineStr">
        <is>
          <t>ALL</t>
        </is>
      </c>
      <c r="B15" s="18" t="inlineStr">
        <is>
          <t>Acura NSX</t>
        </is>
      </c>
      <c r="C15" s="18" t="inlineStr">
        <is>
          <t>Acura</t>
        </is>
      </c>
      <c r="D15" s="18" t="inlineStr">
        <is>
          <t>NSX</t>
        </is>
      </c>
      <c r="E15" s="18" t="inlineStr">
        <is>
          <t>2022</t>
        </is>
      </c>
      <c r="F15" s="18" t="inlineStr">
        <is>
          <t>Type S</t>
        </is>
      </c>
      <c r="G15" s="18" t="inlineStr">
        <is>
          <t>Coupe</t>
        </is>
      </c>
      <c r="H15" s="18" t="inlineStr">
        <is>
          <t>3L-0</t>
        </is>
      </c>
      <c r="I15" s="19">
        <f t="array" ref="I15">TRIM(_xlfn.XLOOKUP(非皮卡压缩表[[#This Row],[BACKSIZE]],ALL尺码表[内部尺码],ALL尺码表[分类],""))</f>
        <v/>
      </c>
      <c r="J15" s="19">
        <f t="array" ref="J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" s="20">
        <f>LEN(非皮卡压缩表[[#This Row],[LONG-TYPE]])</f>
        <v/>
      </c>
      <c r="L15" s="21">
        <f t="array" ref="L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" s="22">
        <f>LEN(非皮卡压缩表[[#This Row],[TYPE]])</f>
        <v/>
      </c>
      <c r="N15" s="22">
        <f t="array" ref="N15">_xlfn.XLOOKUP(非皮卡压缩表[[#This Row],[MODEL]],MODEL缩写表[长MODEL],MODEL缩写表[短MODEL],非皮卡压缩表[[#This Row],[MODEL]])</f>
        <v/>
      </c>
      <c r="O15" s="22">
        <f>LEN(非皮卡压缩表[[#This Row],[SHORT-MODEL]])</f>
        <v/>
      </c>
      <c r="P15" s="11">
        <f t="array" ref="P15">TRIM(_xlfn.XLOOKUP(非皮卡压缩表[[#This Row],[BACKSIZE]],ALL尺码表[内部尺码],ALL尺码表[通用尺码]))</f>
        <v/>
      </c>
    </row>
    <row r="16">
      <c r="A16" s="17" t="inlineStr">
        <is>
          <t>ALL</t>
        </is>
      </c>
      <c r="B16" s="18" t="inlineStr">
        <is>
          <t>Acura RDX</t>
        </is>
      </c>
      <c r="C16" s="18" t="inlineStr">
        <is>
          <t>Acura</t>
        </is>
      </c>
      <c r="D16" s="18" t="inlineStr">
        <is>
          <t>RDX</t>
        </is>
      </c>
      <c r="E16" s="18" t="inlineStr">
        <is>
          <t>2007-2009</t>
        </is>
      </c>
      <c r="F16" s="18" t="inlineStr"/>
      <c r="G16" s="18" t="inlineStr">
        <is>
          <t>SUV</t>
        </is>
      </c>
      <c r="H16" s="18" t="inlineStr">
        <is>
          <t>YM+</t>
        </is>
      </c>
      <c r="I16" s="19">
        <f t="array" ref="I16">TRIM(_xlfn.XLOOKUP(非皮卡压缩表[[#This Row],[BACKSIZE]],ALL尺码表[内部尺码],ALL尺码表[分类],""))</f>
        <v/>
      </c>
      <c r="J16" s="19">
        <f t="array" ref="J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" s="20">
        <f>LEN(非皮卡压缩表[[#This Row],[LONG-TYPE]])</f>
        <v/>
      </c>
      <c r="L16" s="21">
        <f t="array" ref="L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" s="22">
        <f>LEN(非皮卡压缩表[[#This Row],[TYPE]])</f>
        <v/>
      </c>
      <c r="N16" s="22">
        <f t="array" ref="N16">_xlfn.XLOOKUP(非皮卡压缩表[[#This Row],[MODEL]],MODEL缩写表[长MODEL],MODEL缩写表[短MODEL],非皮卡压缩表[[#This Row],[MODEL]])</f>
        <v/>
      </c>
      <c r="O16" s="22">
        <f>LEN(非皮卡压缩表[[#This Row],[SHORT-MODEL]])</f>
        <v/>
      </c>
      <c r="P16" s="11">
        <f t="array" ref="P16">TRIM(_xlfn.XLOOKUP(非皮卡压缩表[[#This Row],[BACKSIZE]],ALL尺码表[内部尺码],ALL尺码表[通用尺码]))</f>
        <v/>
      </c>
    </row>
    <row r="17">
      <c r="A17" s="17" t="inlineStr">
        <is>
          <t>ALL</t>
        </is>
      </c>
      <c r="B17" s="18" t="inlineStr">
        <is>
          <t>Acura RDX</t>
        </is>
      </c>
      <c r="C17" s="18" t="inlineStr">
        <is>
          <t>Acura</t>
        </is>
      </c>
      <c r="D17" s="18" t="inlineStr">
        <is>
          <t>RDX</t>
        </is>
      </c>
      <c r="E17" s="18" t="inlineStr">
        <is>
          <t>2010-2026</t>
        </is>
      </c>
      <c r="F17" s="18" t="inlineStr"/>
      <c r="G17" s="18" t="inlineStr">
        <is>
          <t>SUV</t>
        </is>
      </c>
      <c r="H17" s="18" t="inlineStr">
        <is>
          <t>YL</t>
        </is>
      </c>
      <c r="I17" s="19">
        <f t="array" ref="I17">TRIM(_xlfn.XLOOKUP(非皮卡压缩表[[#This Row],[BACKSIZE]],ALL尺码表[内部尺码],ALL尺码表[分类],""))</f>
        <v/>
      </c>
      <c r="J17" s="19">
        <f t="array" ref="J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" s="20">
        <f>LEN(非皮卡压缩表[[#This Row],[LONG-TYPE]])</f>
        <v/>
      </c>
      <c r="L17" s="21">
        <f t="array" ref="L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" s="22">
        <f>LEN(非皮卡压缩表[[#This Row],[TYPE]])</f>
        <v/>
      </c>
      <c r="N17" s="22">
        <f t="array" ref="N17">_xlfn.XLOOKUP(非皮卡压缩表[[#This Row],[MODEL]],MODEL缩写表[长MODEL],MODEL缩写表[短MODEL],非皮卡压缩表[[#This Row],[MODEL]])</f>
        <v/>
      </c>
      <c r="O17" s="22">
        <f>LEN(非皮卡压缩表[[#This Row],[SHORT-MODEL]])</f>
        <v/>
      </c>
      <c r="P17" s="11">
        <f t="array" ref="P17">TRIM(_xlfn.XLOOKUP(非皮卡压缩表[[#This Row],[BACKSIZE]],ALL尺码表[内部尺码],ALL尺码表[通用尺码]))</f>
        <v/>
      </c>
    </row>
    <row r="18">
      <c r="A18" s="17" t="inlineStr">
        <is>
          <t>ALL</t>
        </is>
      </c>
      <c r="B18" s="18" t="inlineStr">
        <is>
          <t>Acura RL</t>
        </is>
      </c>
      <c r="C18" s="18" t="inlineStr">
        <is>
          <t>Acura</t>
        </is>
      </c>
      <c r="D18" s="18" t="inlineStr">
        <is>
          <t>RL</t>
        </is>
      </c>
      <c r="E18" s="18" t="inlineStr">
        <is>
          <t>1996-2004</t>
        </is>
      </c>
      <c r="F18" s="18" t="inlineStr"/>
      <c r="G18" s="18" t="inlineStr">
        <is>
          <t>Sedan</t>
        </is>
      </c>
      <c r="H18" s="18" t="inlineStr">
        <is>
          <t>3XXL</t>
        </is>
      </c>
      <c r="I18" s="19">
        <f t="array" ref="I18">TRIM(_xlfn.XLOOKUP(非皮卡压缩表[[#This Row],[BACKSIZE]],ALL尺码表[内部尺码],ALL尺码表[分类],""))</f>
        <v/>
      </c>
      <c r="J18" s="19">
        <f t="array" ref="J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" s="20">
        <f>LEN(非皮卡压缩表[[#This Row],[LONG-TYPE]])</f>
        <v/>
      </c>
      <c r="L18" s="21">
        <f t="array" ref="L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" s="22">
        <f>LEN(非皮卡压缩表[[#This Row],[TYPE]])</f>
        <v/>
      </c>
      <c r="N18" s="22">
        <f t="array" ref="N18">_xlfn.XLOOKUP(非皮卡压缩表[[#This Row],[MODEL]],MODEL缩写表[长MODEL],MODEL缩写表[短MODEL],非皮卡压缩表[[#This Row],[MODEL]])</f>
        <v/>
      </c>
      <c r="O18" s="22">
        <f>LEN(非皮卡压缩表[[#This Row],[SHORT-MODEL]])</f>
        <v/>
      </c>
      <c r="P18" s="11">
        <f t="array" ref="P18">TRIM(_xlfn.XLOOKUP(非皮卡压缩表[[#This Row],[BACKSIZE]],ALL尺码表[内部尺码],ALL尺码表[通用尺码]))</f>
        <v/>
      </c>
    </row>
    <row r="19">
      <c r="A19" s="17" t="inlineStr">
        <is>
          <t>ALL</t>
        </is>
      </c>
      <c r="B19" s="18" t="inlineStr">
        <is>
          <t>Acura RLX</t>
        </is>
      </c>
      <c r="C19" s="18" t="inlineStr">
        <is>
          <t>Acura</t>
        </is>
      </c>
      <c r="D19" s="18" t="inlineStr">
        <is>
          <t>RLX</t>
        </is>
      </c>
      <c r="E19" s="18" t="inlineStr">
        <is>
          <t>2014-2020</t>
        </is>
      </c>
      <c r="F19" s="18" t="inlineStr"/>
      <c r="G19" s="18" t="inlineStr">
        <is>
          <t>Sedan</t>
        </is>
      </c>
      <c r="H19" s="18" t="inlineStr">
        <is>
          <t>3XXL</t>
        </is>
      </c>
      <c r="I19" s="19">
        <f t="array" ref="I19">TRIM(_xlfn.XLOOKUP(非皮卡压缩表[[#This Row],[BACKSIZE]],ALL尺码表[内部尺码],ALL尺码表[分类],""))</f>
        <v/>
      </c>
      <c r="J19" s="19">
        <f t="array" ref="J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" s="20">
        <f>LEN(非皮卡压缩表[[#This Row],[LONG-TYPE]])</f>
        <v/>
      </c>
      <c r="L19" s="21">
        <f t="array" ref="L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" s="22">
        <f>LEN(非皮卡压缩表[[#This Row],[TYPE]])</f>
        <v/>
      </c>
      <c r="N19" s="22">
        <f t="array" ref="N19">_xlfn.XLOOKUP(非皮卡压缩表[[#This Row],[MODEL]],MODEL缩写表[长MODEL],MODEL缩写表[短MODEL],非皮卡压缩表[[#This Row],[MODEL]])</f>
        <v/>
      </c>
      <c r="O19" s="22">
        <f>LEN(非皮卡压缩表[[#This Row],[SHORT-MODEL]])</f>
        <v/>
      </c>
      <c r="P19" s="11">
        <f t="array" ref="P19">TRIM(_xlfn.XLOOKUP(非皮卡压缩表[[#This Row],[BACKSIZE]],ALL尺码表[内部尺码],ALL尺码表[通用尺码]))</f>
        <v/>
      </c>
    </row>
    <row r="20">
      <c r="A20" s="17" t="inlineStr">
        <is>
          <t>ALL</t>
        </is>
      </c>
      <c r="B20" s="18" t="inlineStr">
        <is>
          <t>Acura RSX</t>
        </is>
      </c>
      <c r="C20" s="18" t="inlineStr">
        <is>
          <t>Acura</t>
        </is>
      </c>
      <c r="D20" s="18" t="inlineStr">
        <is>
          <t>RSX</t>
        </is>
      </c>
      <c r="E20" s="18" t="inlineStr">
        <is>
          <t>2002-2006</t>
        </is>
      </c>
      <c r="F20" s="18" t="inlineStr"/>
      <c r="G20" s="18" t="inlineStr">
        <is>
          <t>Hatchback</t>
        </is>
      </c>
      <c r="H20" s="18" t="inlineStr">
        <is>
          <t>2L+</t>
        </is>
      </c>
      <c r="I20" s="19">
        <f t="array" ref="I20">TRIM(_xlfn.XLOOKUP(非皮卡压缩表[[#This Row],[BACKSIZE]],ALL尺码表[内部尺码],ALL尺码表[分类],""))</f>
        <v/>
      </c>
      <c r="J20" s="19">
        <f t="array" ref="J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" s="20">
        <f>LEN(非皮卡压缩表[[#This Row],[LONG-TYPE]])</f>
        <v/>
      </c>
      <c r="L20" s="21">
        <f t="array" ref="L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" s="22">
        <f>LEN(非皮卡压缩表[[#This Row],[TYPE]])</f>
        <v/>
      </c>
      <c r="N20" s="22">
        <f t="array" ref="N20">_xlfn.XLOOKUP(非皮卡压缩表[[#This Row],[MODEL]],MODEL缩写表[长MODEL],MODEL缩写表[短MODEL],非皮卡压缩表[[#This Row],[MODEL]])</f>
        <v/>
      </c>
      <c r="O20" s="22">
        <f>LEN(非皮卡压缩表[[#This Row],[SHORT-MODEL]])</f>
        <v/>
      </c>
      <c r="P20" s="11">
        <f t="array" ref="P20">TRIM(_xlfn.XLOOKUP(非皮卡压缩表[[#This Row],[BACKSIZE]],ALL尺码表[内部尺码],ALL尺码表[通用尺码]))</f>
        <v/>
      </c>
    </row>
    <row r="21">
      <c r="A21" s="17" t="inlineStr">
        <is>
          <t>ALL</t>
        </is>
      </c>
      <c r="B21" s="18" t="inlineStr">
        <is>
          <t>Acura SLX</t>
        </is>
      </c>
      <c r="C21" s="18" t="inlineStr">
        <is>
          <t>Acura</t>
        </is>
      </c>
      <c r="D21" s="18" t="inlineStr">
        <is>
          <t>SLX</t>
        </is>
      </c>
      <c r="E21" s="18" t="inlineStr">
        <is>
          <t>1996</t>
        </is>
      </c>
      <c r="F21" s="18" t="inlineStr"/>
      <c r="G21" s="18" t="inlineStr">
        <is>
          <t>SUV</t>
        </is>
      </c>
      <c r="H21" s="18" t="inlineStr">
        <is>
          <t>YL</t>
        </is>
      </c>
      <c r="I21" s="19">
        <f t="array" ref="I21">TRIM(_xlfn.XLOOKUP(非皮卡压缩表[[#This Row],[BACKSIZE]],ALL尺码表[内部尺码],ALL尺码表[分类],""))</f>
        <v/>
      </c>
      <c r="J21" s="19">
        <f t="array" ref="J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" s="20">
        <f>LEN(非皮卡压缩表[[#This Row],[LONG-TYPE]])</f>
        <v/>
      </c>
      <c r="L21" s="21">
        <f t="array" ref="L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" s="22">
        <f>LEN(非皮卡压缩表[[#This Row],[TYPE]])</f>
        <v/>
      </c>
      <c r="N21" s="22">
        <f t="array" ref="N21">_xlfn.XLOOKUP(非皮卡压缩表[[#This Row],[MODEL]],MODEL缩写表[长MODEL],MODEL缩写表[短MODEL],非皮卡压缩表[[#This Row],[MODEL]])</f>
        <v/>
      </c>
      <c r="O21" s="22">
        <f>LEN(非皮卡压缩表[[#This Row],[SHORT-MODEL]])</f>
        <v/>
      </c>
      <c r="P21" s="11">
        <f t="array" ref="P21">TRIM(_xlfn.XLOOKUP(非皮卡压缩表[[#This Row],[BACKSIZE]],ALL尺码表[内部尺码],ALL尺码表[通用尺码]))</f>
        <v/>
      </c>
    </row>
    <row r="22">
      <c r="A22" s="17" t="inlineStr">
        <is>
          <t>ALL</t>
        </is>
      </c>
      <c r="B22" s="18" t="inlineStr">
        <is>
          <t>Acura SLX</t>
        </is>
      </c>
      <c r="C22" s="18" t="inlineStr">
        <is>
          <t>Acura</t>
        </is>
      </c>
      <c r="D22" s="18" t="inlineStr">
        <is>
          <t>SLX</t>
        </is>
      </c>
      <c r="E22" s="18" t="inlineStr">
        <is>
          <t>1997</t>
        </is>
      </c>
      <c r="F22" s="18" t="inlineStr"/>
      <c r="G22" s="18" t="inlineStr">
        <is>
          <t>SUV</t>
        </is>
      </c>
      <c r="H22" s="18" t="inlineStr">
        <is>
          <t>YM+</t>
        </is>
      </c>
      <c r="I22" s="19">
        <f t="array" ref="I22">TRIM(_xlfn.XLOOKUP(非皮卡压缩表[[#This Row],[BACKSIZE]],ALL尺码表[内部尺码],ALL尺码表[分类],""))</f>
        <v/>
      </c>
      <c r="J22" s="19">
        <f t="array" ref="J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" s="20">
        <f>LEN(非皮卡压缩表[[#This Row],[LONG-TYPE]])</f>
        <v/>
      </c>
      <c r="L22" s="21">
        <f t="array" ref="L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" s="22">
        <f>LEN(非皮卡压缩表[[#This Row],[TYPE]])</f>
        <v/>
      </c>
      <c r="N22" s="22">
        <f t="array" ref="N22">_xlfn.XLOOKUP(非皮卡压缩表[[#This Row],[MODEL]],MODEL缩写表[长MODEL],MODEL缩写表[短MODEL],非皮卡压缩表[[#This Row],[MODEL]])</f>
        <v/>
      </c>
      <c r="O22" s="22">
        <f>LEN(非皮卡压缩表[[#This Row],[SHORT-MODEL]])</f>
        <v/>
      </c>
      <c r="P22" s="11">
        <f t="array" ref="P22">TRIM(_xlfn.XLOOKUP(非皮卡压缩表[[#This Row],[BACKSIZE]],ALL尺码表[内部尺码],ALL尺码表[通用尺码]))</f>
        <v/>
      </c>
    </row>
    <row r="23">
      <c r="A23" s="17" t="inlineStr">
        <is>
          <t>ALL</t>
        </is>
      </c>
      <c r="B23" s="18" t="inlineStr">
        <is>
          <t>Acura SLX</t>
        </is>
      </c>
      <c r="C23" s="18" t="inlineStr">
        <is>
          <t>Acura</t>
        </is>
      </c>
      <c r="D23" s="18" t="inlineStr">
        <is>
          <t>SLX</t>
        </is>
      </c>
      <c r="E23" s="18" t="inlineStr">
        <is>
          <t>1998-1999</t>
        </is>
      </c>
      <c r="F23" s="18" t="inlineStr"/>
      <c r="G23" s="18" t="inlineStr">
        <is>
          <t>SUV</t>
        </is>
      </c>
      <c r="H23" s="18" t="inlineStr">
        <is>
          <t>YL</t>
        </is>
      </c>
      <c r="I23" s="19">
        <f t="array" ref="I23">TRIM(_xlfn.XLOOKUP(非皮卡压缩表[[#This Row],[BACKSIZE]],ALL尺码表[内部尺码],ALL尺码表[分类],""))</f>
        <v/>
      </c>
      <c r="J23" s="19">
        <f t="array" ref="J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" s="20">
        <f>LEN(非皮卡压缩表[[#This Row],[LONG-TYPE]])</f>
        <v/>
      </c>
      <c r="L23" s="21">
        <f t="array" ref="L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" s="22">
        <f>LEN(非皮卡压缩表[[#This Row],[TYPE]])</f>
        <v/>
      </c>
      <c r="N23" s="22">
        <f t="array" ref="N23">_xlfn.XLOOKUP(非皮卡压缩表[[#This Row],[MODEL]],MODEL缩写表[长MODEL],MODEL缩写表[短MODEL],非皮卡压缩表[[#This Row],[MODEL]])</f>
        <v/>
      </c>
      <c r="O23" s="22">
        <f>LEN(非皮卡压缩表[[#This Row],[SHORT-MODEL]])</f>
        <v/>
      </c>
      <c r="P23" s="11">
        <f t="array" ref="P23">TRIM(_xlfn.XLOOKUP(非皮卡压缩表[[#This Row],[BACKSIZE]],ALL尺码表[内部尺码],ALL尺码表[通用尺码]))</f>
        <v/>
      </c>
    </row>
    <row r="24">
      <c r="A24" s="17" t="inlineStr">
        <is>
          <t>ALL</t>
        </is>
      </c>
      <c r="B24" s="18" t="inlineStr">
        <is>
          <t>Acura TL</t>
        </is>
      </c>
      <c r="C24" s="18" t="inlineStr">
        <is>
          <t>Acura</t>
        </is>
      </c>
      <c r="D24" s="18" t="inlineStr">
        <is>
          <t>TL</t>
        </is>
      </c>
      <c r="E24" s="18" t="inlineStr">
        <is>
          <t>1996-1998</t>
        </is>
      </c>
      <c r="F24" s="18" t="inlineStr"/>
      <c r="G24" s="18" t="inlineStr">
        <is>
          <t>Sedan</t>
        </is>
      </c>
      <c r="H24" s="18" t="inlineStr">
        <is>
          <t>3XL</t>
        </is>
      </c>
      <c r="I24" s="19">
        <f t="array" ref="I24">TRIM(_xlfn.XLOOKUP(非皮卡压缩表[[#This Row],[BACKSIZE]],ALL尺码表[内部尺码],ALL尺码表[分类],""))</f>
        <v/>
      </c>
      <c r="J24" s="19">
        <f t="array" ref="J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" s="20">
        <f>LEN(非皮卡压缩表[[#This Row],[LONG-TYPE]])</f>
        <v/>
      </c>
      <c r="L24" s="21">
        <f t="array" ref="L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" s="22">
        <f>LEN(非皮卡压缩表[[#This Row],[TYPE]])</f>
        <v/>
      </c>
      <c r="N24" s="22">
        <f t="array" ref="N24">_xlfn.XLOOKUP(非皮卡压缩表[[#This Row],[MODEL]],MODEL缩写表[长MODEL],MODEL缩写表[短MODEL],非皮卡压缩表[[#This Row],[MODEL]])</f>
        <v/>
      </c>
      <c r="O24" s="22">
        <f>LEN(非皮卡压缩表[[#This Row],[SHORT-MODEL]])</f>
        <v/>
      </c>
      <c r="P24" s="11">
        <f t="array" ref="P24">TRIM(_xlfn.XLOOKUP(非皮卡压缩表[[#This Row],[BACKSIZE]],ALL尺码表[内部尺码],ALL尺码表[通用尺码]))</f>
        <v/>
      </c>
    </row>
    <row r="25">
      <c r="A25" s="17" t="inlineStr">
        <is>
          <t>ALL</t>
        </is>
      </c>
      <c r="B25" s="18" t="inlineStr">
        <is>
          <t>Acura TL</t>
        </is>
      </c>
      <c r="C25" s="18" t="inlineStr">
        <is>
          <t>Acura</t>
        </is>
      </c>
      <c r="D25" s="18" t="inlineStr">
        <is>
          <t>TL</t>
        </is>
      </c>
      <c r="E25" s="18" t="inlineStr">
        <is>
          <t>1999-2003</t>
        </is>
      </c>
      <c r="F25" s="18" t="inlineStr">
        <is>
          <t>Type-S</t>
        </is>
      </c>
      <c r="G25" s="18" t="inlineStr">
        <is>
          <t>Sedan</t>
        </is>
      </c>
      <c r="H25" s="18" t="inlineStr">
        <is>
          <t>3XXL</t>
        </is>
      </c>
      <c r="I25" s="19">
        <f t="array" ref="I25">TRIM(_xlfn.XLOOKUP(非皮卡压缩表[[#This Row],[BACKSIZE]],ALL尺码表[内部尺码],ALL尺码表[分类],""))</f>
        <v/>
      </c>
      <c r="J25" s="19">
        <f t="array" ref="J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" s="20">
        <f>LEN(非皮卡压缩表[[#This Row],[LONG-TYPE]])</f>
        <v/>
      </c>
      <c r="L25" s="21">
        <f t="array" ref="L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" s="22">
        <f>LEN(非皮卡压缩表[[#This Row],[TYPE]])</f>
        <v/>
      </c>
      <c r="N25" s="22">
        <f t="array" ref="N25">_xlfn.XLOOKUP(非皮卡压缩表[[#This Row],[MODEL]],MODEL缩写表[长MODEL],MODEL缩写表[短MODEL],非皮卡压缩表[[#This Row],[MODEL]])</f>
        <v/>
      </c>
      <c r="O25" s="22">
        <f>LEN(非皮卡压缩表[[#This Row],[SHORT-MODEL]])</f>
        <v/>
      </c>
      <c r="P25" s="11">
        <f t="array" ref="P25">TRIM(_xlfn.XLOOKUP(非皮卡压缩表[[#This Row],[BACKSIZE]],ALL尺码表[内部尺码],ALL尺码表[通用尺码]))</f>
        <v/>
      </c>
    </row>
    <row r="26">
      <c r="A26" s="17" t="inlineStr">
        <is>
          <t>ALL</t>
        </is>
      </c>
      <c r="B26" s="18" t="inlineStr">
        <is>
          <t>Acura TL</t>
        </is>
      </c>
      <c r="C26" s="18" t="inlineStr">
        <is>
          <t>Acura</t>
        </is>
      </c>
      <c r="D26" s="18" t="inlineStr">
        <is>
          <t>TL</t>
        </is>
      </c>
      <c r="E26" s="18" t="inlineStr">
        <is>
          <t>2004-2008</t>
        </is>
      </c>
      <c r="F26" s="18" t="inlineStr">
        <is>
          <t>Type-S</t>
        </is>
      </c>
      <c r="G26" s="18" t="inlineStr">
        <is>
          <t>Sedan</t>
        </is>
      </c>
      <c r="H26" s="18" t="inlineStr">
        <is>
          <t>3XL</t>
        </is>
      </c>
      <c r="I26" s="19">
        <f t="array" ref="I26">TRIM(_xlfn.XLOOKUP(非皮卡压缩表[[#This Row],[BACKSIZE]],ALL尺码表[内部尺码],ALL尺码表[分类],""))</f>
        <v/>
      </c>
      <c r="J26" s="19">
        <f t="array" ref="J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" s="20">
        <f>LEN(非皮卡压缩表[[#This Row],[LONG-TYPE]])</f>
        <v/>
      </c>
      <c r="L26" s="21">
        <f t="array" ref="L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" s="22">
        <f>LEN(非皮卡压缩表[[#This Row],[TYPE]])</f>
        <v/>
      </c>
      <c r="N26" s="22">
        <f t="array" ref="N26">_xlfn.XLOOKUP(非皮卡压缩表[[#This Row],[MODEL]],MODEL缩写表[长MODEL],MODEL缩写表[短MODEL],非皮卡压缩表[[#This Row],[MODEL]])</f>
        <v/>
      </c>
      <c r="O26" s="22">
        <f>LEN(非皮卡压缩表[[#This Row],[SHORT-MODEL]])</f>
        <v/>
      </c>
      <c r="P26" s="11">
        <f t="array" ref="P26">TRIM(_xlfn.XLOOKUP(非皮卡压缩表[[#This Row],[BACKSIZE]],ALL尺码表[内部尺码],ALL尺码表[通用尺码]))</f>
        <v/>
      </c>
    </row>
    <row r="27">
      <c r="A27" s="17" t="inlineStr">
        <is>
          <t>ALL</t>
        </is>
      </c>
      <c r="B27" s="18" t="inlineStr">
        <is>
          <t>Acura TL</t>
        </is>
      </c>
      <c r="C27" s="18" t="inlineStr">
        <is>
          <t>Acura</t>
        </is>
      </c>
      <c r="D27" s="18" t="inlineStr">
        <is>
          <t>TL</t>
        </is>
      </c>
      <c r="E27" s="18" t="inlineStr">
        <is>
          <t>2009-2014</t>
        </is>
      </c>
      <c r="F27" s="18" t="inlineStr">
        <is>
          <t>SH-AWD</t>
        </is>
      </c>
      <c r="G27" s="18" t="inlineStr">
        <is>
          <t>Sedan</t>
        </is>
      </c>
      <c r="H27" s="18" t="inlineStr">
        <is>
          <t>3XXL</t>
        </is>
      </c>
      <c r="I27" s="19">
        <f t="array" ref="I27">TRIM(_xlfn.XLOOKUP(非皮卡压缩表[[#This Row],[BACKSIZE]],ALL尺码表[内部尺码],ALL尺码表[分类],""))</f>
        <v/>
      </c>
      <c r="J27" s="19">
        <f t="array" ref="J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" s="20">
        <f>LEN(非皮卡压缩表[[#This Row],[LONG-TYPE]])</f>
        <v/>
      </c>
      <c r="L27" s="21">
        <f t="array" ref="L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" s="22">
        <f>LEN(非皮卡压缩表[[#This Row],[TYPE]])</f>
        <v/>
      </c>
      <c r="N27" s="22">
        <f t="array" ref="N27">_xlfn.XLOOKUP(非皮卡压缩表[[#This Row],[MODEL]],MODEL缩写表[长MODEL],MODEL缩写表[短MODEL],非皮卡压缩表[[#This Row],[MODEL]])</f>
        <v/>
      </c>
      <c r="O27" s="22">
        <f>LEN(非皮卡压缩表[[#This Row],[SHORT-MODEL]])</f>
        <v/>
      </c>
      <c r="P27" s="11">
        <f t="array" ref="P27">TRIM(_xlfn.XLOOKUP(非皮卡压缩表[[#This Row],[BACKSIZE]],ALL尺码表[内部尺码],ALL尺码表[通用尺码]))</f>
        <v/>
      </c>
    </row>
    <row r="28">
      <c r="A28" s="17" t="inlineStr">
        <is>
          <t>ALL</t>
        </is>
      </c>
      <c r="B28" s="18" t="inlineStr">
        <is>
          <t>Acura TLX</t>
        </is>
      </c>
      <c r="C28" s="18" t="inlineStr">
        <is>
          <t>Acura</t>
        </is>
      </c>
      <c r="D28" s="18" t="inlineStr">
        <is>
          <t>TLX</t>
        </is>
      </c>
      <c r="E28" s="18" t="inlineStr">
        <is>
          <t>2015-2020</t>
        </is>
      </c>
      <c r="F28" s="18" t="inlineStr"/>
      <c r="G28" s="18" t="inlineStr">
        <is>
          <t>Sedan</t>
        </is>
      </c>
      <c r="H28" s="18" t="inlineStr">
        <is>
          <t>3XL</t>
        </is>
      </c>
      <c r="I28" s="19">
        <f t="array" ref="I28">TRIM(_xlfn.XLOOKUP(非皮卡压缩表[[#This Row],[BACKSIZE]],ALL尺码表[内部尺码],ALL尺码表[分类],""))</f>
        <v/>
      </c>
      <c r="J28" s="19">
        <f t="array" ref="J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" s="20">
        <f>LEN(非皮卡压缩表[[#This Row],[LONG-TYPE]])</f>
        <v/>
      </c>
      <c r="L28" s="21">
        <f t="array" ref="L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" s="22">
        <f>LEN(非皮卡压缩表[[#This Row],[TYPE]])</f>
        <v/>
      </c>
      <c r="N28" s="22">
        <f t="array" ref="N28">_xlfn.XLOOKUP(非皮卡压缩表[[#This Row],[MODEL]],MODEL缩写表[长MODEL],MODEL缩写表[短MODEL],非皮卡压缩表[[#This Row],[MODEL]])</f>
        <v/>
      </c>
      <c r="O28" s="22">
        <f>LEN(非皮卡压缩表[[#This Row],[SHORT-MODEL]])</f>
        <v/>
      </c>
      <c r="P28" s="11">
        <f t="array" ref="P28">TRIM(_xlfn.XLOOKUP(非皮卡压缩表[[#This Row],[BACKSIZE]],ALL尺码表[内部尺码],ALL尺码表[通用尺码]))</f>
        <v/>
      </c>
    </row>
    <row r="29">
      <c r="A29" s="17" t="inlineStr">
        <is>
          <t>ALL</t>
        </is>
      </c>
      <c r="B29" s="18" t="inlineStr">
        <is>
          <t>Acura TLX</t>
        </is>
      </c>
      <c r="C29" s="18" t="inlineStr">
        <is>
          <t>Acura</t>
        </is>
      </c>
      <c r="D29" s="18" t="inlineStr">
        <is>
          <t>TLX</t>
        </is>
      </c>
      <c r="E29" s="18" t="inlineStr">
        <is>
          <t>2021-2025</t>
        </is>
      </c>
      <c r="F29" s="18" t="inlineStr">
        <is>
          <t>Type S</t>
        </is>
      </c>
      <c r="G29" s="18" t="inlineStr">
        <is>
          <t>Sedan</t>
        </is>
      </c>
      <c r="H29" s="18" t="inlineStr">
        <is>
          <t>3XXL</t>
        </is>
      </c>
      <c r="I29" s="19">
        <f t="array" ref="I29">TRIM(_xlfn.XLOOKUP(非皮卡压缩表[[#This Row],[BACKSIZE]],ALL尺码表[内部尺码],ALL尺码表[分类],""))</f>
        <v/>
      </c>
      <c r="J29" s="19">
        <f t="array" ref="J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" s="20">
        <f>LEN(非皮卡压缩表[[#This Row],[LONG-TYPE]])</f>
        <v/>
      </c>
      <c r="L29" s="21">
        <f t="array" ref="L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" s="22">
        <f>LEN(非皮卡压缩表[[#This Row],[TYPE]])</f>
        <v/>
      </c>
      <c r="N29" s="22">
        <f t="array" ref="N29">_xlfn.XLOOKUP(非皮卡压缩表[[#This Row],[MODEL]],MODEL缩写表[长MODEL],MODEL缩写表[短MODEL],非皮卡压缩表[[#This Row],[MODEL]])</f>
        <v/>
      </c>
      <c r="O29" s="22">
        <f>LEN(非皮卡压缩表[[#This Row],[SHORT-MODEL]])</f>
        <v/>
      </c>
      <c r="P29" s="11">
        <f t="array" ref="P29">TRIM(_xlfn.XLOOKUP(非皮卡压缩表[[#This Row],[BACKSIZE]],ALL尺码表[内部尺码],ALL尺码表[通用尺码]))</f>
        <v/>
      </c>
    </row>
    <row r="30">
      <c r="A30" s="17" t="inlineStr">
        <is>
          <t>ALL</t>
        </is>
      </c>
      <c r="B30" s="18" t="inlineStr">
        <is>
          <t>Acura TSX</t>
        </is>
      </c>
      <c r="C30" s="18" t="inlineStr">
        <is>
          <t>Acura</t>
        </is>
      </c>
      <c r="D30" s="18" t="inlineStr">
        <is>
          <t>TSX</t>
        </is>
      </c>
      <c r="E30" s="18" t="inlineStr">
        <is>
          <t>2004-2008</t>
        </is>
      </c>
      <c r="F30" s="18" t="inlineStr"/>
      <c r="G30" s="18" t="inlineStr">
        <is>
          <t>Sedan</t>
        </is>
      </c>
      <c r="H30" s="18" t="inlineStr">
        <is>
          <t>3L</t>
        </is>
      </c>
      <c r="I30" s="19">
        <f t="array" ref="I30">TRIM(_xlfn.XLOOKUP(非皮卡压缩表[[#This Row],[BACKSIZE]],ALL尺码表[内部尺码],ALL尺码表[分类],""))</f>
        <v/>
      </c>
      <c r="J30" s="19">
        <f t="array" ref="J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" s="20">
        <f>LEN(非皮卡压缩表[[#This Row],[LONG-TYPE]])</f>
        <v/>
      </c>
      <c r="L30" s="21">
        <f t="array" ref="L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" s="22">
        <f>LEN(非皮卡压缩表[[#This Row],[TYPE]])</f>
        <v/>
      </c>
      <c r="N30" s="22">
        <f t="array" ref="N30">_xlfn.XLOOKUP(非皮卡压缩表[[#This Row],[MODEL]],MODEL缩写表[长MODEL],MODEL缩写表[短MODEL],非皮卡压缩表[[#This Row],[MODEL]])</f>
        <v/>
      </c>
      <c r="O30" s="22">
        <f>LEN(非皮卡压缩表[[#This Row],[SHORT-MODEL]])</f>
        <v/>
      </c>
      <c r="P30" s="11">
        <f t="array" ref="P30">TRIM(_xlfn.XLOOKUP(非皮卡压缩表[[#This Row],[BACKSIZE]],ALL尺码表[内部尺码],ALL尺码表[通用尺码]))</f>
        <v/>
      </c>
    </row>
    <row r="31">
      <c r="A31" s="17" t="inlineStr">
        <is>
          <t>ALL</t>
        </is>
      </c>
      <c r="B31" s="18" t="inlineStr">
        <is>
          <t>Acura TSX</t>
        </is>
      </c>
      <c r="C31" s="18" t="inlineStr">
        <is>
          <t>Acura</t>
        </is>
      </c>
      <c r="D31" s="18" t="inlineStr">
        <is>
          <t>TSX</t>
        </is>
      </c>
      <c r="E31" s="18" t="inlineStr">
        <is>
          <t>2009-2014</t>
        </is>
      </c>
      <c r="F31" s="18" t="inlineStr"/>
      <c r="G31" s="18" t="inlineStr">
        <is>
          <t>Sedan</t>
        </is>
      </c>
      <c r="H31" s="18" t="inlineStr">
        <is>
          <t>3XL</t>
        </is>
      </c>
      <c r="I31" s="19">
        <f t="array" ref="I31">TRIM(_xlfn.XLOOKUP(非皮卡压缩表[[#This Row],[BACKSIZE]],ALL尺码表[内部尺码],ALL尺码表[分类],""))</f>
        <v/>
      </c>
      <c r="J31" s="19">
        <f t="array" ref="J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" s="20">
        <f>LEN(非皮卡压缩表[[#This Row],[LONG-TYPE]])</f>
        <v/>
      </c>
      <c r="L31" s="21">
        <f t="array" ref="L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" s="22">
        <f>LEN(非皮卡压缩表[[#This Row],[TYPE]])</f>
        <v/>
      </c>
      <c r="N31" s="22">
        <f t="array" ref="N31">_xlfn.XLOOKUP(非皮卡压缩表[[#This Row],[MODEL]],MODEL缩写表[长MODEL],MODEL缩写表[短MODEL],非皮卡压缩表[[#This Row],[MODEL]])</f>
        <v/>
      </c>
      <c r="O31" s="22">
        <f>LEN(非皮卡压缩表[[#This Row],[SHORT-MODEL]])</f>
        <v/>
      </c>
      <c r="P31" s="11">
        <f t="array" ref="P31">TRIM(_xlfn.XLOOKUP(非皮卡压缩表[[#This Row],[BACKSIZE]],ALL尺码表[内部尺码],ALL尺码表[通用尺码]))</f>
        <v/>
      </c>
    </row>
    <row r="32">
      <c r="A32" s="17" t="inlineStr">
        <is>
          <t>ALL</t>
        </is>
      </c>
      <c r="B32" s="18" t="inlineStr">
        <is>
          <t>Acura TSX</t>
        </is>
      </c>
      <c r="C32" s="18" t="inlineStr">
        <is>
          <t>Acura</t>
        </is>
      </c>
      <c r="D32" s="18" t="inlineStr">
        <is>
          <t>TSX</t>
        </is>
      </c>
      <c r="E32" s="18" t="inlineStr">
        <is>
          <t>2011-2014</t>
        </is>
      </c>
      <c r="F32" s="18" t="inlineStr"/>
      <c r="G32" s="18" t="inlineStr">
        <is>
          <t>Wagon</t>
        </is>
      </c>
      <c r="H32" s="18" t="inlineStr">
        <is>
          <t>2XL</t>
        </is>
      </c>
      <c r="I32" s="19">
        <f t="array" ref="I32">TRIM(_xlfn.XLOOKUP(非皮卡压缩表[[#This Row],[BACKSIZE]],ALL尺码表[内部尺码],ALL尺码表[分类],""))</f>
        <v/>
      </c>
      <c r="J32" s="19">
        <f t="array" ref="J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" s="20">
        <f>LEN(非皮卡压缩表[[#This Row],[LONG-TYPE]])</f>
        <v/>
      </c>
      <c r="L32" s="21">
        <f t="array" ref="L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" s="22">
        <f>LEN(非皮卡压缩表[[#This Row],[TYPE]])</f>
        <v/>
      </c>
      <c r="N32" s="22">
        <f t="array" ref="N32">_xlfn.XLOOKUP(非皮卡压缩表[[#This Row],[MODEL]],MODEL缩写表[长MODEL],MODEL缩写表[短MODEL],非皮卡压缩表[[#This Row],[MODEL]])</f>
        <v/>
      </c>
      <c r="O32" s="22">
        <f>LEN(非皮卡压缩表[[#This Row],[SHORT-MODEL]])</f>
        <v/>
      </c>
      <c r="P32" s="11">
        <f t="array" ref="P32">TRIM(_xlfn.XLOOKUP(非皮卡压缩表[[#This Row],[BACKSIZE]],ALL尺码表[内部尺码],ALL尺码表[通用尺码]))</f>
        <v/>
      </c>
    </row>
    <row r="33">
      <c r="A33" s="17" t="inlineStr">
        <is>
          <t>ALL</t>
        </is>
      </c>
      <c r="B33" s="18" t="inlineStr">
        <is>
          <t>Acura ZDX</t>
        </is>
      </c>
      <c r="C33" s="18" t="inlineStr">
        <is>
          <t>Acura</t>
        </is>
      </c>
      <c r="D33" s="18" t="inlineStr">
        <is>
          <t>ZDX</t>
        </is>
      </c>
      <c r="E33" s="18" t="inlineStr">
        <is>
          <t>2010-2025</t>
        </is>
      </c>
      <c r="F33" s="18" t="inlineStr"/>
      <c r="G33" s="18" t="inlineStr">
        <is>
          <t>Coupe SUV/SUV</t>
        </is>
      </c>
      <c r="H33" s="18" t="inlineStr">
        <is>
          <t>YXL</t>
        </is>
      </c>
      <c r="I33" s="19">
        <f t="array" ref="I33">TRIM(_xlfn.XLOOKUP(非皮卡压缩表[[#This Row],[BACKSIZE]],ALL尺码表[内部尺码],ALL尺码表[分类],""))</f>
        <v/>
      </c>
      <c r="J33" s="19">
        <f t="array" ref="J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" s="20">
        <f>LEN(非皮卡压缩表[[#This Row],[LONG-TYPE]])</f>
        <v/>
      </c>
      <c r="L33" s="21">
        <f t="array" ref="L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" s="22">
        <f>LEN(非皮卡压缩表[[#This Row],[TYPE]])</f>
        <v/>
      </c>
      <c r="N33" s="22">
        <f t="array" ref="N33">_xlfn.XLOOKUP(非皮卡压缩表[[#This Row],[MODEL]],MODEL缩写表[长MODEL],MODEL缩写表[短MODEL],非皮卡压缩表[[#This Row],[MODEL]])</f>
        <v/>
      </c>
      <c r="O33" s="22">
        <f>LEN(非皮卡压缩表[[#This Row],[SHORT-MODEL]])</f>
        <v/>
      </c>
      <c r="P33" s="11">
        <f t="array" ref="P33">TRIM(_xlfn.XLOOKUP(非皮卡压缩表[[#This Row],[BACKSIZE]],ALL尺码表[内部尺码],ALL尺码表[通用尺码]))</f>
        <v/>
      </c>
    </row>
    <row r="34">
      <c r="A34" s="17" t="inlineStr">
        <is>
          <t>ALL</t>
        </is>
      </c>
      <c r="B34" s="18" t="inlineStr">
        <is>
          <t>Alfa Romeo 4C</t>
        </is>
      </c>
      <c r="C34" s="18" t="inlineStr">
        <is>
          <t>Alfa Romeo</t>
        </is>
      </c>
      <c r="D34" s="18" t="inlineStr">
        <is>
          <t>4C</t>
        </is>
      </c>
      <c r="E34" s="18" t="inlineStr">
        <is>
          <t>2015-2020</t>
        </is>
      </c>
      <c r="F34" s="18" t="inlineStr"/>
      <c r="G34" s="18" t="inlineStr">
        <is>
          <t>Convertible/Coupe</t>
        </is>
      </c>
      <c r="H34" s="18" t="inlineStr">
        <is>
          <t>3S-0</t>
        </is>
      </c>
      <c r="I34" s="19">
        <f t="array" ref="I34">TRIM(_xlfn.XLOOKUP(非皮卡压缩表[[#This Row],[BACKSIZE]],ALL尺码表[内部尺码],ALL尺码表[分类],""))</f>
        <v/>
      </c>
      <c r="J34" s="19">
        <f t="array" ref="J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" s="20">
        <f>LEN(非皮卡压缩表[[#This Row],[LONG-TYPE]])</f>
        <v/>
      </c>
      <c r="L34" s="21">
        <f t="array" ref="L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" s="22">
        <f>LEN(非皮卡压缩表[[#This Row],[TYPE]])</f>
        <v/>
      </c>
      <c r="N34" s="22">
        <f t="array" ref="N34">_xlfn.XLOOKUP(非皮卡压缩表[[#This Row],[MODEL]],MODEL缩写表[长MODEL],MODEL缩写表[短MODEL],非皮卡压缩表[[#This Row],[MODEL]])</f>
        <v/>
      </c>
      <c r="O34" s="22">
        <f>LEN(非皮卡压缩表[[#This Row],[SHORT-MODEL]])</f>
        <v/>
      </c>
      <c r="P34" s="11">
        <f t="array" ref="P34">TRIM(_xlfn.XLOOKUP(非皮卡压缩表[[#This Row],[BACKSIZE]],ALL尺码表[内部尺码],ALL尺码表[通用尺码]))</f>
        <v/>
      </c>
    </row>
    <row r="35">
      <c r="A35" s="17" t="inlineStr">
        <is>
          <t>ALL</t>
        </is>
      </c>
      <c r="B35" s="18" t="inlineStr">
        <is>
          <t>Alfa Romeo GIULIA</t>
        </is>
      </c>
      <c r="C35" s="18" t="inlineStr">
        <is>
          <t>Alfa Romeo</t>
        </is>
      </c>
      <c r="D35" s="18" t="inlineStr">
        <is>
          <t>GIULIA</t>
        </is>
      </c>
      <c r="E35" s="18" t="inlineStr">
        <is>
          <t>2017-2026</t>
        </is>
      </c>
      <c r="F35" s="18" t="inlineStr">
        <is>
          <t>Incl: Quadrifoglio</t>
        </is>
      </c>
      <c r="G35" s="18" t="inlineStr">
        <is>
          <t>Sedan</t>
        </is>
      </c>
      <c r="H35" s="18" t="inlineStr">
        <is>
          <t>3L</t>
        </is>
      </c>
      <c r="I35" s="19">
        <f t="array" ref="I35">TRIM(_xlfn.XLOOKUP(非皮卡压缩表[[#This Row],[BACKSIZE]],ALL尺码表[内部尺码],ALL尺码表[分类],""))</f>
        <v/>
      </c>
      <c r="J35" s="19">
        <f t="array" ref="J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" s="20">
        <f>LEN(非皮卡压缩表[[#This Row],[LONG-TYPE]])</f>
        <v/>
      </c>
      <c r="L35" s="21">
        <f t="array" ref="L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" s="22">
        <f>LEN(非皮卡压缩表[[#This Row],[TYPE]])</f>
        <v/>
      </c>
      <c r="N35" s="22">
        <f t="array" ref="N35">_xlfn.XLOOKUP(非皮卡压缩表[[#This Row],[MODEL]],MODEL缩写表[长MODEL],MODEL缩写表[短MODEL],非皮卡压缩表[[#This Row],[MODEL]])</f>
        <v/>
      </c>
      <c r="O35" s="22">
        <f>LEN(非皮卡压缩表[[#This Row],[SHORT-MODEL]])</f>
        <v/>
      </c>
      <c r="P35" s="11">
        <f t="array" ref="P35">TRIM(_xlfn.XLOOKUP(非皮卡压缩表[[#This Row],[BACKSIZE]],ALL尺码表[内部尺码],ALL尺码表[通用尺码]))</f>
        <v/>
      </c>
    </row>
    <row r="36">
      <c r="A36" s="17" t="inlineStr">
        <is>
          <t>ALL</t>
        </is>
      </c>
      <c r="B36" s="18" t="inlineStr">
        <is>
          <t>Alfa Romeo Stelvio</t>
        </is>
      </c>
      <c r="C36" s="18" t="inlineStr">
        <is>
          <t>Alfa Romeo</t>
        </is>
      </c>
      <c r="D36" s="18" t="inlineStr">
        <is>
          <t>Stelvio</t>
        </is>
      </c>
      <c r="E36" s="18" t="inlineStr">
        <is>
          <t>2018-2026</t>
        </is>
      </c>
      <c r="F36" s="18" t="inlineStr"/>
      <c r="G36" s="18" t="inlineStr">
        <is>
          <t>SUV</t>
        </is>
      </c>
      <c r="H36" s="18" t="inlineStr">
        <is>
          <t>YL</t>
        </is>
      </c>
      <c r="I36" s="19">
        <f t="array" ref="I36">TRIM(_xlfn.XLOOKUP(非皮卡压缩表[[#This Row],[BACKSIZE]],ALL尺码表[内部尺码],ALL尺码表[分类],""))</f>
        <v/>
      </c>
      <c r="J36" s="19">
        <f t="array" ref="J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" s="20">
        <f>LEN(非皮卡压缩表[[#This Row],[LONG-TYPE]])</f>
        <v/>
      </c>
      <c r="L36" s="21">
        <f t="array" ref="L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" s="22">
        <f>LEN(非皮卡压缩表[[#This Row],[TYPE]])</f>
        <v/>
      </c>
      <c r="N36" s="22">
        <f t="array" ref="N36">_xlfn.XLOOKUP(非皮卡压缩表[[#This Row],[MODEL]],MODEL缩写表[长MODEL],MODEL缩写表[短MODEL],非皮卡压缩表[[#This Row],[MODEL]])</f>
        <v/>
      </c>
      <c r="O36" s="22">
        <f>LEN(非皮卡压缩表[[#This Row],[SHORT-MODEL]])</f>
        <v/>
      </c>
      <c r="P36" s="11">
        <f t="array" ref="P36">TRIM(_xlfn.XLOOKUP(非皮卡压缩表[[#This Row],[BACKSIZE]],ALL尺码表[内部尺码],ALL尺码表[通用尺码]))</f>
        <v/>
      </c>
    </row>
    <row r="37">
      <c r="A37" s="17" t="inlineStr">
        <is>
          <t>ALL</t>
        </is>
      </c>
      <c r="B37" s="18" t="inlineStr">
        <is>
          <t>Alfa Romeo Tonale</t>
        </is>
      </c>
      <c r="C37" s="18" t="inlineStr">
        <is>
          <t>Alfa Romeo</t>
        </is>
      </c>
      <c r="D37" s="18" t="inlineStr">
        <is>
          <t>Tonale</t>
        </is>
      </c>
      <c r="E37" s="18" t="inlineStr">
        <is>
          <t>2024-2026</t>
        </is>
      </c>
      <c r="F37" s="18" t="inlineStr"/>
      <c r="G37" s="18" t="inlineStr">
        <is>
          <t>SUV</t>
        </is>
      </c>
      <c r="H37" s="18" t="inlineStr">
        <is>
          <t>YM+</t>
        </is>
      </c>
      <c r="I37" s="19">
        <f t="array" ref="I37">TRIM(_xlfn.XLOOKUP(非皮卡压缩表[[#This Row],[BACKSIZE]],ALL尺码表[内部尺码],ALL尺码表[分类],""))</f>
        <v/>
      </c>
      <c r="J37" s="19">
        <f t="array" ref="J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" s="20">
        <f>LEN(非皮卡压缩表[[#This Row],[LONG-TYPE]])</f>
        <v/>
      </c>
      <c r="L37" s="21">
        <f t="array" ref="L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" s="22">
        <f>LEN(非皮卡压缩表[[#This Row],[TYPE]])</f>
        <v/>
      </c>
      <c r="N37" s="22">
        <f t="array" ref="N37">_xlfn.XLOOKUP(非皮卡压缩表[[#This Row],[MODEL]],MODEL缩写表[长MODEL],MODEL缩写表[短MODEL],非皮卡压缩表[[#This Row],[MODEL]])</f>
        <v/>
      </c>
      <c r="O37" s="22">
        <f>LEN(非皮卡压缩表[[#This Row],[SHORT-MODEL]])</f>
        <v/>
      </c>
      <c r="P37" s="11">
        <f t="array" ref="P37">TRIM(_xlfn.XLOOKUP(非皮卡压缩表[[#This Row],[BACKSIZE]],ALL尺码表[内部尺码],ALL尺码表[通用尺码]))</f>
        <v/>
      </c>
    </row>
    <row r="38">
      <c r="A38" s="17" t="inlineStr">
        <is>
          <t>ALL</t>
        </is>
      </c>
      <c r="B38" s="18" t="inlineStr">
        <is>
          <t>Audi 90</t>
        </is>
      </c>
      <c r="C38" s="18" t="inlineStr">
        <is>
          <t>Audi</t>
        </is>
      </c>
      <c r="D38" s="18" t="inlineStr">
        <is>
          <t>90</t>
        </is>
      </c>
      <c r="E38" s="18" t="inlineStr">
        <is>
          <t>1995</t>
        </is>
      </c>
      <c r="F38" s="18" t="inlineStr"/>
      <c r="G38" s="18" t="inlineStr">
        <is>
          <t>Sedan</t>
        </is>
      </c>
      <c r="H38" s="18" t="inlineStr">
        <is>
          <t>3L</t>
        </is>
      </c>
      <c r="I38" s="19">
        <f t="array" ref="I38">TRIM(_xlfn.XLOOKUP(非皮卡压缩表[[#This Row],[BACKSIZE]],ALL尺码表[内部尺码],ALL尺码表[分类],""))</f>
        <v/>
      </c>
      <c r="J38" s="19">
        <f t="array" ref="J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" s="20">
        <f>LEN(非皮卡压缩表[[#This Row],[LONG-TYPE]])</f>
        <v/>
      </c>
      <c r="L38" s="21">
        <f t="array" ref="L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" s="22">
        <f>LEN(非皮卡压缩表[[#This Row],[TYPE]])</f>
        <v/>
      </c>
      <c r="N38" s="22">
        <f t="array" ref="N38">_xlfn.XLOOKUP(非皮卡压缩表[[#This Row],[MODEL]],MODEL缩写表[长MODEL],MODEL缩写表[短MODEL],非皮卡压缩表[[#This Row],[MODEL]])</f>
        <v/>
      </c>
      <c r="O38" s="22">
        <f>LEN(非皮卡压缩表[[#This Row],[SHORT-MODEL]])</f>
        <v/>
      </c>
      <c r="P38" s="11">
        <f t="array" ref="P38">TRIM(_xlfn.XLOOKUP(非皮卡压缩表[[#This Row],[BACKSIZE]],ALL尺码表[内部尺码],ALL尺码表[通用尺码]))</f>
        <v/>
      </c>
    </row>
    <row r="39">
      <c r="A39" s="17" t="inlineStr">
        <is>
          <t>ALL</t>
        </is>
      </c>
      <c r="B39" s="18" t="inlineStr">
        <is>
          <t>Audi A3</t>
        </is>
      </c>
      <c r="C39" s="18" t="inlineStr">
        <is>
          <t>Audi</t>
        </is>
      </c>
      <c r="D39" s="18" t="inlineStr">
        <is>
          <t>A3</t>
        </is>
      </c>
      <c r="E39" s="18" t="inlineStr">
        <is>
          <t>2006-2013</t>
        </is>
      </c>
      <c r="F39" s="18" t="inlineStr"/>
      <c r="G39" s="18" t="inlineStr">
        <is>
          <t>Hatchback</t>
        </is>
      </c>
      <c r="H39" s="18" t="inlineStr">
        <is>
          <t>2L+</t>
        </is>
      </c>
      <c r="I39" s="19">
        <f t="array" ref="I39">TRIM(_xlfn.XLOOKUP(非皮卡压缩表[[#This Row],[BACKSIZE]],ALL尺码表[内部尺码],ALL尺码表[分类],""))</f>
        <v/>
      </c>
      <c r="J39" s="19">
        <f t="array" ref="J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" s="20">
        <f>LEN(非皮卡压缩表[[#This Row],[LONG-TYPE]])</f>
        <v/>
      </c>
      <c r="L39" s="21">
        <f t="array" ref="L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" s="22">
        <f>LEN(非皮卡压缩表[[#This Row],[TYPE]])</f>
        <v/>
      </c>
      <c r="N39" s="22">
        <f t="array" ref="N39">_xlfn.XLOOKUP(非皮卡压缩表[[#This Row],[MODEL]],MODEL缩写表[长MODEL],MODEL缩写表[短MODEL],非皮卡压缩表[[#This Row],[MODEL]])</f>
        <v/>
      </c>
      <c r="O39" s="22">
        <f>LEN(非皮卡压缩表[[#This Row],[SHORT-MODEL]])</f>
        <v/>
      </c>
      <c r="P39" s="11">
        <f t="array" ref="P39">TRIM(_xlfn.XLOOKUP(非皮卡压缩表[[#This Row],[BACKSIZE]],ALL尺码表[内部尺码],ALL尺码表[通用尺码]))</f>
        <v/>
      </c>
    </row>
    <row r="40">
      <c r="A40" s="17" t="inlineStr">
        <is>
          <t>ALL</t>
        </is>
      </c>
      <c r="B40" s="18" t="inlineStr">
        <is>
          <t>Audi A3 e-tron</t>
        </is>
      </c>
      <c r="C40" s="18" t="inlineStr">
        <is>
          <t>Audi</t>
        </is>
      </c>
      <c r="D40" s="18" t="inlineStr">
        <is>
          <t>A3 e-tron</t>
        </is>
      </c>
      <c r="E40" s="18" t="inlineStr">
        <is>
          <t>2016-2018</t>
        </is>
      </c>
      <c r="F40" s="18" t="inlineStr"/>
      <c r="G40" s="18" t="inlineStr">
        <is>
          <t>Sportback</t>
        </is>
      </c>
      <c r="H40" s="18" t="inlineStr">
        <is>
          <t>2L+</t>
        </is>
      </c>
      <c r="I40" s="19">
        <f t="array" ref="I40">TRIM(_xlfn.XLOOKUP(非皮卡压缩表[[#This Row],[BACKSIZE]],ALL尺码表[内部尺码],ALL尺码表[分类],""))</f>
        <v/>
      </c>
      <c r="J40" s="19">
        <f t="array" ref="J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" s="20">
        <f>LEN(非皮卡压缩表[[#This Row],[LONG-TYPE]])</f>
        <v/>
      </c>
      <c r="L40" s="21">
        <f t="array" ref="L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" s="22">
        <f>LEN(非皮卡压缩表[[#This Row],[TYPE]])</f>
        <v/>
      </c>
      <c r="N40" s="22">
        <f t="array" ref="N40">_xlfn.XLOOKUP(非皮卡压缩表[[#This Row],[MODEL]],MODEL缩写表[长MODEL],MODEL缩写表[短MODEL],非皮卡压缩表[[#This Row],[MODEL]])</f>
        <v/>
      </c>
      <c r="O40" s="22">
        <f>LEN(非皮卡压缩表[[#This Row],[SHORT-MODEL]])</f>
        <v/>
      </c>
      <c r="P40" s="11">
        <f t="array" ref="P40">TRIM(_xlfn.XLOOKUP(非皮卡压缩表[[#This Row],[BACKSIZE]],ALL尺码表[内部尺码],ALL尺码表[通用尺码]))</f>
        <v/>
      </c>
    </row>
    <row r="41">
      <c r="A41" s="17" t="inlineStr">
        <is>
          <t>ALL</t>
        </is>
      </c>
      <c r="B41" s="18" t="inlineStr">
        <is>
          <t>Audi A3/S3</t>
        </is>
      </c>
      <c r="C41" s="18" t="inlineStr">
        <is>
          <t>Audi</t>
        </is>
      </c>
      <c r="D41" s="18" t="inlineStr">
        <is>
          <t>A3/S3</t>
        </is>
      </c>
      <c r="E41" s="18" t="inlineStr">
        <is>
          <t>2015-2016</t>
        </is>
      </c>
      <c r="F41" s="18" t="inlineStr"/>
      <c r="G41" s="18" t="inlineStr">
        <is>
          <t>Sedan</t>
        </is>
      </c>
      <c r="H41" s="18" t="inlineStr">
        <is>
          <t>3L</t>
        </is>
      </c>
      <c r="I41" s="19">
        <f t="array" ref="I41">TRIM(_xlfn.XLOOKUP(非皮卡压缩表[[#This Row],[BACKSIZE]],ALL尺码表[内部尺码],ALL尺码表[分类],""))</f>
        <v/>
      </c>
      <c r="J41" s="19">
        <f t="array" ref="J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" s="20">
        <f>LEN(非皮卡压缩表[[#This Row],[LONG-TYPE]])</f>
        <v/>
      </c>
      <c r="L41" s="21">
        <f t="array" ref="L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" s="22">
        <f>LEN(非皮卡压缩表[[#This Row],[TYPE]])</f>
        <v/>
      </c>
      <c r="N41" s="22">
        <f t="array" ref="N41">_xlfn.XLOOKUP(非皮卡压缩表[[#This Row],[MODEL]],MODEL缩写表[长MODEL],MODEL缩写表[短MODEL],非皮卡压缩表[[#This Row],[MODEL]])</f>
        <v/>
      </c>
      <c r="O41" s="22">
        <f>LEN(非皮卡压缩表[[#This Row],[SHORT-MODEL]])</f>
        <v/>
      </c>
      <c r="P41" s="11">
        <f t="array" ref="P41">TRIM(_xlfn.XLOOKUP(非皮卡压缩表[[#This Row],[BACKSIZE]],ALL尺码表[内部尺码],ALL尺码表[通用尺码]))</f>
        <v/>
      </c>
    </row>
    <row r="42">
      <c r="A42" s="17" t="inlineStr">
        <is>
          <t>ALL</t>
        </is>
      </c>
      <c r="B42" s="18" t="inlineStr">
        <is>
          <t>Audi A3/S3/RS3</t>
        </is>
      </c>
      <c r="C42" s="18" t="inlineStr">
        <is>
          <t>Audi</t>
        </is>
      </c>
      <c r="D42" s="18" t="inlineStr">
        <is>
          <t>A3/S3/RS3</t>
        </is>
      </c>
      <c r="E42" s="18" t="inlineStr">
        <is>
          <t>2017-2026</t>
        </is>
      </c>
      <c r="F42" s="18" t="inlineStr"/>
      <c r="G42" s="18" t="inlineStr">
        <is>
          <t>Sedan</t>
        </is>
      </c>
      <c r="H42" s="18" t="inlineStr">
        <is>
          <t>3L</t>
        </is>
      </c>
      <c r="I42" s="19">
        <f t="array" ref="I42">TRIM(_xlfn.XLOOKUP(非皮卡压缩表[[#This Row],[BACKSIZE]],ALL尺码表[内部尺码],ALL尺码表[分类],""))</f>
        <v/>
      </c>
      <c r="J42" s="19">
        <f t="array" ref="J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" s="20">
        <f>LEN(非皮卡压缩表[[#This Row],[LONG-TYPE]])</f>
        <v/>
      </c>
      <c r="L42" s="21">
        <f t="array" ref="L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" s="22">
        <f>LEN(非皮卡压缩表[[#This Row],[TYPE]])</f>
        <v/>
      </c>
      <c r="N42" s="22">
        <f t="array" ref="N42">_xlfn.XLOOKUP(非皮卡压缩表[[#This Row],[MODEL]],MODEL缩写表[长MODEL],MODEL缩写表[短MODEL],非皮卡压缩表[[#This Row],[MODEL]])</f>
        <v/>
      </c>
      <c r="O42" s="22">
        <f>LEN(非皮卡压缩表[[#This Row],[SHORT-MODEL]])</f>
        <v/>
      </c>
      <c r="P42" s="11">
        <f t="array" ref="P42">TRIM(_xlfn.XLOOKUP(非皮卡压缩表[[#This Row],[BACKSIZE]],ALL尺码表[内部尺码],ALL尺码表[通用尺码]))</f>
        <v/>
      </c>
    </row>
    <row r="43">
      <c r="A43" s="17" t="inlineStr">
        <is>
          <t>ALL</t>
        </is>
      </c>
      <c r="B43" s="18" t="inlineStr">
        <is>
          <t>Audi A4</t>
        </is>
      </c>
      <c r="C43" s="18" t="inlineStr">
        <is>
          <t>Audi</t>
        </is>
      </c>
      <c r="D43" s="18" t="inlineStr">
        <is>
          <t>A4</t>
        </is>
      </c>
      <c r="E43" s="18" t="inlineStr">
        <is>
          <t>1996-2003</t>
        </is>
      </c>
      <c r="F43" s="18" t="inlineStr"/>
      <c r="G43" s="18" t="inlineStr">
        <is>
          <t>Sedan</t>
        </is>
      </c>
      <c r="H43" s="18" t="inlineStr">
        <is>
          <t>3L</t>
        </is>
      </c>
      <c r="I43" s="19">
        <f t="array" ref="I43">TRIM(_xlfn.XLOOKUP(非皮卡压缩表[[#This Row],[BACKSIZE]],ALL尺码表[内部尺码],ALL尺码表[分类],""))</f>
        <v/>
      </c>
      <c r="J43" s="19">
        <f t="array" ref="J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" s="20">
        <f>LEN(非皮卡压缩表[[#This Row],[LONG-TYPE]])</f>
        <v/>
      </c>
      <c r="L43" s="21">
        <f t="array" ref="L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" s="22">
        <f>LEN(非皮卡压缩表[[#This Row],[TYPE]])</f>
        <v/>
      </c>
      <c r="N43" s="22">
        <f t="array" ref="N43">_xlfn.XLOOKUP(非皮卡压缩表[[#This Row],[MODEL]],MODEL缩写表[长MODEL],MODEL缩写表[短MODEL],非皮卡压缩表[[#This Row],[MODEL]])</f>
        <v/>
      </c>
      <c r="O43" s="22">
        <f>LEN(非皮卡压缩表[[#This Row],[SHORT-MODEL]])</f>
        <v/>
      </c>
      <c r="P43" s="11">
        <f t="array" ref="P43">TRIM(_xlfn.XLOOKUP(非皮卡压缩表[[#This Row],[BACKSIZE]],ALL尺码表[内部尺码],ALL尺码表[通用尺码]))</f>
        <v/>
      </c>
    </row>
    <row r="44">
      <c r="A44" s="17" t="inlineStr">
        <is>
          <t>ALL</t>
        </is>
      </c>
      <c r="B44" s="18" t="inlineStr">
        <is>
          <t>Audi A4</t>
        </is>
      </c>
      <c r="C44" s="18" t="inlineStr">
        <is>
          <t>Audi</t>
        </is>
      </c>
      <c r="D44" s="18" t="inlineStr">
        <is>
          <t>A4</t>
        </is>
      </c>
      <c r="E44" s="18" t="inlineStr">
        <is>
          <t>1999</t>
        </is>
      </c>
      <c r="F44" s="18" t="inlineStr"/>
      <c r="G44" s="18" t="inlineStr">
        <is>
          <t>Wagon</t>
        </is>
      </c>
      <c r="H44" s="18" t="inlineStr">
        <is>
          <t>2L+</t>
        </is>
      </c>
      <c r="I44" s="19">
        <f t="array" ref="I44">TRIM(_xlfn.XLOOKUP(非皮卡压缩表[[#This Row],[BACKSIZE]],ALL尺码表[内部尺码],ALL尺码表[分类],""))</f>
        <v/>
      </c>
      <c r="J44" s="19">
        <f t="array" ref="J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" s="20">
        <f>LEN(非皮卡压缩表[[#This Row],[LONG-TYPE]])</f>
        <v/>
      </c>
      <c r="L44" s="21">
        <f t="array" ref="L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" s="22">
        <f>LEN(非皮卡压缩表[[#This Row],[TYPE]])</f>
        <v/>
      </c>
      <c r="N44" s="22">
        <f t="array" ref="N44">_xlfn.XLOOKUP(非皮卡压缩表[[#This Row],[MODEL]],MODEL缩写表[长MODEL],MODEL缩写表[短MODEL],非皮卡压缩表[[#This Row],[MODEL]])</f>
        <v/>
      </c>
      <c r="O44" s="22">
        <f>LEN(非皮卡压缩表[[#This Row],[SHORT-MODEL]])</f>
        <v/>
      </c>
      <c r="P44" s="11">
        <f t="array" ref="P44">TRIM(_xlfn.XLOOKUP(非皮卡压缩表[[#This Row],[BACKSIZE]],ALL尺码表[内部尺码],ALL尺码表[通用尺码]))</f>
        <v/>
      </c>
    </row>
    <row r="45">
      <c r="A45" s="17" t="inlineStr">
        <is>
          <t>ALL</t>
        </is>
      </c>
      <c r="B45" s="18" t="inlineStr">
        <is>
          <t>Audi A4</t>
        </is>
      </c>
      <c r="C45" s="18" t="inlineStr">
        <is>
          <t>Audi</t>
        </is>
      </c>
      <c r="D45" s="18" t="inlineStr">
        <is>
          <t>A4</t>
        </is>
      </c>
      <c r="E45" s="18" t="inlineStr">
        <is>
          <t>2002-2012</t>
        </is>
      </c>
      <c r="F45" s="18" t="inlineStr"/>
      <c r="G45" s="18" t="inlineStr">
        <is>
          <t>Wagon</t>
        </is>
      </c>
      <c r="H45" s="18" t="inlineStr">
        <is>
          <t>2XL</t>
        </is>
      </c>
      <c r="I45" s="19">
        <f t="array" ref="I45">TRIM(_xlfn.XLOOKUP(非皮卡压缩表[[#This Row],[BACKSIZE]],ALL尺码表[内部尺码],ALL尺码表[分类],""))</f>
        <v/>
      </c>
      <c r="J45" s="19">
        <f t="array" ref="J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" s="20">
        <f>LEN(非皮卡压缩表[[#This Row],[LONG-TYPE]])</f>
        <v/>
      </c>
      <c r="L45" s="21">
        <f t="array" ref="L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" s="22">
        <f>LEN(非皮卡压缩表[[#This Row],[TYPE]])</f>
        <v/>
      </c>
      <c r="N45" s="22">
        <f t="array" ref="N45">_xlfn.XLOOKUP(非皮卡压缩表[[#This Row],[MODEL]],MODEL缩写表[长MODEL],MODEL缩写表[短MODEL],非皮卡压缩表[[#This Row],[MODEL]])</f>
        <v/>
      </c>
      <c r="O45" s="22">
        <f>LEN(非皮卡压缩表[[#This Row],[SHORT-MODEL]])</f>
        <v/>
      </c>
      <c r="P45" s="11">
        <f t="array" ref="P45">TRIM(_xlfn.XLOOKUP(非皮卡压缩表[[#This Row],[BACKSIZE]],ALL尺码表[内部尺码],ALL尺码表[通用尺码]))</f>
        <v/>
      </c>
    </row>
    <row r="46">
      <c r="A46" s="17" t="inlineStr">
        <is>
          <t>ALL</t>
        </is>
      </c>
      <c r="B46" s="18" t="inlineStr">
        <is>
          <t>Audi A4</t>
        </is>
      </c>
      <c r="C46" s="18" t="inlineStr">
        <is>
          <t>Audi</t>
        </is>
      </c>
      <c r="D46" s="18" t="inlineStr">
        <is>
          <t>A4</t>
        </is>
      </c>
      <c r="E46" s="18" t="inlineStr">
        <is>
          <t>2003</t>
        </is>
      </c>
      <c r="F46" s="18" t="inlineStr"/>
      <c r="G46" s="18" t="inlineStr">
        <is>
          <t>Convertible</t>
        </is>
      </c>
      <c r="H46" s="18" t="inlineStr">
        <is>
          <t>3L-0</t>
        </is>
      </c>
      <c r="I46" s="19">
        <f t="array" ref="I46">TRIM(_xlfn.XLOOKUP(非皮卡压缩表[[#This Row],[BACKSIZE]],ALL尺码表[内部尺码],ALL尺码表[分类],""))</f>
        <v/>
      </c>
      <c r="J46" s="19">
        <f t="array" ref="J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" s="20">
        <f>LEN(非皮卡压缩表[[#This Row],[LONG-TYPE]])</f>
        <v/>
      </c>
      <c r="L46" s="21">
        <f t="array" ref="L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" s="22">
        <f>LEN(非皮卡压缩表[[#This Row],[TYPE]])</f>
        <v/>
      </c>
      <c r="N46" s="22">
        <f t="array" ref="N46">_xlfn.XLOOKUP(非皮卡压缩表[[#This Row],[MODEL]],MODEL缩写表[长MODEL],MODEL缩写表[短MODEL],非皮卡压缩表[[#This Row],[MODEL]])</f>
        <v/>
      </c>
      <c r="O46" s="22">
        <f>LEN(非皮卡压缩表[[#This Row],[SHORT-MODEL]])</f>
        <v/>
      </c>
      <c r="P46" s="11">
        <f t="array" ref="P46">TRIM(_xlfn.XLOOKUP(非皮卡压缩表[[#This Row],[BACKSIZE]],ALL尺码表[内部尺码],ALL尺码表[通用尺码]))</f>
        <v/>
      </c>
    </row>
    <row r="47">
      <c r="A47" s="17" t="inlineStr">
        <is>
          <t>ALL</t>
        </is>
      </c>
      <c r="B47" s="18" t="inlineStr">
        <is>
          <t>Audi A4</t>
        </is>
      </c>
      <c r="C47" s="18" t="inlineStr">
        <is>
          <t>Audi</t>
        </is>
      </c>
      <c r="D47" s="18" t="inlineStr">
        <is>
          <t>A4</t>
        </is>
      </c>
      <c r="E47" s="18" t="inlineStr">
        <is>
          <t>2009</t>
        </is>
      </c>
      <c r="F47" s="18" t="inlineStr"/>
      <c r="G47" s="18" t="inlineStr">
        <is>
          <t>Sedan</t>
        </is>
      </c>
      <c r="H47" s="18" t="inlineStr">
        <is>
          <t>3XL</t>
        </is>
      </c>
      <c r="I47" s="19">
        <f t="array" ref="I47">TRIM(_xlfn.XLOOKUP(非皮卡压缩表[[#This Row],[BACKSIZE]],ALL尺码表[内部尺码],ALL尺码表[分类],""))</f>
        <v/>
      </c>
      <c r="J47" s="19">
        <f t="array" ref="J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" s="20">
        <f>LEN(非皮卡压缩表[[#This Row],[LONG-TYPE]])</f>
        <v/>
      </c>
      <c r="L47" s="21">
        <f t="array" ref="L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" s="22">
        <f>LEN(非皮卡压缩表[[#This Row],[TYPE]])</f>
        <v/>
      </c>
      <c r="N47" s="22">
        <f t="array" ref="N47">_xlfn.XLOOKUP(非皮卡压缩表[[#This Row],[MODEL]],MODEL缩写表[长MODEL],MODEL缩写表[短MODEL],非皮卡压缩表[[#This Row],[MODEL]])</f>
        <v/>
      </c>
      <c r="O47" s="22">
        <f>LEN(非皮卡压缩表[[#This Row],[SHORT-MODEL]])</f>
        <v/>
      </c>
      <c r="P47" s="11">
        <f t="array" ref="P47">TRIM(_xlfn.XLOOKUP(非皮卡压缩表[[#This Row],[BACKSIZE]],ALL尺码表[内部尺码],ALL尺码表[通用尺码]))</f>
        <v/>
      </c>
    </row>
    <row r="48">
      <c r="A48" s="17" t="inlineStr">
        <is>
          <t>ALL</t>
        </is>
      </c>
      <c r="B48" s="18" t="inlineStr">
        <is>
          <t>Audi A4 allroad quattro</t>
        </is>
      </c>
      <c r="C48" s="18" t="inlineStr">
        <is>
          <t>Audi</t>
        </is>
      </c>
      <c r="D48" s="18" t="inlineStr">
        <is>
          <t>A4 allroad quattro</t>
        </is>
      </c>
      <c r="E48" s="18" t="inlineStr">
        <is>
          <t>2013-2025</t>
        </is>
      </c>
      <c r="F48" s="18" t="inlineStr"/>
      <c r="G48" s="18" t="inlineStr">
        <is>
          <t>Wagon</t>
        </is>
      </c>
      <c r="H48" s="18" t="inlineStr">
        <is>
          <t>2XL</t>
        </is>
      </c>
      <c r="I48" s="19">
        <f t="array" ref="I48">TRIM(_xlfn.XLOOKUP(非皮卡压缩表[[#This Row],[BACKSIZE]],ALL尺码表[内部尺码],ALL尺码表[分类],""))</f>
        <v/>
      </c>
      <c r="J48" s="19">
        <f t="array" ref="J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" s="20">
        <f>LEN(非皮卡压缩表[[#This Row],[LONG-TYPE]])</f>
        <v/>
      </c>
      <c r="L48" s="21">
        <f t="array" ref="L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" s="22">
        <f>LEN(非皮卡压缩表[[#This Row],[TYPE]])</f>
        <v/>
      </c>
      <c r="N48" s="22">
        <f t="array" ref="N48">_xlfn.XLOOKUP(非皮卡压缩表[[#This Row],[MODEL]],MODEL缩写表[长MODEL],MODEL缩写表[短MODEL],非皮卡压缩表[[#This Row],[MODEL]])</f>
        <v/>
      </c>
      <c r="O48" s="22">
        <f>LEN(非皮卡压缩表[[#This Row],[SHORT-MODEL]])</f>
        <v/>
      </c>
      <c r="P48" s="11">
        <f t="array" ref="P48">TRIM(_xlfn.XLOOKUP(非皮卡压缩表[[#This Row],[BACKSIZE]],ALL尺码表[内部尺码],ALL尺码表[通用尺码]))</f>
        <v/>
      </c>
    </row>
    <row r="49">
      <c r="A49" s="17" t="inlineStr">
        <is>
          <t>ALL</t>
        </is>
      </c>
      <c r="B49" s="18" t="inlineStr">
        <is>
          <t>Audi A4/S4</t>
        </is>
      </c>
      <c r="C49" s="18" t="inlineStr">
        <is>
          <t>Audi</t>
        </is>
      </c>
      <c r="D49" s="18" t="inlineStr">
        <is>
          <t>A4/S4</t>
        </is>
      </c>
      <c r="E49" s="18" t="inlineStr">
        <is>
          <t>2000-2001</t>
        </is>
      </c>
      <c r="F49" s="18" t="inlineStr"/>
      <c r="G49" s="18" t="inlineStr">
        <is>
          <t>Wagon</t>
        </is>
      </c>
      <c r="H49" s="18" t="inlineStr">
        <is>
          <t>2L+</t>
        </is>
      </c>
      <c r="I49" s="19">
        <f t="array" ref="I49">TRIM(_xlfn.XLOOKUP(非皮卡压缩表[[#This Row],[BACKSIZE]],ALL尺码表[内部尺码],ALL尺码表[分类],""))</f>
        <v/>
      </c>
      <c r="J49" s="19">
        <f t="array" ref="J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" s="20">
        <f>LEN(非皮卡压缩表[[#This Row],[LONG-TYPE]])</f>
        <v/>
      </c>
      <c r="L49" s="21">
        <f t="array" ref="L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" s="22">
        <f>LEN(非皮卡压缩表[[#This Row],[TYPE]])</f>
        <v/>
      </c>
      <c r="N49" s="22">
        <f t="array" ref="N49">_xlfn.XLOOKUP(非皮卡压缩表[[#This Row],[MODEL]],MODEL缩写表[长MODEL],MODEL缩写表[短MODEL],非皮卡压缩表[[#This Row],[MODEL]])</f>
        <v/>
      </c>
      <c r="O49" s="22">
        <f>LEN(非皮卡压缩表[[#This Row],[SHORT-MODEL]])</f>
        <v/>
      </c>
      <c r="P49" s="11">
        <f t="array" ref="P49">TRIM(_xlfn.XLOOKUP(非皮卡压缩表[[#This Row],[BACKSIZE]],ALL尺码表[内部尺码],ALL尺码表[通用尺码]))</f>
        <v/>
      </c>
    </row>
    <row r="50">
      <c r="A50" s="17" t="inlineStr">
        <is>
          <t>ALL</t>
        </is>
      </c>
      <c r="B50" s="18" t="inlineStr">
        <is>
          <t>Audi A4/S4</t>
        </is>
      </c>
      <c r="C50" s="18" t="inlineStr">
        <is>
          <t>Audi</t>
        </is>
      </c>
      <c r="D50" s="18" t="inlineStr">
        <is>
          <t>A4/S4</t>
        </is>
      </c>
      <c r="E50" s="18" t="inlineStr">
        <is>
          <t>2000-2006</t>
        </is>
      </c>
      <c r="F50" s="18" t="inlineStr"/>
      <c r="G50" s="18" t="inlineStr">
        <is>
          <t>Sedan</t>
        </is>
      </c>
      <c r="H50" s="18" t="inlineStr">
        <is>
          <t>3L</t>
        </is>
      </c>
      <c r="I50" s="19">
        <f t="array" ref="I50">TRIM(_xlfn.XLOOKUP(非皮卡压缩表[[#This Row],[BACKSIZE]],ALL尺码表[内部尺码],ALL尺码表[分类],""))</f>
        <v/>
      </c>
      <c r="J50" s="19">
        <f t="array" ref="J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" s="20">
        <f>LEN(非皮卡压缩表[[#This Row],[LONG-TYPE]])</f>
        <v/>
      </c>
      <c r="L50" s="21">
        <f t="array" ref="L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" s="22">
        <f>LEN(非皮卡压缩表[[#This Row],[TYPE]])</f>
        <v/>
      </c>
      <c r="N50" s="22">
        <f t="array" ref="N50">_xlfn.XLOOKUP(非皮卡压缩表[[#This Row],[MODEL]],MODEL缩写表[长MODEL],MODEL缩写表[短MODEL],非皮卡压缩表[[#This Row],[MODEL]])</f>
        <v/>
      </c>
      <c r="O50" s="22">
        <f>LEN(非皮卡压缩表[[#This Row],[SHORT-MODEL]])</f>
        <v/>
      </c>
      <c r="P50" s="11">
        <f t="array" ref="P50">TRIM(_xlfn.XLOOKUP(非皮卡压缩表[[#This Row],[BACKSIZE]],ALL尺码表[内部尺码],ALL尺码表[通用尺码]))</f>
        <v/>
      </c>
    </row>
    <row r="51">
      <c r="A51" s="17" t="inlineStr">
        <is>
          <t>ALL</t>
        </is>
      </c>
      <c r="B51" s="18" t="inlineStr">
        <is>
          <t>Audi A4/S4</t>
        </is>
      </c>
      <c r="C51" s="18" t="inlineStr">
        <is>
          <t>Audi</t>
        </is>
      </c>
      <c r="D51" s="18" t="inlineStr">
        <is>
          <t>A4/S4</t>
        </is>
      </c>
      <c r="E51" s="18" t="inlineStr">
        <is>
          <t>2004-2008</t>
        </is>
      </c>
      <c r="F51" s="18" t="inlineStr"/>
      <c r="G51" s="18" t="inlineStr">
        <is>
          <t>Wagon</t>
        </is>
      </c>
      <c r="H51" s="18" t="inlineStr">
        <is>
          <t>2XL</t>
        </is>
      </c>
      <c r="I51" s="19">
        <f t="array" ref="I51">TRIM(_xlfn.XLOOKUP(非皮卡压缩表[[#This Row],[BACKSIZE]],ALL尺码表[内部尺码],ALL尺码表[分类],""))</f>
        <v/>
      </c>
      <c r="J51" s="19">
        <f t="array" ref="J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" s="20">
        <f>LEN(非皮卡压缩表[[#This Row],[LONG-TYPE]])</f>
        <v/>
      </c>
      <c r="L51" s="21">
        <f t="array" ref="L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" s="22">
        <f>LEN(非皮卡压缩表[[#This Row],[TYPE]])</f>
        <v/>
      </c>
      <c r="N51" s="22">
        <f t="array" ref="N51">_xlfn.XLOOKUP(非皮卡压缩表[[#This Row],[MODEL]],MODEL缩写表[长MODEL],MODEL缩写表[短MODEL],非皮卡压缩表[[#This Row],[MODEL]])</f>
        <v/>
      </c>
      <c r="O51" s="22">
        <f>LEN(非皮卡压缩表[[#This Row],[SHORT-MODEL]])</f>
        <v/>
      </c>
      <c r="P51" s="11">
        <f t="array" ref="P51">TRIM(_xlfn.XLOOKUP(非皮卡压缩表[[#This Row],[BACKSIZE]],ALL尺码表[内部尺码],ALL尺码表[通用尺码]))</f>
        <v/>
      </c>
    </row>
    <row r="52">
      <c r="A52" s="17" t="inlineStr">
        <is>
          <t>ALL</t>
        </is>
      </c>
      <c r="B52" s="18" t="inlineStr">
        <is>
          <t>Audi A4/S4</t>
        </is>
      </c>
      <c r="C52" s="18" t="inlineStr">
        <is>
          <t>Audi</t>
        </is>
      </c>
      <c r="D52" s="18" t="inlineStr">
        <is>
          <t>A4/S4</t>
        </is>
      </c>
      <c r="E52" s="18" t="inlineStr">
        <is>
          <t>2004-2009</t>
        </is>
      </c>
      <c r="F52" s="18" t="inlineStr"/>
      <c r="G52" s="18" t="inlineStr">
        <is>
          <t>Convertible</t>
        </is>
      </c>
      <c r="H52" s="18" t="inlineStr">
        <is>
          <t>3L-0</t>
        </is>
      </c>
      <c r="I52" s="19">
        <f t="array" ref="I52">TRIM(_xlfn.XLOOKUP(非皮卡压缩表[[#This Row],[BACKSIZE]],ALL尺码表[内部尺码],ALL尺码表[分类],""))</f>
        <v/>
      </c>
      <c r="J52" s="19">
        <f t="array" ref="J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" s="20">
        <f>LEN(非皮卡压缩表[[#This Row],[LONG-TYPE]])</f>
        <v/>
      </c>
      <c r="L52" s="21">
        <f t="array" ref="L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" s="22">
        <f>LEN(非皮卡压缩表[[#This Row],[TYPE]])</f>
        <v/>
      </c>
      <c r="N52" s="22">
        <f t="array" ref="N52">_xlfn.XLOOKUP(非皮卡压缩表[[#This Row],[MODEL]],MODEL缩写表[长MODEL],MODEL缩写表[短MODEL],非皮卡压缩表[[#This Row],[MODEL]])</f>
        <v/>
      </c>
      <c r="O52" s="22">
        <f>LEN(非皮卡压缩表[[#This Row],[SHORT-MODEL]])</f>
        <v/>
      </c>
      <c r="P52" s="11">
        <f t="array" ref="P52">TRIM(_xlfn.XLOOKUP(非皮卡压缩表[[#This Row],[BACKSIZE]],ALL尺码表[内部尺码],ALL尺码表[通用尺码]))</f>
        <v/>
      </c>
    </row>
    <row r="53">
      <c r="A53" s="17" t="inlineStr">
        <is>
          <t>ALL</t>
        </is>
      </c>
      <c r="B53" s="18" t="inlineStr">
        <is>
          <t>Audi A4/S4</t>
        </is>
      </c>
      <c r="C53" s="18" t="inlineStr">
        <is>
          <t>Audi</t>
        </is>
      </c>
      <c r="D53" s="18" t="inlineStr">
        <is>
          <t>A4/S4</t>
        </is>
      </c>
      <c r="E53" s="18" t="inlineStr">
        <is>
          <t>2010-2025</t>
        </is>
      </c>
      <c r="F53" s="18" t="inlineStr"/>
      <c r="G53" s="18" t="inlineStr">
        <is>
          <t>Sedan</t>
        </is>
      </c>
      <c r="H53" s="18" t="inlineStr">
        <is>
          <t>3XL</t>
        </is>
      </c>
      <c r="I53" s="19">
        <f t="array" ref="I53">TRIM(_xlfn.XLOOKUP(非皮卡压缩表[[#This Row],[BACKSIZE]],ALL尺码表[内部尺码],ALL尺码表[分类],""))</f>
        <v/>
      </c>
      <c r="J53" s="19">
        <f t="array" ref="J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" s="20">
        <f>LEN(非皮卡压缩表[[#This Row],[LONG-TYPE]])</f>
        <v/>
      </c>
      <c r="L53" s="21">
        <f t="array" ref="L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" s="22">
        <f>LEN(非皮卡压缩表[[#This Row],[TYPE]])</f>
        <v/>
      </c>
      <c r="N53" s="22">
        <f t="array" ref="N53">_xlfn.XLOOKUP(非皮卡压缩表[[#This Row],[MODEL]],MODEL缩写表[长MODEL],MODEL缩写表[短MODEL],非皮卡压缩表[[#This Row],[MODEL]])</f>
        <v/>
      </c>
      <c r="O53" s="22">
        <f>LEN(非皮卡压缩表[[#This Row],[SHORT-MODEL]])</f>
        <v/>
      </c>
      <c r="P53" s="11">
        <f t="array" ref="P53">TRIM(_xlfn.XLOOKUP(非皮卡压缩表[[#This Row],[BACKSIZE]],ALL尺码表[内部尺码],ALL尺码表[通用尺码]))</f>
        <v/>
      </c>
    </row>
    <row r="54">
      <c r="A54" s="17" t="inlineStr">
        <is>
          <t>ALL</t>
        </is>
      </c>
      <c r="B54" s="18" t="inlineStr">
        <is>
          <t>Audi A4/S4/RS4</t>
        </is>
      </c>
      <c r="C54" s="18" t="inlineStr">
        <is>
          <t>Audi</t>
        </is>
      </c>
      <c r="D54" s="18" t="inlineStr">
        <is>
          <t>A4/S4/RS4</t>
        </is>
      </c>
      <c r="E54" s="18" t="inlineStr">
        <is>
          <t>2007-2008</t>
        </is>
      </c>
      <c r="F54" s="18" t="inlineStr"/>
      <c r="G54" s="18" t="inlineStr">
        <is>
          <t>Sedan</t>
        </is>
      </c>
      <c r="H54" s="18" t="inlineStr">
        <is>
          <t>3L</t>
        </is>
      </c>
      <c r="I54" s="19">
        <f t="array" ref="I54">TRIM(_xlfn.XLOOKUP(非皮卡压缩表[[#This Row],[BACKSIZE]],ALL尺码表[内部尺码],ALL尺码表[分类],""))</f>
        <v/>
      </c>
      <c r="J54" s="19">
        <f t="array" ref="J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" s="20">
        <f>LEN(非皮卡压缩表[[#This Row],[LONG-TYPE]])</f>
        <v/>
      </c>
      <c r="L54" s="21">
        <f t="array" ref="L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" s="22">
        <f>LEN(非皮卡压缩表[[#This Row],[TYPE]])</f>
        <v/>
      </c>
      <c r="N54" s="22">
        <f t="array" ref="N54">_xlfn.XLOOKUP(非皮卡压缩表[[#This Row],[MODEL]],MODEL缩写表[长MODEL],MODEL缩写表[短MODEL],非皮卡压缩表[[#This Row],[MODEL]])</f>
        <v/>
      </c>
      <c r="O54" s="22">
        <f>LEN(非皮卡压缩表[[#This Row],[SHORT-MODEL]])</f>
        <v/>
      </c>
      <c r="P54" s="11">
        <f t="array" ref="P54">TRIM(_xlfn.XLOOKUP(非皮卡压缩表[[#This Row],[BACKSIZE]],ALL尺码表[内部尺码],ALL尺码表[通用尺码]))</f>
        <v/>
      </c>
    </row>
    <row r="55">
      <c r="A55" s="17" t="inlineStr">
        <is>
          <t>ALL</t>
        </is>
      </c>
      <c r="B55" s="18" t="inlineStr">
        <is>
          <t>Audi A4/S4/RS4</t>
        </is>
      </c>
      <c r="C55" s="18" t="inlineStr">
        <is>
          <t>Audi</t>
        </is>
      </c>
      <c r="D55" s="18" t="inlineStr">
        <is>
          <t>A4/S4/RS4</t>
        </is>
      </c>
      <c r="E55" s="18" t="inlineStr">
        <is>
          <t>2008</t>
        </is>
      </c>
      <c r="F55" s="18" t="inlineStr"/>
      <c r="G55" s="18" t="inlineStr">
        <is>
          <t>Convertible</t>
        </is>
      </c>
      <c r="H55" s="18" t="inlineStr">
        <is>
          <t>3L-0</t>
        </is>
      </c>
      <c r="I55" s="19">
        <f t="array" ref="I55">TRIM(_xlfn.XLOOKUP(非皮卡压缩表[[#This Row],[BACKSIZE]],ALL尺码表[内部尺码],ALL尺码表[分类],""))</f>
        <v/>
      </c>
      <c r="J55" s="19">
        <f t="array" ref="J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" s="20">
        <f>LEN(非皮卡压缩表[[#This Row],[LONG-TYPE]])</f>
        <v/>
      </c>
      <c r="L55" s="21">
        <f t="array" ref="L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" s="22">
        <f>LEN(非皮卡压缩表[[#This Row],[TYPE]])</f>
        <v/>
      </c>
      <c r="N55" s="22">
        <f t="array" ref="N55">_xlfn.XLOOKUP(非皮卡压缩表[[#This Row],[MODEL]],MODEL缩写表[长MODEL],MODEL缩写表[短MODEL],非皮卡压缩表[[#This Row],[MODEL]])</f>
        <v/>
      </c>
      <c r="O55" s="22">
        <f>LEN(非皮卡压缩表[[#This Row],[SHORT-MODEL]])</f>
        <v/>
      </c>
      <c r="P55" s="11">
        <f t="array" ref="P55">TRIM(_xlfn.XLOOKUP(非皮卡压缩表[[#This Row],[BACKSIZE]],ALL尺码表[内部尺码],ALL尺码表[通用尺码]))</f>
        <v/>
      </c>
    </row>
    <row r="56">
      <c r="A56" s="17" t="inlineStr">
        <is>
          <t>ALL</t>
        </is>
      </c>
      <c r="B56" s="18" t="inlineStr">
        <is>
          <t>Audi A5/S5</t>
        </is>
      </c>
      <c r="C56" s="18" t="inlineStr">
        <is>
          <t>Audi</t>
        </is>
      </c>
      <c r="D56" s="18" t="inlineStr">
        <is>
          <t>A5/S5</t>
        </is>
      </c>
      <c r="E56" s="18" t="inlineStr">
        <is>
          <t>2008-2024</t>
        </is>
      </c>
      <c r="F56" s="18" t="inlineStr"/>
      <c r="G56" s="18" t="inlineStr">
        <is>
          <t>Convertible/Coupe</t>
        </is>
      </c>
      <c r="H56" s="18" t="inlineStr">
        <is>
          <t>3L-0</t>
        </is>
      </c>
      <c r="I56" s="19">
        <f t="array" ref="I56">TRIM(_xlfn.XLOOKUP(非皮卡压缩表[[#This Row],[BACKSIZE]],ALL尺码表[内部尺码],ALL尺码表[分类],""))</f>
        <v/>
      </c>
      <c r="J56" s="19">
        <f t="array" ref="J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" s="20">
        <f>LEN(非皮卡压缩表[[#This Row],[LONG-TYPE]])</f>
        <v/>
      </c>
      <c r="L56" s="21">
        <f t="array" ref="L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" s="22">
        <f>LEN(非皮卡压缩表[[#This Row],[TYPE]])</f>
        <v/>
      </c>
      <c r="N56" s="22">
        <f t="array" ref="N56">_xlfn.XLOOKUP(非皮卡压缩表[[#This Row],[MODEL]],MODEL缩写表[长MODEL],MODEL缩写表[短MODEL],非皮卡压缩表[[#This Row],[MODEL]])</f>
        <v/>
      </c>
      <c r="O56" s="22">
        <f>LEN(非皮卡压缩表[[#This Row],[SHORT-MODEL]])</f>
        <v/>
      </c>
      <c r="P56" s="11">
        <f t="array" ref="P56">TRIM(_xlfn.XLOOKUP(非皮卡压缩表[[#This Row],[BACKSIZE]],ALL尺码表[内部尺码],ALL尺码表[通用尺码]))</f>
        <v/>
      </c>
    </row>
    <row r="57">
      <c r="A57" s="17" t="inlineStr">
        <is>
          <t>ALL</t>
        </is>
      </c>
      <c r="B57" s="18" t="inlineStr">
        <is>
          <t>Audi A5/S5</t>
        </is>
      </c>
      <c r="C57" s="18" t="inlineStr">
        <is>
          <t>Audi</t>
        </is>
      </c>
      <c r="D57" s="18" t="inlineStr">
        <is>
          <t>A5/S5</t>
        </is>
      </c>
      <c r="E57" s="18" t="inlineStr">
        <is>
          <t>2026</t>
        </is>
      </c>
      <c r="F57" s="18" t="inlineStr"/>
      <c r="G57" s="18" t="inlineStr">
        <is>
          <t>Sportback</t>
        </is>
      </c>
      <c r="H57" s="18" t="inlineStr">
        <is>
          <t>2XL+</t>
        </is>
      </c>
      <c r="I57" s="19">
        <f t="array" ref="I57">TRIM(_xlfn.XLOOKUP(非皮卡压缩表[[#This Row],[BACKSIZE]],ALL尺码表[内部尺码],ALL尺码表[分类],""))</f>
        <v/>
      </c>
      <c r="J57" s="19">
        <f t="array" ref="J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" s="20">
        <f>LEN(非皮卡压缩表[[#This Row],[LONG-TYPE]])</f>
        <v/>
      </c>
      <c r="L57" s="21">
        <f t="array" ref="L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" s="22">
        <f>LEN(非皮卡压缩表[[#This Row],[TYPE]])</f>
        <v/>
      </c>
      <c r="N57" s="22">
        <f t="array" ref="N57">_xlfn.XLOOKUP(非皮卡压缩表[[#This Row],[MODEL]],MODEL缩写表[长MODEL],MODEL缩写表[短MODEL],非皮卡压缩表[[#This Row],[MODEL]])</f>
        <v/>
      </c>
      <c r="O57" s="22">
        <f>LEN(非皮卡压缩表[[#This Row],[SHORT-MODEL]])</f>
        <v/>
      </c>
      <c r="P57" s="11">
        <f t="array" ref="P57">TRIM(_xlfn.XLOOKUP(非皮卡压缩表[[#This Row],[BACKSIZE]],ALL尺码表[内部尺码],ALL尺码表[通用尺码]))</f>
        <v/>
      </c>
    </row>
    <row r="58">
      <c r="A58" s="17" t="inlineStr">
        <is>
          <t>ALL</t>
        </is>
      </c>
      <c r="B58" s="18" t="inlineStr">
        <is>
          <t>Audi A5/S5/RS5</t>
        </is>
      </c>
      <c r="C58" s="18" t="inlineStr">
        <is>
          <t>Audi</t>
        </is>
      </c>
      <c r="D58" s="18" t="inlineStr">
        <is>
          <t>A5/S5/RS5</t>
        </is>
      </c>
      <c r="E58" s="18" t="inlineStr">
        <is>
          <t>2013-2017</t>
        </is>
      </c>
      <c r="F58" s="18" t="inlineStr"/>
      <c r="G58" s="18" t="inlineStr">
        <is>
          <t>Convertible/Coupe</t>
        </is>
      </c>
      <c r="H58" s="18" t="inlineStr">
        <is>
          <t>3L-0</t>
        </is>
      </c>
      <c r="I58" s="19">
        <f t="array" ref="I58">TRIM(_xlfn.XLOOKUP(非皮卡压缩表[[#This Row],[BACKSIZE]],ALL尺码表[内部尺码],ALL尺码表[分类],""))</f>
        <v/>
      </c>
      <c r="J58" s="19">
        <f t="array" ref="J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" s="20">
        <f>LEN(非皮卡压缩表[[#This Row],[LONG-TYPE]])</f>
        <v/>
      </c>
      <c r="L58" s="21">
        <f t="array" ref="L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" s="22">
        <f>LEN(非皮卡压缩表[[#This Row],[TYPE]])</f>
        <v/>
      </c>
      <c r="N58" s="22">
        <f t="array" ref="N58">_xlfn.XLOOKUP(非皮卡压缩表[[#This Row],[MODEL]],MODEL缩写表[长MODEL],MODEL缩写表[短MODEL],非皮卡压缩表[[#This Row],[MODEL]])</f>
        <v/>
      </c>
      <c r="O58" s="22">
        <f>LEN(非皮卡压缩表[[#This Row],[SHORT-MODEL]])</f>
        <v/>
      </c>
      <c r="P58" s="11">
        <f t="array" ref="P58">TRIM(_xlfn.XLOOKUP(非皮卡压缩表[[#This Row],[BACKSIZE]],ALL尺码表[内部尺码],ALL尺码表[通用尺码]))</f>
        <v/>
      </c>
    </row>
    <row r="59">
      <c r="A59" s="17" t="inlineStr">
        <is>
          <t>ALL</t>
        </is>
      </c>
      <c r="B59" s="18" t="inlineStr">
        <is>
          <t>Audi A5/S5/RS5</t>
        </is>
      </c>
      <c r="C59" s="18" t="inlineStr">
        <is>
          <t>Audi</t>
        </is>
      </c>
      <c r="D59" s="18" t="inlineStr">
        <is>
          <t>A5/S5/RS5</t>
        </is>
      </c>
      <c r="E59" s="18" t="inlineStr">
        <is>
          <t>2018-2025</t>
        </is>
      </c>
      <c r="F59" s="18" t="inlineStr"/>
      <c r="G59" s="18" t="inlineStr">
        <is>
          <t>Sportback</t>
        </is>
      </c>
      <c r="H59" s="18" t="inlineStr">
        <is>
          <t>2XL</t>
        </is>
      </c>
      <c r="I59" s="19">
        <f t="array" ref="I59">TRIM(_xlfn.XLOOKUP(非皮卡压缩表[[#This Row],[BACKSIZE]],ALL尺码表[内部尺码],ALL尺码表[分类],""))</f>
        <v/>
      </c>
      <c r="J59" s="19">
        <f t="array" ref="J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" s="20">
        <f>LEN(非皮卡压缩表[[#This Row],[LONG-TYPE]])</f>
        <v/>
      </c>
      <c r="L59" s="21">
        <f t="array" ref="L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" s="22">
        <f>LEN(非皮卡压缩表[[#This Row],[TYPE]])</f>
        <v/>
      </c>
      <c r="N59" s="22">
        <f t="array" ref="N59">_xlfn.XLOOKUP(非皮卡压缩表[[#This Row],[MODEL]],MODEL缩写表[长MODEL],MODEL缩写表[短MODEL],非皮卡压缩表[[#This Row],[MODEL]])</f>
        <v/>
      </c>
      <c r="O59" s="22">
        <f>LEN(非皮卡压缩表[[#This Row],[SHORT-MODEL]])</f>
        <v/>
      </c>
      <c r="P59" s="11">
        <f t="array" ref="P59">TRIM(_xlfn.XLOOKUP(非皮卡压缩表[[#This Row],[BACKSIZE]],ALL尺码表[内部尺码],ALL尺码表[通用尺码]))</f>
        <v/>
      </c>
    </row>
    <row r="60">
      <c r="A60" s="17" t="inlineStr">
        <is>
          <t>ALL</t>
        </is>
      </c>
      <c r="B60" s="18" t="inlineStr">
        <is>
          <t>Audi A5/S5/RS5</t>
        </is>
      </c>
      <c r="C60" s="18" t="inlineStr">
        <is>
          <t>Audi</t>
        </is>
      </c>
      <c r="D60" s="18" t="inlineStr">
        <is>
          <t>A5/S5/RS5</t>
        </is>
      </c>
      <c r="E60" s="18" t="inlineStr">
        <is>
          <t>2018-2024</t>
        </is>
      </c>
      <c r="F60" s="18" t="inlineStr"/>
      <c r="G60" s="18" t="inlineStr">
        <is>
          <t>Coupe</t>
        </is>
      </c>
      <c r="H60" s="18" t="inlineStr">
        <is>
          <t>3XL-0</t>
        </is>
      </c>
      <c r="I60" s="19">
        <f t="array" ref="I60">TRIM(_xlfn.XLOOKUP(非皮卡压缩表[[#This Row],[BACKSIZE]],ALL尺码表[内部尺码],ALL尺码表[分类],""))</f>
        <v/>
      </c>
      <c r="J60" s="19">
        <f t="array" ref="J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" s="20">
        <f>LEN(非皮卡压缩表[[#This Row],[LONG-TYPE]])</f>
        <v/>
      </c>
      <c r="L60" s="21">
        <f t="array" ref="L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" s="22">
        <f>LEN(非皮卡压缩表[[#This Row],[TYPE]])</f>
        <v/>
      </c>
      <c r="N60" s="22">
        <f t="array" ref="N60">_xlfn.XLOOKUP(非皮卡压缩表[[#This Row],[MODEL]],MODEL缩写表[长MODEL],MODEL缩写表[短MODEL],非皮卡压缩表[[#This Row],[MODEL]])</f>
        <v/>
      </c>
      <c r="O60" s="22">
        <f>LEN(非皮卡压缩表[[#This Row],[SHORT-MODEL]])</f>
        <v/>
      </c>
      <c r="P60" s="11">
        <f t="array" ref="P60">TRIM(_xlfn.XLOOKUP(非皮卡压缩表[[#This Row],[BACKSIZE]],ALL尺码表[内部尺码],ALL尺码表[通用尺码]))</f>
        <v/>
      </c>
    </row>
    <row r="61">
      <c r="A61" s="17" t="inlineStr">
        <is>
          <t>ALL</t>
        </is>
      </c>
      <c r="B61" s="18" t="inlineStr">
        <is>
          <t>Audi A6</t>
        </is>
      </c>
      <c r="C61" s="18" t="inlineStr">
        <is>
          <t>Audi</t>
        </is>
      </c>
      <c r="D61" s="18" t="inlineStr">
        <is>
          <t>A6</t>
        </is>
      </c>
      <c r="E61" s="18" t="inlineStr">
        <is>
          <t>1998-2026</t>
        </is>
      </c>
      <c r="F61" s="18" t="inlineStr"/>
      <c r="G61" s="18" t="inlineStr">
        <is>
          <t>Sedan</t>
        </is>
      </c>
      <c r="H61" s="18" t="inlineStr">
        <is>
          <t>3XXL</t>
        </is>
      </c>
      <c r="I61" s="19">
        <f t="array" ref="I61">TRIM(_xlfn.XLOOKUP(非皮卡压缩表[[#This Row],[BACKSIZE]],ALL尺码表[内部尺码],ALL尺码表[分类],""))</f>
        <v/>
      </c>
      <c r="J61" s="19">
        <f t="array" ref="J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" s="20">
        <f>LEN(非皮卡压缩表[[#This Row],[LONG-TYPE]])</f>
        <v/>
      </c>
      <c r="L61" s="21">
        <f t="array" ref="L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" s="22">
        <f>LEN(非皮卡压缩表[[#This Row],[TYPE]])</f>
        <v/>
      </c>
      <c r="N61" s="22">
        <f t="array" ref="N61">_xlfn.XLOOKUP(非皮卡压缩表[[#This Row],[MODEL]],MODEL缩写表[长MODEL],MODEL缩写表[短MODEL],非皮卡压缩表[[#This Row],[MODEL]])</f>
        <v/>
      </c>
      <c r="O61" s="22">
        <f>LEN(非皮卡压缩表[[#This Row],[SHORT-MODEL]])</f>
        <v/>
      </c>
      <c r="P61" s="11">
        <f t="array" ref="P61">TRIM(_xlfn.XLOOKUP(非皮卡压缩表[[#This Row],[BACKSIZE]],ALL尺码表[内部尺码],ALL尺码表[通用尺码]))</f>
        <v/>
      </c>
    </row>
    <row r="62">
      <c r="A62" s="17" t="inlineStr">
        <is>
          <t>ALL</t>
        </is>
      </c>
      <c r="B62" s="18" t="inlineStr">
        <is>
          <t>Audi A6 allroad quattro</t>
        </is>
      </c>
      <c r="C62" s="18" t="inlineStr">
        <is>
          <t>Audi</t>
        </is>
      </c>
      <c r="D62" s="18" t="inlineStr">
        <is>
          <t>A6 allroad quattro</t>
        </is>
      </c>
      <c r="E62" s="18" t="inlineStr">
        <is>
          <t>2001-2005</t>
        </is>
      </c>
      <c r="F62" s="18" t="inlineStr"/>
      <c r="G62" s="18" t="inlineStr">
        <is>
          <t>Wagon</t>
        </is>
      </c>
      <c r="H62" s="18" t="inlineStr">
        <is>
          <t>2XL</t>
        </is>
      </c>
      <c r="I62" s="19">
        <f t="array" ref="I62">TRIM(_xlfn.XLOOKUP(非皮卡压缩表[[#This Row],[BACKSIZE]],ALL尺码表[内部尺码],ALL尺码表[分类],""))</f>
        <v/>
      </c>
      <c r="J62" s="19">
        <f t="array" ref="J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" s="20">
        <f>LEN(非皮卡压缩表[[#This Row],[LONG-TYPE]])</f>
        <v/>
      </c>
      <c r="L62" s="21">
        <f t="array" ref="L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" s="22">
        <f>LEN(非皮卡压缩表[[#This Row],[TYPE]])</f>
        <v/>
      </c>
      <c r="N62" s="22">
        <f t="array" ref="N62">_xlfn.XLOOKUP(非皮卡压缩表[[#This Row],[MODEL]],MODEL缩写表[长MODEL],MODEL缩写表[短MODEL],非皮卡压缩表[[#This Row],[MODEL]])</f>
        <v/>
      </c>
      <c r="O62" s="22">
        <f>LEN(非皮卡压缩表[[#This Row],[SHORT-MODEL]])</f>
        <v/>
      </c>
      <c r="P62" s="11">
        <f t="array" ref="P62">TRIM(_xlfn.XLOOKUP(非皮卡压缩表[[#This Row],[BACKSIZE]],ALL尺码表[内部尺码],ALL尺码表[通用尺码]))</f>
        <v/>
      </c>
    </row>
    <row r="63">
      <c r="A63" s="17" t="inlineStr">
        <is>
          <t>ALL</t>
        </is>
      </c>
      <c r="B63" s="18" t="inlineStr">
        <is>
          <t>Audi A6 allroad quattro</t>
        </is>
      </c>
      <c r="C63" s="18" t="inlineStr">
        <is>
          <t>Audi</t>
        </is>
      </c>
      <c r="D63" s="18" t="inlineStr">
        <is>
          <t>A6 allroad quattro</t>
        </is>
      </c>
      <c r="E63" s="18" t="inlineStr">
        <is>
          <t>2020-2025</t>
        </is>
      </c>
      <c r="F63" s="18" t="inlineStr"/>
      <c r="G63" s="18" t="inlineStr">
        <is>
          <t>Wagon</t>
        </is>
      </c>
      <c r="H63" s="18" t="inlineStr">
        <is>
          <t>2XL+</t>
        </is>
      </c>
      <c r="I63" s="19">
        <f t="array" ref="I63">TRIM(_xlfn.XLOOKUP(非皮卡压缩表[[#This Row],[BACKSIZE]],ALL尺码表[内部尺码],ALL尺码表[分类],""))</f>
        <v/>
      </c>
      <c r="J63" s="19">
        <f t="array" ref="J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" s="20">
        <f>LEN(非皮卡压缩表[[#This Row],[LONG-TYPE]])</f>
        <v/>
      </c>
      <c r="L63" s="21">
        <f t="array" ref="L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" s="22">
        <f>LEN(非皮卡压缩表[[#This Row],[TYPE]])</f>
        <v/>
      </c>
      <c r="N63" s="22">
        <f t="array" ref="N63">_xlfn.XLOOKUP(非皮卡压缩表[[#This Row],[MODEL]],MODEL缩写表[长MODEL],MODEL缩写表[短MODEL],非皮卡压缩表[[#This Row],[MODEL]])</f>
        <v/>
      </c>
      <c r="O63" s="22">
        <f>LEN(非皮卡压缩表[[#This Row],[SHORT-MODEL]])</f>
        <v/>
      </c>
      <c r="P63" s="11">
        <f t="array" ref="P63">TRIM(_xlfn.XLOOKUP(非皮卡压缩表[[#This Row],[BACKSIZE]],ALL尺码表[内部尺码],ALL尺码表[通用尺码]))</f>
        <v/>
      </c>
    </row>
    <row r="64">
      <c r="A64" s="17" t="inlineStr">
        <is>
          <t>ALL</t>
        </is>
      </c>
      <c r="B64" s="18" t="inlineStr">
        <is>
          <t>Audi A6 e-tron/S6 e-tron</t>
        </is>
      </c>
      <c r="C64" s="18" t="inlineStr">
        <is>
          <t>Audi</t>
        </is>
      </c>
      <c r="D64" s="18" t="inlineStr">
        <is>
          <t>A6 e-tron/S6 e-tron</t>
        </is>
      </c>
      <c r="E64" s="18" t="inlineStr">
        <is>
          <t>2025</t>
        </is>
      </c>
      <c r="F64" s="18" t="inlineStr"/>
      <c r="G64" s="18" t="inlineStr">
        <is>
          <t>Sportback</t>
        </is>
      </c>
      <c r="H64" s="18" t="inlineStr">
        <is>
          <t>2XL+</t>
        </is>
      </c>
      <c r="I64" s="19">
        <f t="array" ref="I64">TRIM(_xlfn.XLOOKUP(非皮卡压缩表[[#This Row],[BACKSIZE]],ALL尺码表[内部尺码],ALL尺码表[分类],""))</f>
        <v/>
      </c>
      <c r="J64" s="19">
        <f t="array" ref="J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" s="20">
        <f>LEN(非皮卡压缩表[[#This Row],[LONG-TYPE]])</f>
        <v/>
      </c>
      <c r="L64" s="21">
        <f t="array" ref="L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" s="22">
        <f>LEN(非皮卡压缩表[[#This Row],[TYPE]])</f>
        <v/>
      </c>
      <c r="N64" s="22">
        <f t="array" ref="N64">_xlfn.XLOOKUP(非皮卡压缩表[[#This Row],[MODEL]],MODEL缩写表[长MODEL],MODEL缩写表[短MODEL],非皮卡压缩表[[#This Row],[MODEL]])</f>
        <v/>
      </c>
      <c r="O64" s="22">
        <f>LEN(非皮卡压缩表[[#This Row],[SHORT-MODEL]])</f>
        <v/>
      </c>
      <c r="P64" s="11">
        <f t="array" ref="P64">TRIM(_xlfn.XLOOKUP(非皮卡压缩表[[#This Row],[BACKSIZE]],ALL尺码表[内部尺码],ALL尺码表[通用尺码]))</f>
        <v/>
      </c>
    </row>
    <row r="65">
      <c r="A65" s="17" t="inlineStr">
        <is>
          <t>ALL</t>
        </is>
      </c>
      <c r="B65" s="18" t="inlineStr">
        <is>
          <t>Audi A6/RS6</t>
        </is>
      </c>
      <c r="C65" s="18" t="inlineStr">
        <is>
          <t>Audi</t>
        </is>
      </c>
      <c r="D65" s="18" t="inlineStr">
        <is>
          <t>A6/RS6</t>
        </is>
      </c>
      <c r="E65" s="18" t="inlineStr">
        <is>
          <t>1998-2026</t>
        </is>
      </c>
      <c r="F65" s="18" t="inlineStr">
        <is>
          <t>Incl: Avant</t>
        </is>
      </c>
      <c r="G65" s="18" t="inlineStr">
        <is>
          <t>Wagon</t>
        </is>
      </c>
      <c r="H65" s="18" t="inlineStr">
        <is>
          <t>2XL+</t>
        </is>
      </c>
      <c r="I65" s="19">
        <f t="array" ref="I65">TRIM(_xlfn.XLOOKUP(非皮卡压缩表[[#This Row],[BACKSIZE]],ALL尺码表[内部尺码],ALL尺码表[分类],""))</f>
        <v/>
      </c>
      <c r="J65" s="19">
        <f t="array" ref="J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" s="20">
        <f>LEN(非皮卡压缩表[[#This Row],[LONG-TYPE]])</f>
        <v/>
      </c>
      <c r="L65" s="21">
        <f t="array" ref="L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" s="22">
        <f>LEN(非皮卡压缩表[[#This Row],[TYPE]])</f>
        <v/>
      </c>
      <c r="N65" s="22">
        <f t="array" ref="N65">_xlfn.XLOOKUP(非皮卡压缩表[[#This Row],[MODEL]],MODEL缩写表[长MODEL],MODEL缩写表[短MODEL],非皮卡压缩表[[#This Row],[MODEL]])</f>
        <v/>
      </c>
      <c r="O65" s="22">
        <f>LEN(非皮卡压缩表[[#This Row],[SHORT-MODEL]])</f>
        <v/>
      </c>
      <c r="P65" s="11">
        <f t="array" ref="P65">TRIM(_xlfn.XLOOKUP(非皮卡压缩表[[#This Row],[BACKSIZE]],ALL尺码表[内部尺码],ALL尺码表[通用尺码]))</f>
        <v/>
      </c>
    </row>
    <row r="66">
      <c r="A66" s="17" t="inlineStr">
        <is>
          <t>ALL</t>
        </is>
      </c>
      <c r="B66" s="18" t="inlineStr">
        <is>
          <t>Audi A6/S6</t>
        </is>
      </c>
      <c r="C66" s="18" t="inlineStr">
        <is>
          <t>Audi</t>
        </is>
      </c>
      <c r="D66" s="18" t="inlineStr">
        <is>
          <t>A6/S6</t>
        </is>
      </c>
      <c r="E66" s="18" t="inlineStr">
        <is>
          <t>1995-2025</t>
        </is>
      </c>
      <c r="F66" s="18" t="inlineStr"/>
      <c r="G66" s="18" t="inlineStr">
        <is>
          <t>Sedan</t>
        </is>
      </c>
      <c r="H66" s="18" t="inlineStr">
        <is>
          <t>3XXL</t>
        </is>
      </c>
      <c r="I66" s="19">
        <f t="array" ref="I66">TRIM(_xlfn.XLOOKUP(非皮卡压缩表[[#This Row],[BACKSIZE]],ALL尺码表[内部尺码],ALL尺码表[分类],""))</f>
        <v/>
      </c>
      <c r="J66" s="19">
        <f t="array" ref="J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" s="20">
        <f>LEN(非皮卡压缩表[[#This Row],[LONG-TYPE]])</f>
        <v/>
      </c>
      <c r="L66" s="21">
        <f t="array" ref="L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" s="22">
        <f>LEN(非皮卡压缩表[[#This Row],[TYPE]])</f>
        <v/>
      </c>
      <c r="N66" s="22">
        <f t="array" ref="N66">_xlfn.XLOOKUP(非皮卡压缩表[[#This Row],[MODEL]],MODEL缩写表[长MODEL],MODEL缩写表[短MODEL],非皮卡压缩表[[#This Row],[MODEL]])</f>
        <v/>
      </c>
      <c r="O66" s="22">
        <f>LEN(非皮卡压缩表[[#This Row],[SHORT-MODEL]])</f>
        <v/>
      </c>
      <c r="P66" s="11">
        <f t="array" ref="P66">TRIM(_xlfn.XLOOKUP(非皮卡压缩表[[#This Row],[BACKSIZE]],ALL尺码表[内部尺码],ALL尺码表[通用尺码]))</f>
        <v/>
      </c>
    </row>
    <row r="67">
      <c r="A67" s="17" t="inlineStr">
        <is>
          <t>ALL</t>
        </is>
      </c>
      <c r="B67" s="18" t="inlineStr">
        <is>
          <t>Audi A6/S6</t>
        </is>
      </c>
      <c r="C67" s="18" t="inlineStr">
        <is>
          <t>Audi</t>
        </is>
      </c>
      <c r="D67" s="18" t="inlineStr">
        <is>
          <t>A6/S6</t>
        </is>
      </c>
      <c r="E67" s="18" t="inlineStr">
        <is>
          <t>2001-2004</t>
        </is>
      </c>
      <c r="F67" s="18" t="inlineStr"/>
      <c r="G67" s="18" t="inlineStr">
        <is>
          <t>Wagon</t>
        </is>
      </c>
      <c r="H67" s="18" t="inlineStr">
        <is>
          <t>2XL+</t>
        </is>
      </c>
      <c r="I67" s="19">
        <f t="array" ref="I67">TRIM(_xlfn.XLOOKUP(非皮卡压缩表[[#This Row],[BACKSIZE]],ALL尺码表[内部尺码],ALL尺码表[分类],""))</f>
        <v/>
      </c>
      <c r="J67" s="19">
        <f t="array" ref="J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" s="20">
        <f>LEN(非皮卡压缩表[[#This Row],[LONG-TYPE]])</f>
        <v/>
      </c>
      <c r="L67" s="21">
        <f t="array" ref="L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" s="22">
        <f>LEN(非皮卡压缩表[[#This Row],[TYPE]])</f>
        <v/>
      </c>
      <c r="N67" s="22">
        <f t="array" ref="N67">_xlfn.XLOOKUP(非皮卡压缩表[[#This Row],[MODEL]],MODEL缩写表[长MODEL],MODEL缩写表[短MODEL],非皮卡压缩表[[#This Row],[MODEL]])</f>
        <v/>
      </c>
      <c r="O67" s="22">
        <f>LEN(非皮卡压缩表[[#This Row],[SHORT-MODEL]])</f>
        <v/>
      </c>
      <c r="P67" s="11">
        <f t="array" ref="P67">TRIM(_xlfn.XLOOKUP(非皮卡压缩表[[#This Row],[BACKSIZE]],ALL尺码表[内部尺码],ALL尺码表[通用尺码]))</f>
        <v/>
      </c>
    </row>
    <row r="68">
      <c r="A68" s="17" t="inlineStr">
        <is>
          <t>ALL</t>
        </is>
      </c>
      <c r="B68" s="18" t="inlineStr">
        <is>
          <t>Audi A6/S6/RS6</t>
        </is>
      </c>
      <c r="C68" s="18" t="inlineStr">
        <is>
          <t>Audi</t>
        </is>
      </c>
      <c r="D68" s="18" t="inlineStr">
        <is>
          <t>A6/S6/RS6</t>
        </is>
      </c>
      <c r="E68" s="18" t="inlineStr">
        <is>
          <t>2001-2004</t>
        </is>
      </c>
      <c r="F68" s="18" t="inlineStr"/>
      <c r="G68" s="18" t="inlineStr">
        <is>
          <t>Sedan</t>
        </is>
      </c>
      <c r="H68" s="18" t="inlineStr">
        <is>
          <t>3XXL</t>
        </is>
      </c>
      <c r="I68" s="19">
        <f t="array" ref="I68">TRIM(_xlfn.XLOOKUP(非皮卡压缩表[[#This Row],[BACKSIZE]],ALL尺码表[内部尺码],ALL尺码表[分类],""))</f>
        <v/>
      </c>
      <c r="J68" s="19">
        <f t="array" ref="J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" s="20">
        <f>LEN(非皮卡压缩表[[#This Row],[LONG-TYPE]])</f>
        <v/>
      </c>
      <c r="L68" s="21">
        <f t="array" ref="L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" s="22">
        <f>LEN(非皮卡压缩表[[#This Row],[TYPE]])</f>
        <v/>
      </c>
      <c r="N68" s="22">
        <f t="array" ref="N68">_xlfn.XLOOKUP(非皮卡压缩表[[#This Row],[MODEL]],MODEL缩写表[长MODEL],MODEL缩写表[短MODEL],非皮卡压缩表[[#This Row],[MODEL]])</f>
        <v/>
      </c>
      <c r="O68" s="22">
        <f>LEN(非皮卡压缩表[[#This Row],[SHORT-MODEL]])</f>
        <v/>
      </c>
      <c r="P68" s="11">
        <f t="array" ref="P68">TRIM(_xlfn.XLOOKUP(非皮卡压缩表[[#This Row],[BACKSIZE]],ALL尺码表[内部尺码],ALL尺码表[通用尺码]))</f>
        <v/>
      </c>
    </row>
    <row r="69">
      <c r="A69" s="17" t="inlineStr">
        <is>
          <t>ALL</t>
        </is>
      </c>
      <c r="B69" s="18" t="inlineStr">
        <is>
          <t>Audi A7/S7/RS7</t>
        </is>
      </c>
      <c r="C69" s="18" t="inlineStr">
        <is>
          <t>Audi</t>
        </is>
      </c>
      <c r="D69" s="18" t="inlineStr">
        <is>
          <t>A7/S7/RS7</t>
        </is>
      </c>
      <c r="E69" s="18" t="inlineStr">
        <is>
          <t>2012-2025</t>
        </is>
      </c>
      <c r="F69" s="18" t="inlineStr"/>
      <c r="G69" s="18" t="inlineStr">
        <is>
          <t>Sportback</t>
        </is>
      </c>
      <c r="H69" s="18" t="inlineStr">
        <is>
          <t>2XL+</t>
        </is>
      </c>
      <c r="I69" s="19">
        <f t="array" ref="I69">TRIM(_xlfn.XLOOKUP(非皮卡压缩表[[#This Row],[BACKSIZE]],ALL尺码表[内部尺码],ALL尺码表[分类],""))</f>
        <v/>
      </c>
      <c r="J69" s="19">
        <f t="array" ref="J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" s="20">
        <f>LEN(非皮卡压缩表[[#This Row],[LONG-TYPE]])</f>
        <v/>
      </c>
      <c r="L69" s="21">
        <f t="array" ref="L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" s="22">
        <f>LEN(非皮卡压缩表[[#This Row],[TYPE]])</f>
        <v/>
      </c>
      <c r="N69" s="22">
        <f t="array" ref="N69">_xlfn.XLOOKUP(非皮卡压缩表[[#This Row],[MODEL]],MODEL缩写表[长MODEL],MODEL缩写表[短MODEL],非皮卡压缩表[[#This Row],[MODEL]])</f>
        <v/>
      </c>
      <c r="O69" s="22">
        <f>LEN(非皮卡压缩表[[#This Row],[SHORT-MODEL]])</f>
        <v/>
      </c>
      <c r="P69" s="11">
        <f t="array" ref="P69">TRIM(_xlfn.XLOOKUP(非皮卡压缩表[[#This Row],[BACKSIZE]],ALL尺码表[内部尺码],ALL尺码表[通用尺码]))</f>
        <v/>
      </c>
    </row>
    <row r="70">
      <c r="A70" s="17" t="inlineStr">
        <is>
          <t>ALL</t>
        </is>
      </c>
      <c r="B70" s="18" t="inlineStr">
        <is>
          <t>Audi A8/S8</t>
        </is>
      </c>
      <c r="C70" s="18" t="inlineStr">
        <is>
          <t>Audi</t>
        </is>
      </c>
      <c r="D70" s="18" t="inlineStr">
        <is>
          <t>A8/S8</t>
        </is>
      </c>
      <c r="E70" s="18" t="inlineStr">
        <is>
          <t>1997-2026</t>
        </is>
      </c>
      <c r="F70" s="18" t="inlineStr"/>
      <c r="G70" s="18" t="inlineStr">
        <is>
          <t>Sedan</t>
        </is>
      </c>
      <c r="H70" s="18" t="inlineStr">
        <is>
          <t>3XXL</t>
        </is>
      </c>
      <c r="I70" s="19">
        <f t="array" ref="I70">TRIM(_xlfn.XLOOKUP(非皮卡压缩表[[#This Row],[BACKSIZE]],ALL尺码表[内部尺码],ALL尺码表[分类],""))</f>
        <v/>
      </c>
      <c r="J70" s="19">
        <f t="array" ref="J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" s="20">
        <f>LEN(非皮卡压缩表[[#This Row],[LONG-TYPE]])</f>
        <v/>
      </c>
      <c r="L70" s="21">
        <f t="array" ref="L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" s="22">
        <f>LEN(非皮卡压缩表[[#This Row],[TYPE]])</f>
        <v/>
      </c>
      <c r="N70" s="22">
        <f t="array" ref="N70">_xlfn.XLOOKUP(非皮卡压缩表[[#This Row],[MODEL]],MODEL缩写表[长MODEL],MODEL缩写表[短MODEL],非皮卡压缩表[[#This Row],[MODEL]])</f>
        <v/>
      </c>
      <c r="O70" s="22">
        <f>LEN(非皮卡压缩表[[#This Row],[SHORT-MODEL]])</f>
        <v/>
      </c>
      <c r="P70" s="11">
        <f t="array" ref="P70">TRIM(_xlfn.XLOOKUP(非皮卡压缩表[[#This Row],[BACKSIZE]],ALL尺码表[内部尺码],ALL尺码表[通用尺码]))</f>
        <v/>
      </c>
    </row>
    <row r="71">
      <c r="A71" s="17" t="inlineStr">
        <is>
          <t>ALL</t>
        </is>
      </c>
      <c r="B71" s="18" t="inlineStr">
        <is>
          <t>Audi A8/S8</t>
        </is>
      </c>
      <c r="C71" s="18" t="inlineStr">
        <is>
          <t>Audi</t>
        </is>
      </c>
      <c r="D71" s="18" t="inlineStr">
        <is>
          <t>A8/S8</t>
        </is>
      </c>
      <c r="E71" s="18" t="inlineStr">
        <is>
          <t>2000-2018</t>
        </is>
      </c>
      <c r="F71" s="18" t="inlineStr">
        <is>
          <t>LWB</t>
        </is>
      </c>
      <c r="G71" s="18" t="inlineStr">
        <is>
          <t>Sedan</t>
        </is>
      </c>
      <c r="H71" s="18" t="inlineStr">
        <is>
          <t>3XXL</t>
        </is>
      </c>
      <c r="I71" s="19">
        <f t="array" ref="I71">TRIM(_xlfn.XLOOKUP(非皮卡压缩表[[#This Row],[BACKSIZE]],ALL尺码表[内部尺码],ALL尺码表[分类],""))</f>
        <v/>
      </c>
      <c r="J71" s="19">
        <f t="array" ref="J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" s="20">
        <f>LEN(非皮卡压缩表[[#This Row],[LONG-TYPE]])</f>
        <v/>
      </c>
      <c r="L71" s="21">
        <f t="array" ref="L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" s="22">
        <f>LEN(非皮卡压缩表[[#This Row],[TYPE]])</f>
        <v/>
      </c>
      <c r="N71" s="22">
        <f t="array" ref="N71">_xlfn.XLOOKUP(非皮卡压缩表[[#This Row],[MODEL]],MODEL缩写表[长MODEL],MODEL缩写表[短MODEL],非皮卡压缩表[[#This Row],[MODEL]])</f>
        <v/>
      </c>
      <c r="O71" s="22">
        <f>LEN(非皮卡压缩表[[#This Row],[SHORT-MODEL]])</f>
        <v/>
      </c>
      <c r="P71" s="11">
        <f t="array" ref="P71">TRIM(_xlfn.XLOOKUP(非皮卡压缩表[[#This Row],[BACKSIZE]],ALL尺码表[内部尺码],ALL尺码表[通用尺码]))</f>
        <v/>
      </c>
    </row>
    <row r="72">
      <c r="A72" s="17" t="inlineStr">
        <is>
          <t>ALL</t>
        </is>
      </c>
      <c r="B72" s="18" t="inlineStr">
        <is>
          <t>Audi A8/S8</t>
        </is>
      </c>
      <c r="C72" s="18" t="inlineStr">
        <is>
          <t>Audi</t>
        </is>
      </c>
      <c r="D72" s="18" t="inlineStr">
        <is>
          <t>A8/S8</t>
        </is>
      </c>
      <c r="E72" s="18" t="inlineStr">
        <is>
          <t>2019-2026</t>
        </is>
      </c>
      <c r="F72" s="18" t="inlineStr">
        <is>
          <t>LWB</t>
        </is>
      </c>
      <c r="G72" s="18" t="inlineStr">
        <is>
          <t>Sedan</t>
        </is>
      </c>
      <c r="H72" s="18" t="inlineStr">
        <is>
          <t>3XXXL</t>
        </is>
      </c>
      <c r="I72" s="19">
        <f t="array" ref="I72">TRIM(_xlfn.XLOOKUP(非皮卡压缩表[[#This Row],[BACKSIZE]],ALL尺码表[内部尺码],ALL尺码表[分类],""))</f>
        <v/>
      </c>
      <c r="J72" s="19">
        <f t="array" ref="J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" s="20">
        <f>LEN(非皮卡压缩表[[#This Row],[LONG-TYPE]])</f>
        <v/>
      </c>
      <c r="L72" s="21">
        <f t="array" ref="L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" s="22">
        <f>LEN(非皮卡压缩表[[#This Row],[TYPE]])</f>
        <v/>
      </c>
      <c r="N72" s="22">
        <f t="array" ref="N72">_xlfn.XLOOKUP(非皮卡压缩表[[#This Row],[MODEL]],MODEL缩写表[长MODEL],MODEL缩写表[短MODEL],非皮卡压缩表[[#This Row],[MODEL]])</f>
        <v/>
      </c>
      <c r="O72" s="22">
        <f>LEN(非皮卡压缩表[[#This Row],[SHORT-MODEL]])</f>
        <v/>
      </c>
      <c r="P72" s="11">
        <f t="array" ref="P72">TRIM(_xlfn.XLOOKUP(非皮卡压缩表[[#This Row],[BACKSIZE]],ALL尺码表[内部尺码],ALL尺码表[通用尺码]))</f>
        <v/>
      </c>
    </row>
    <row r="73">
      <c r="A73" s="17" t="inlineStr">
        <is>
          <t>ALL</t>
        </is>
      </c>
      <c r="B73" s="18" t="inlineStr">
        <is>
          <t>Audi Cabriolet</t>
        </is>
      </c>
      <c r="C73" s="18" t="inlineStr">
        <is>
          <t>Audi</t>
        </is>
      </c>
      <c r="D73" s="18" t="inlineStr">
        <is>
          <t>Cabriolet</t>
        </is>
      </c>
      <c r="E73" s="18" t="inlineStr">
        <is>
          <t>1995-1998</t>
        </is>
      </c>
      <c r="F73" s="18" t="inlineStr"/>
      <c r="G73" s="18" t="inlineStr">
        <is>
          <t>Convertible</t>
        </is>
      </c>
      <c r="H73" s="18" t="inlineStr">
        <is>
          <t>3M-0</t>
        </is>
      </c>
      <c r="I73" s="19">
        <f t="array" ref="I73">TRIM(_xlfn.XLOOKUP(非皮卡压缩表[[#This Row],[BACKSIZE]],ALL尺码表[内部尺码],ALL尺码表[分类],""))</f>
        <v/>
      </c>
      <c r="J73" s="19">
        <f t="array" ref="J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" s="20">
        <f>LEN(非皮卡压缩表[[#This Row],[LONG-TYPE]])</f>
        <v/>
      </c>
      <c r="L73" s="21">
        <f t="array" ref="L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" s="22">
        <f>LEN(非皮卡压缩表[[#This Row],[TYPE]])</f>
        <v/>
      </c>
      <c r="N73" s="22">
        <f t="array" ref="N73">_xlfn.XLOOKUP(非皮卡压缩表[[#This Row],[MODEL]],MODEL缩写表[长MODEL],MODEL缩写表[短MODEL],非皮卡压缩表[[#This Row],[MODEL]])</f>
        <v/>
      </c>
      <c r="O73" s="22">
        <f>LEN(非皮卡压缩表[[#This Row],[SHORT-MODEL]])</f>
        <v/>
      </c>
      <c r="P73" s="11">
        <f t="array" ref="P73">TRIM(_xlfn.XLOOKUP(非皮卡压缩表[[#This Row],[BACKSIZE]],ALL尺码表[内部尺码],ALL尺码表[通用尺码]))</f>
        <v/>
      </c>
    </row>
    <row r="74">
      <c r="A74" s="17" t="inlineStr">
        <is>
          <t>ALL</t>
        </is>
      </c>
      <c r="B74" s="18" t="inlineStr">
        <is>
          <t>Audi Q3</t>
        </is>
      </c>
      <c r="C74" s="18" t="inlineStr">
        <is>
          <t>Audi</t>
        </is>
      </c>
      <c r="D74" s="18" t="inlineStr">
        <is>
          <t>Q3</t>
        </is>
      </c>
      <c r="E74" s="18" t="inlineStr">
        <is>
          <t>2015-2026</t>
        </is>
      </c>
      <c r="F74" s="18" t="inlineStr"/>
      <c r="G74" s="18" t="inlineStr">
        <is>
          <t>SUV</t>
        </is>
      </c>
      <c r="H74" s="18" t="inlineStr">
        <is>
          <t>YM+</t>
        </is>
      </c>
      <c r="I74" s="19">
        <f t="array" ref="I74">TRIM(_xlfn.XLOOKUP(非皮卡压缩表[[#This Row],[BACKSIZE]],ALL尺码表[内部尺码],ALL尺码表[分类],""))</f>
        <v/>
      </c>
      <c r="J74" s="19">
        <f t="array" ref="J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" s="20">
        <f>LEN(非皮卡压缩表[[#This Row],[LONG-TYPE]])</f>
        <v/>
      </c>
      <c r="L74" s="21">
        <f t="array" ref="L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" s="22">
        <f>LEN(非皮卡压缩表[[#This Row],[TYPE]])</f>
        <v/>
      </c>
      <c r="N74" s="22">
        <f t="array" ref="N74">_xlfn.XLOOKUP(非皮卡压缩表[[#This Row],[MODEL]],MODEL缩写表[长MODEL],MODEL缩写表[短MODEL],非皮卡压缩表[[#This Row],[MODEL]])</f>
        <v/>
      </c>
      <c r="O74" s="22">
        <f>LEN(非皮卡压缩表[[#This Row],[SHORT-MODEL]])</f>
        <v/>
      </c>
      <c r="P74" s="11">
        <f t="array" ref="P74">TRIM(_xlfn.XLOOKUP(非皮卡压缩表[[#This Row],[BACKSIZE]],ALL尺码表[内部尺码],ALL尺码表[通用尺码]))</f>
        <v/>
      </c>
    </row>
    <row r="75">
      <c r="A75" s="17" t="inlineStr">
        <is>
          <t>ALL</t>
        </is>
      </c>
      <c r="B75" s="18" t="inlineStr">
        <is>
          <t>Audi Q4 e-tron</t>
        </is>
      </c>
      <c r="C75" s="18" t="inlineStr">
        <is>
          <t>Audi</t>
        </is>
      </c>
      <c r="D75" s="18" t="inlineStr">
        <is>
          <t>Q4 e-tron</t>
        </is>
      </c>
      <c r="E75" s="18" t="inlineStr">
        <is>
          <t>2022-2026</t>
        </is>
      </c>
      <c r="F75" s="18" t="inlineStr"/>
      <c r="G75" s="18" t="inlineStr">
        <is>
          <t>Sportback/SUV</t>
        </is>
      </c>
      <c r="H75" s="18" t="inlineStr">
        <is>
          <t>YM+</t>
        </is>
      </c>
      <c r="I75" s="19">
        <f t="array" ref="I75">TRIM(_xlfn.XLOOKUP(非皮卡压缩表[[#This Row],[BACKSIZE]],ALL尺码表[内部尺码],ALL尺码表[分类],""))</f>
        <v/>
      </c>
      <c r="J75" s="19">
        <f t="array" ref="J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" s="20">
        <f>LEN(非皮卡压缩表[[#This Row],[LONG-TYPE]])</f>
        <v/>
      </c>
      <c r="L75" s="21">
        <f t="array" ref="L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" s="22">
        <f>LEN(非皮卡压缩表[[#This Row],[TYPE]])</f>
        <v/>
      </c>
      <c r="N75" s="22">
        <f t="array" ref="N75">_xlfn.XLOOKUP(非皮卡压缩表[[#This Row],[MODEL]],MODEL缩写表[长MODEL],MODEL缩写表[短MODEL],非皮卡压缩表[[#This Row],[MODEL]])</f>
        <v/>
      </c>
      <c r="O75" s="22">
        <f>LEN(非皮卡压缩表[[#This Row],[SHORT-MODEL]])</f>
        <v/>
      </c>
      <c r="P75" s="11">
        <f t="array" ref="P75">TRIM(_xlfn.XLOOKUP(非皮卡压缩表[[#This Row],[BACKSIZE]],ALL尺码表[内部尺码],ALL尺码表[通用尺码]))</f>
        <v/>
      </c>
    </row>
    <row r="76">
      <c r="A76" s="17" t="inlineStr">
        <is>
          <t>ALL</t>
        </is>
      </c>
      <c r="B76" s="18" t="inlineStr">
        <is>
          <t>Audi Q5</t>
        </is>
      </c>
      <c r="C76" s="18" t="inlineStr">
        <is>
          <t>Audi</t>
        </is>
      </c>
      <c r="D76" s="18" t="inlineStr">
        <is>
          <t>Q5</t>
        </is>
      </c>
      <c r="E76" s="18" t="inlineStr">
        <is>
          <t>2009-2013</t>
        </is>
      </c>
      <c r="F76" s="18" t="inlineStr"/>
      <c r="G76" s="18" t="inlineStr">
        <is>
          <t>SUV</t>
        </is>
      </c>
      <c r="H76" s="18" t="inlineStr">
        <is>
          <t>YL</t>
        </is>
      </c>
      <c r="I76" s="19">
        <f t="array" ref="I76">TRIM(_xlfn.XLOOKUP(非皮卡压缩表[[#This Row],[BACKSIZE]],ALL尺码表[内部尺码],ALL尺码表[分类],""))</f>
        <v/>
      </c>
      <c r="J76" s="19">
        <f t="array" ref="J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" s="20">
        <f>LEN(非皮卡压缩表[[#This Row],[LONG-TYPE]])</f>
        <v/>
      </c>
      <c r="L76" s="21">
        <f t="array" ref="L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" s="22">
        <f>LEN(非皮卡压缩表[[#This Row],[TYPE]])</f>
        <v/>
      </c>
      <c r="N76" s="22">
        <f t="array" ref="N76">_xlfn.XLOOKUP(非皮卡压缩表[[#This Row],[MODEL]],MODEL缩写表[长MODEL],MODEL缩写表[短MODEL],非皮卡压缩表[[#This Row],[MODEL]])</f>
        <v/>
      </c>
      <c r="O76" s="22">
        <f>LEN(非皮卡压缩表[[#This Row],[SHORT-MODEL]])</f>
        <v/>
      </c>
      <c r="P76" s="11">
        <f t="array" ref="P76">TRIM(_xlfn.XLOOKUP(非皮卡压缩表[[#This Row],[BACKSIZE]],ALL尺码表[内部尺码],ALL尺码表[通用尺码]))</f>
        <v/>
      </c>
    </row>
    <row r="77">
      <c r="A77" s="17" t="inlineStr">
        <is>
          <t>ALL</t>
        </is>
      </c>
      <c r="B77" s="18" t="inlineStr">
        <is>
          <t>Audi Q5/SQ5</t>
        </is>
      </c>
      <c r="C77" s="18" t="inlineStr">
        <is>
          <t>Audi</t>
        </is>
      </c>
      <c r="D77" s="18" t="inlineStr">
        <is>
          <t>Q5/SQ5</t>
        </is>
      </c>
      <c r="E77" s="18" t="inlineStr">
        <is>
          <t>2014-2026</t>
        </is>
      </c>
      <c r="F77" s="18" t="inlineStr"/>
      <c r="G77" s="18" t="inlineStr">
        <is>
          <t>Sportback/SUV</t>
        </is>
      </c>
      <c r="H77" s="18" t="inlineStr">
        <is>
          <t>YL</t>
        </is>
      </c>
      <c r="I77" s="19">
        <f t="array" ref="I77">TRIM(_xlfn.XLOOKUP(非皮卡压缩表[[#This Row],[BACKSIZE]],ALL尺码表[内部尺码],ALL尺码表[分类],""))</f>
        <v/>
      </c>
      <c r="J77" s="19">
        <f t="array" ref="J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" s="20">
        <f>LEN(非皮卡压缩表[[#This Row],[LONG-TYPE]])</f>
        <v/>
      </c>
      <c r="L77" s="21">
        <f t="array" ref="L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" s="22">
        <f>LEN(非皮卡压缩表[[#This Row],[TYPE]])</f>
        <v/>
      </c>
      <c r="N77" s="22">
        <f t="array" ref="N77">_xlfn.XLOOKUP(非皮卡压缩表[[#This Row],[MODEL]],MODEL缩写表[长MODEL],MODEL缩写表[短MODEL],非皮卡压缩表[[#This Row],[MODEL]])</f>
        <v/>
      </c>
      <c r="O77" s="22">
        <f>LEN(非皮卡压缩表[[#This Row],[SHORT-MODEL]])</f>
        <v/>
      </c>
      <c r="P77" s="11">
        <f t="array" ref="P77">TRIM(_xlfn.XLOOKUP(非皮卡压缩表[[#This Row],[BACKSIZE]],ALL尺码表[内部尺码],ALL尺码表[通用尺码]))</f>
        <v/>
      </c>
    </row>
    <row r="78">
      <c r="A78" s="17" t="inlineStr">
        <is>
          <t>ALL</t>
        </is>
      </c>
      <c r="B78" s="18" t="inlineStr">
        <is>
          <t>Audi Q6/SQ6 e-tron</t>
        </is>
      </c>
      <c r="C78" s="18" t="inlineStr">
        <is>
          <t>Audi</t>
        </is>
      </c>
      <c r="D78" s="18" t="inlineStr">
        <is>
          <t>Q6/SQ6 e-tron</t>
        </is>
      </c>
      <c r="E78" s="18" t="inlineStr">
        <is>
          <t>2025</t>
        </is>
      </c>
      <c r="F78" s="18" t="inlineStr"/>
      <c r="G78" s="18" t="inlineStr">
        <is>
          <t>Sportback/SUV</t>
        </is>
      </c>
      <c r="H78" s="18" t="inlineStr">
        <is>
          <t>YL</t>
        </is>
      </c>
      <c r="I78" s="19">
        <f t="array" ref="I78">TRIM(_xlfn.XLOOKUP(非皮卡压缩表[[#This Row],[BACKSIZE]],ALL尺码表[内部尺码],ALL尺码表[分类],""))</f>
        <v/>
      </c>
      <c r="J78" s="19">
        <f t="array" ref="J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" s="20">
        <f>LEN(非皮卡压缩表[[#This Row],[LONG-TYPE]])</f>
        <v/>
      </c>
      <c r="L78" s="21">
        <f t="array" ref="L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" s="22">
        <f>LEN(非皮卡压缩表[[#This Row],[TYPE]])</f>
        <v/>
      </c>
      <c r="N78" s="22">
        <f t="array" ref="N78">_xlfn.XLOOKUP(非皮卡压缩表[[#This Row],[MODEL]],MODEL缩写表[长MODEL],MODEL缩写表[短MODEL],非皮卡压缩表[[#This Row],[MODEL]])</f>
        <v/>
      </c>
      <c r="O78" s="22">
        <f>LEN(非皮卡压缩表[[#This Row],[SHORT-MODEL]])</f>
        <v/>
      </c>
      <c r="P78" s="11">
        <f t="array" ref="P78">TRIM(_xlfn.XLOOKUP(非皮卡压缩表[[#This Row],[BACKSIZE]],ALL尺码表[内部尺码],ALL尺码表[通用尺码]))</f>
        <v/>
      </c>
    </row>
    <row r="79">
      <c r="A79" s="17" t="inlineStr">
        <is>
          <t>ALL</t>
        </is>
      </c>
      <c r="B79" s="18" t="inlineStr">
        <is>
          <t>Audi Q7</t>
        </is>
      </c>
      <c r="C79" s="18" t="inlineStr">
        <is>
          <t>Audi</t>
        </is>
      </c>
      <c r="D79" s="18" t="inlineStr">
        <is>
          <t>Q7</t>
        </is>
      </c>
      <c r="E79" s="18" t="inlineStr">
        <is>
          <t>2007-2019</t>
        </is>
      </c>
      <c r="F79" s="18" t="inlineStr"/>
      <c r="G79" s="18" t="inlineStr">
        <is>
          <t>SUV</t>
        </is>
      </c>
      <c r="H79" s="18" t="inlineStr">
        <is>
          <t>YXL</t>
        </is>
      </c>
      <c r="I79" s="19">
        <f t="array" ref="I79">TRIM(_xlfn.XLOOKUP(非皮卡压缩表[[#This Row],[BACKSIZE]],ALL尺码表[内部尺码],ALL尺码表[分类],""))</f>
        <v/>
      </c>
      <c r="J79" s="19">
        <f t="array" ref="J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" s="20">
        <f>LEN(非皮卡压缩表[[#This Row],[LONG-TYPE]])</f>
        <v/>
      </c>
      <c r="L79" s="21">
        <f t="array" ref="L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" s="22">
        <f>LEN(非皮卡压缩表[[#This Row],[TYPE]])</f>
        <v/>
      </c>
      <c r="N79" s="22">
        <f t="array" ref="N79">_xlfn.XLOOKUP(非皮卡压缩表[[#This Row],[MODEL]],MODEL缩写表[长MODEL],MODEL缩写表[短MODEL],非皮卡压缩表[[#This Row],[MODEL]])</f>
        <v/>
      </c>
      <c r="O79" s="22">
        <f>LEN(非皮卡压缩表[[#This Row],[SHORT-MODEL]])</f>
        <v/>
      </c>
      <c r="P79" s="11">
        <f t="array" ref="P79">TRIM(_xlfn.XLOOKUP(非皮卡压缩表[[#This Row],[BACKSIZE]],ALL尺码表[内部尺码],ALL尺码表[通用尺码]))</f>
        <v/>
      </c>
    </row>
    <row r="80">
      <c r="A80" s="17" t="inlineStr">
        <is>
          <t>ALL</t>
        </is>
      </c>
      <c r="B80" s="18" t="inlineStr">
        <is>
          <t>Audi Q7/SQ7</t>
        </is>
      </c>
      <c r="C80" s="18" t="inlineStr">
        <is>
          <t>Audi</t>
        </is>
      </c>
      <c r="D80" s="18" t="inlineStr">
        <is>
          <t>Q7/SQ7</t>
        </is>
      </c>
      <c r="E80" s="18" t="inlineStr">
        <is>
          <t>2020-2026</t>
        </is>
      </c>
      <c r="F80" s="18" t="inlineStr"/>
      <c r="G80" s="18" t="inlineStr">
        <is>
          <t>SUV</t>
        </is>
      </c>
      <c r="H80" s="18" t="inlineStr">
        <is>
          <t>YXL</t>
        </is>
      </c>
      <c r="I80" s="19">
        <f t="array" ref="I80">TRIM(_xlfn.XLOOKUP(非皮卡压缩表[[#This Row],[BACKSIZE]],ALL尺码表[内部尺码],ALL尺码表[分类],""))</f>
        <v/>
      </c>
      <c r="J80" s="19">
        <f t="array" ref="J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" s="20">
        <f>LEN(非皮卡压缩表[[#This Row],[LONG-TYPE]])</f>
        <v/>
      </c>
      <c r="L80" s="21">
        <f t="array" ref="L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" s="22">
        <f>LEN(非皮卡压缩表[[#This Row],[TYPE]])</f>
        <v/>
      </c>
      <c r="N80" s="22">
        <f t="array" ref="N80">_xlfn.XLOOKUP(非皮卡压缩表[[#This Row],[MODEL]],MODEL缩写表[长MODEL],MODEL缩写表[短MODEL],非皮卡压缩表[[#This Row],[MODEL]])</f>
        <v/>
      </c>
      <c r="O80" s="22">
        <f>LEN(非皮卡压缩表[[#This Row],[SHORT-MODEL]])</f>
        <v/>
      </c>
      <c r="P80" s="11">
        <f t="array" ref="P80">TRIM(_xlfn.XLOOKUP(非皮卡压缩表[[#This Row],[BACKSIZE]],ALL尺码表[内部尺码],ALL尺码表[通用尺码]))</f>
        <v/>
      </c>
    </row>
    <row r="81">
      <c r="A81" s="17" t="inlineStr">
        <is>
          <t>ALL</t>
        </is>
      </c>
      <c r="B81" s="18" t="inlineStr">
        <is>
          <t>Audi Q8</t>
        </is>
      </c>
      <c r="C81" s="18" t="inlineStr">
        <is>
          <t>Audi</t>
        </is>
      </c>
      <c r="D81" s="18" t="inlineStr">
        <is>
          <t>Q8</t>
        </is>
      </c>
      <c r="E81" s="18" t="inlineStr">
        <is>
          <t>2019</t>
        </is>
      </c>
      <c r="F81" s="18" t="inlineStr"/>
      <c r="G81" s="18" t="inlineStr">
        <is>
          <t>Coupe SUV</t>
        </is>
      </c>
      <c r="H81" s="18" t="inlineStr">
        <is>
          <t>YXL</t>
        </is>
      </c>
      <c r="I81" s="19">
        <f t="array" ref="I81">TRIM(_xlfn.XLOOKUP(非皮卡压缩表[[#This Row],[BACKSIZE]],ALL尺码表[内部尺码],ALL尺码表[分类],""))</f>
        <v/>
      </c>
      <c r="J81" s="19">
        <f t="array" ref="J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" s="20">
        <f>LEN(非皮卡压缩表[[#This Row],[LONG-TYPE]])</f>
        <v/>
      </c>
      <c r="L81" s="21">
        <f t="array" ref="L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" s="22">
        <f>LEN(非皮卡压缩表[[#This Row],[TYPE]])</f>
        <v/>
      </c>
      <c r="N81" s="22">
        <f t="array" ref="N81">_xlfn.XLOOKUP(非皮卡压缩表[[#This Row],[MODEL]],MODEL缩写表[长MODEL],MODEL缩写表[短MODEL],非皮卡压缩表[[#This Row],[MODEL]])</f>
        <v/>
      </c>
      <c r="O81" s="22">
        <f>LEN(非皮卡压缩表[[#This Row],[SHORT-MODEL]])</f>
        <v/>
      </c>
      <c r="P81" s="11">
        <f t="array" ref="P81">TRIM(_xlfn.XLOOKUP(非皮卡压缩表[[#This Row],[BACKSIZE]],ALL尺码表[内部尺码],ALL尺码表[通用尺码]))</f>
        <v/>
      </c>
    </row>
    <row r="82">
      <c r="A82" s="17" t="inlineStr">
        <is>
          <t>ALL</t>
        </is>
      </c>
      <c r="B82" s="18" t="inlineStr">
        <is>
          <t>Audi Q8 e-tron/SQ8 e-tron</t>
        </is>
      </c>
      <c r="C82" s="18" t="inlineStr">
        <is>
          <t>Audi</t>
        </is>
      </c>
      <c r="D82" s="18" t="inlineStr">
        <is>
          <t>Q8 e-tron/SQ8 e-tron</t>
        </is>
      </c>
      <c r="E82" s="18" t="inlineStr">
        <is>
          <t>2024-2025</t>
        </is>
      </c>
      <c r="F82" s="18" t="inlineStr"/>
      <c r="G82" s="18" t="inlineStr">
        <is>
          <t>Sportback/SUV</t>
        </is>
      </c>
      <c r="H82" s="18" t="inlineStr">
        <is>
          <t>YXL</t>
        </is>
      </c>
      <c r="I82" s="19">
        <f t="array" ref="I82">TRIM(_xlfn.XLOOKUP(非皮卡压缩表[[#This Row],[BACKSIZE]],ALL尺码表[内部尺码],ALL尺码表[分类],""))</f>
        <v/>
      </c>
      <c r="J82" s="19">
        <f t="array" ref="J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" s="20">
        <f>LEN(非皮卡压缩表[[#This Row],[LONG-TYPE]])</f>
        <v/>
      </c>
      <c r="L82" s="21">
        <f t="array" ref="L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" s="22">
        <f>LEN(非皮卡压缩表[[#This Row],[TYPE]])</f>
        <v/>
      </c>
      <c r="N82" s="22">
        <f t="array" ref="N82">_xlfn.XLOOKUP(非皮卡压缩表[[#This Row],[MODEL]],MODEL缩写表[长MODEL],MODEL缩写表[短MODEL],非皮卡压缩表[[#This Row],[MODEL]])</f>
        <v/>
      </c>
      <c r="O82" s="22">
        <f>LEN(非皮卡压缩表[[#This Row],[SHORT-MODEL]])</f>
        <v/>
      </c>
      <c r="P82" s="11">
        <f t="array" ref="P82">TRIM(_xlfn.XLOOKUP(非皮卡压缩表[[#This Row],[BACKSIZE]],ALL尺码表[内部尺码],ALL尺码表[通用尺码]))</f>
        <v/>
      </c>
    </row>
    <row r="83">
      <c r="A83" s="17" t="inlineStr">
        <is>
          <t>ALL</t>
        </is>
      </c>
      <c r="B83" s="18" t="inlineStr">
        <is>
          <t>Audi Q8/SQ8/RS Q8</t>
        </is>
      </c>
      <c r="C83" s="18" t="inlineStr">
        <is>
          <t>Audi</t>
        </is>
      </c>
      <c r="D83" s="18" t="inlineStr">
        <is>
          <t>Q8/SQ8/RS Q8</t>
        </is>
      </c>
      <c r="E83" s="18" t="inlineStr">
        <is>
          <t>2020-2026</t>
        </is>
      </c>
      <c r="F83" s="18" t="inlineStr"/>
      <c r="G83" s="18" t="inlineStr">
        <is>
          <t>Coupe SUV</t>
        </is>
      </c>
      <c r="H83" s="18" t="inlineStr">
        <is>
          <t>YXL</t>
        </is>
      </c>
      <c r="I83" s="19">
        <f t="array" ref="I83">TRIM(_xlfn.XLOOKUP(非皮卡压缩表[[#This Row],[BACKSIZE]],ALL尺码表[内部尺码],ALL尺码表[分类],""))</f>
        <v/>
      </c>
      <c r="J83" s="19">
        <f t="array" ref="J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" s="20">
        <f>LEN(非皮卡压缩表[[#This Row],[LONG-TYPE]])</f>
        <v/>
      </c>
      <c r="L83" s="21">
        <f t="array" ref="L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" s="22">
        <f>LEN(非皮卡压缩表[[#This Row],[TYPE]])</f>
        <v/>
      </c>
      <c r="N83" s="22">
        <f t="array" ref="N83">_xlfn.XLOOKUP(非皮卡压缩表[[#This Row],[MODEL]],MODEL缩写表[长MODEL],MODEL缩写表[短MODEL],非皮卡压缩表[[#This Row],[MODEL]])</f>
        <v/>
      </c>
      <c r="O83" s="22">
        <f>LEN(非皮卡压缩表[[#This Row],[SHORT-MODEL]])</f>
        <v/>
      </c>
      <c r="P83" s="11">
        <f t="array" ref="P83">TRIM(_xlfn.XLOOKUP(非皮卡压缩表[[#This Row],[BACKSIZE]],ALL尺码表[内部尺码],ALL尺码表[通用尺码]))</f>
        <v/>
      </c>
    </row>
    <row r="84">
      <c r="A84" s="17" t="inlineStr">
        <is>
          <t>ALL</t>
        </is>
      </c>
      <c r="B84" s="18" t="inlineStr">
        <is>
          <t>Audi R8/R8 GT</t>
        </is>
      </c>
      <c r="C84" s="18" t="inlineStr">
        <is>
          <t>Audi</t>
        </is>
      </c>
      <c r="D84" s="18" t="inlineStr">
        <is>
          <t>R8/R8 GT</t>
        </is>
      </c>
      <c r="E84" s="18" t="inlineStr">
        <is>
          <t>2008-2023</t>
        </is>
      </c>
      <c r="F84" s="18" t="inlineStr">
        <is>
          <t>Incl: Spyder</t>
        </is>
      </c>
      <c r="G84" s="18" t="inlineStr">
        <is>
          <t>Convertible/Coupe</t>
        </is>
      </c>
      <c r="H84" s="18" t="inlineStr">
        <is>
          <t>3M-0</t>
        </is>
      </c>
      <c r="I84" s="19">
        <f t="array" ref="I84">TRIM(_xlfn.XLOOKUP(非皮卡压缩表[[#This Row],[BACKSIZE]],ALL尺码表[内部尺码],ALL尺码表[分类],""))</f>
        <v/>
      </c>
      <c r="J84" s="19">
        <f t="array" ref="J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" s="20">
        <f>LEN(非皮卡压缩表[[#This Row],[LONG-TYPE]])</f>
        <v/>
      </c>
      <c r="L84" s="21">
        <f t="array" ref="L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" s="22">
        <f>LEN(非皮卡压缩表[[#This Row],[TYPE]])</f>
        <v/>
      </c>
      <c r="N84" s="22">
        <f t="array" ref="N84">_xlfn.XLOOKUP(非皮卡压缩表[[#This Row],[MODEL]],MODEL缩写表[长MODEL],MODEL缩写表[短MODEL],非皮卡压缩表[[#This Row],[MODEL]])</f>
        <v/>
      </c>
      <c r="O84" s="22">
        <f>LEN(非皮卡压缩表[[#This Row],[SHORT-MODEL]])</f>
        <v/>
      </c>
      <c r="P84" s="11">
        <f t="array" ref="P84">TRIM(_xlfn.XLOOKUP(非皮卡压缩表[[#This Row],[BACKSIZE]],ALL尺码表[内部尺码],ALL尺码表[通用尺码]))</f>
        <v/>
      </c>
    </row>
    <row r="85">
      <c r="A85" s="17" t="inlineStr">
        <is>
          <t>ALL</t>
        </is>
      </c>
      <c r="B85" s="18" t="inlineStr">
        <is>
          <t>Audi RS7</t>
        </is>
      </c>
      <c r="C85" s="18" t="inlineStr">
        <is>
          <t>Audi</t>
        </is>
      </c>
      <c r="D85" s="18" t="inlineStr">
        <is>
          <t>RS7</t>
        </is>
      </c>
      <c r="E85" s="18" t="inlineStr">
        <is>
          <t>2026</t>
        </is>
      </c>
      <c r="F85" s="18" t="inlineStr"/>
      <c r="G85" s="18" t="inlineStr">
        <is>
          <t>Sportback</t>
        </is>
      </c>
      <c r="H85" s="18" t="inlineStr">
        <is>
          <t>2XL+</t>
        </is>
      </c>
      <c r="I85" s="19">
        <f t="array" ref="I85">TRIM(_xlfn.XLOOKUP(非皮卡压缩表[[#This Row],[BACKSIZE]],ALL尺码表[内部尺码],ALL尺码表[分类],""))</f>
        <v/>
      </c>
      <c r="J85" s="19">
        <f t="array" ref="J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" s="20">
        <f>LEN(非皮卡压缩表[[#This Row],[LONG-TYPE]])</f>
        <v/>
      </c>
      <c r="L85" s="21">
        <f t="array" ref="L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" s="22">
        <f>LEN(非皮卡压缩表[[#This Row],[TYPE]])</f>
        <v/>
      </c>
      <c r="N85" s="22">
        <f t="array" ref="N85">_xlfn.XLOOKUP(非皮卡压缩表[[#This Row],[MODEL]],MODEL缩写表[长MODEL],MODEL缩写表[短MODEL],非皮卡压缩表[[#This Row],[MODEL]])</f>
        <v/>
      </c>
      <c r="O85" s="22">
        <f>LEN(非皮卡压缩表[[#This Row],[SHORT-MODEL]])</f>
        <v/>
      </c>
      <c r="P85" s="11">
        <f t="array" ref="P85">TRIM(_xlfn.XLOOKUP(非皮卡压缩表[[#This Row],[BACKSIZE]],ALL尺码表[内部尺码],ALL尺码表[通用尺码]))</f>
        <v/>
      </c>
    </row>
    <row r="86">
      <c r="A86" s="17" t="inlineStr">
        <is>
          <t>ALL</t>
        </is>
      </c>
      <c r="B86" s="18" t="inlineStr">
        <is>
          <t>Audi TT/TTS/TT RS</t>
        </is>
      </c>
      <c r="C86" s="18" t="inlineStr">
        <is>
          <t>Audi</t>
        </is>
      </c>
      <c r="D86" s="18" t="inlineStr">
        <is>
          <t>TT/TTS/TT RS</t>
        </is>
      </c>
      <c r="E86" s="18" t="inlineStr">
        <is>
          <t>2000-2006</t>
        </is>
      </c>
      <c r="F86" s="18" t="inlineStr"/>
      <c r="G86" s="18" t="inlineStr">
        <is>
          <t>Convertible/Coupe</t>
        </is>
      </c>
      <c r="H86" s="18" t="inlineStr">
        <is>
          <t>3S-0</t>
        </is>
      </c>
      <c r="I86" s="19">
        <f t="array" ref="I86">TRIM(_xlfn.XLOOKUP(非皮卡压缩表[[#This Row],[BACKSIZE]],ALL尺码表[内部尺码],ALL尺码表[分类],""))</f>
        <v/>
      </c>
      <c r="J86" s="19">
        <f t="array" ref="J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" s="20">
        <f>LEN(非皮卡压缩表[[#This Row],[LONG-TYPE]])</f>
        <v/>
      </c>
      <c r="L86" s="21">
        <f t="array" ref="L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" s="22">
        <f>LEN(非皮卡压缩表[[#This Row],[TYPE]])</f>
        <v/>
      </c>
      <c r="N86" s="22">
        <f t="array" ref="N86">_xlfn.XLOOKUP(非皮卡压缩表[[#This Row],[MODEL]],MODEL缩写表[长MODEL],MODEL缩写表[短MODEL],非皮卡压缩表[[#This Row],[MODEL]])</f>
        <v/>
      </c>
      <c r="O86" s="22">
        <f>LEN(非皮卡压缩表[[#This Row],[SHORT-MODEL]])</f>
        <v/>
      </c>
      <c r="P86" s="11">
        <f t="array" ref="P86">TRIM(_xlfn.XLOOKUP(非皮卡压缩表[[#This Row],[BACKSIZE]],ALL尺码表[内部尺码],ALL尺码表[通用尺码]))</f>
        <v/>
      </c>
    </row>
    <row r="87">
      <c r="A87" s="17" t="inlineStr">
        <is>
          <t>ALL</t>
        </is>
      </c>
      <c r="B87" s="18" t="inlineStr">
        <is>
          <t>Audi TT/TTS/TT RS</t>
        </is>
      </c>
      <c r="C87" s="18" t="inlineStr">
        <is>
          <t>Audi</t>
        </is>
      </c>
      <c r="D87" s="18" t="inlineStr">
        <is>
          <t>TT/TTS/TT RS</t>
        </is>
      </c>
      <c r="E87" s="18" t="inlineStr">
        <is>
          <t>2008-2023</t>
        </is>
      </c>
      <c r="F87" s="18" t="inlineStr"/>
      <c r="G87" s="18" t="inlineStr">
        <is>
          <t>Convertible/Coupe</t>
        </is>
      </c>
      <c r="H87" s="18" t="inlineStr">
        <is>
          <t>3M-0</t>
        </is>
      </c>
      <c r="I87" s="19">
        <f t="array" ref="I87">TRIM(_xlfn.XLOOKUP(非皮卡压缩表[[#This Row],[BACKSIZE]],ALL尺码表[内部尺码],ALL尺码表[分类],""))</f>
        <v/>
      </c>
      <c r="J87" s="19">
        <f t="array" ref="J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" s="20">
        <f>LEN(非皮卡压缩表[[#This Row],[LONG-TYPE]])</f>
        <v/>
      </c>
      <c r="L87" s="21">
        <f t="array" ref="L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" s="22">
        <f>LEN(非皮卡压缩表[[#This Row],[TYPE]])</f>
        <v/>
      </c>
      <c r="N87" s="22">
        <f t="array" ref="N87">_xlfn.XLOOKUP(非皮卡压缩表[[#This Row],[MODEL]],MODEL缩写表[长MODEL],MODEL缩写表[短MODEL],非皮卡压缩表[[#This Row],[MODEL]])</f>
        <v/>
      </c>
      <c r="O87" s="22">
        <f>LEN(非皮卡压缩表[[#This Row],[SHORT-MODEL]])</f>
        <v/>
      </c>
      <c r="P87" s="11">
        <f t="array" ref="P87">TRIM(_xlfn.XLOOKUP(非皮卡压缩表[[#This Row],[BACKSIZE]],ALL尺码表[内部尺码],ALL尺码表[通用尺码]))</f>
        <v/>
      </c>
    </row>
    <row r="88">
      <c r="A88" s="17" t="inlineStr">
        <is>
          <t>ALL</t>
        </is>
      </c>
      <c r="B88" s="18" t="inlineStr">
        <is>
          <t>Audi e-tron GT/RS e-tron GT</t>
        </is>
      </c>
      <c r="C88" s="18" t="inlineStr">
        <is>
          <t>Audi</t>
        </is>
      </c>
      <c r="D88" s="18" t="inlineStr">
        <is>
          <t>e-tron GT/RS e-tron GT</t>
        </is>
      </c>
      <c r="E88" s="18" t="inlineStr">
        <is>
          <t>2022-2024</t>
        </is>
      </c>
      <c r="F88" s="18" t="inlineStr"/>
      <c r="G88" s="18" t="inlineStr">
        <is>
          <t>Sedan</t>
        </is>
      </c>
      <c r="H88" s="18" t="inlineStr">
        <is>
          <t>3XL+0</t>
        </is>
      </c>
      <c r="I88" s="19">
        <f t="array" ref="I88">TRIM(_xlfn.XLOOKUP(非皮卡压缩表[[#This Row],[BACKSIZE]],ALL尺码表[内部尺码],ALL尺码表[分类],""))</f>
        <v/>
      </c>
      <c r="J88" s="19">
        <f t="array" ref="J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" s="20">
        <f>LEN(非皮卡压缩表[[#This Row],[LONG-TYPE]])</f>
        <v/>
      </c>
      <c r="L88" s="21">
        <f t="array" ref="L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" s="22">
        <f>LEN(非皮卡压缩表[[#This Row],[TYPE]])</f>
        <v/>
      </c>
      <c r="N88" s="22">
        <f t="array" ref="N88">_xlfn.XLOOKUP(非皮卡压缩表[[#This Row],[MODEL]],MODEL缩写表[长MODEL],MODEL缩写表[短MODEL],非皮卡压缩表[[#This Row],[MODEL]])</f>
        <v/>
      </c>
      <c r="O88" s="22">
        <f>LEN(非皮卡压缩表[[#This Row],[SHORT-MODEL]])</f>
        <v/>
      </c>
      <c r="P88" s="11">
        <f t="array" ref="P88">TRIM(_xlfn.XLOOKUP(非皮卡压缩表[[#This Row],[BACKSIZE]],ALL尺码表[内部尺码],ALL尺码表[通用尺码]))</f>
        <v/>
      </c>
    </row>
    <row r="89">
      <c r="A89" s="17" t="inlineStr">
        <is>
          <t>ALL</t>
        </is>
      </c>
      <c r="B89" s="18" t="inlineStr">
        <is>
          <t>Audi e-tron GT/S e-tron GT/RS e-tron GT</t>
        </is>
      </c>
      <c r="C89" s="18" t="inlineStr">
        <is>
          <t>Audi</t>
        </is>
      </c>
      <c r="D89" s="18" t="inlineStr">
        <is>
          <t>e-tron GT/S e-tron GT/RS e-tron GT</t>
        </is>
      </c>
      <c r="E89" s="18" t="inlineStr">
        <is>
          <t>2025-2026</t>
        </is>
      </c>
      <c r="F89" s="18" t="inlineStr"/>
      <c r="G89" s="18" t="inlineStr">
        <is>
          <t>Sedan</t>
        </is>
      </c>
      <c r="H89" s="18" t="inlineStr">
        <is>
          <t>3XL+0</t>
        </is>
      </c>
      <c r="I89" s="19">
        <f t="array" ref="I89">TRIM(_xlfn.XLOOKUP(非皮卡压缩表[[#This Row],[BACKSIZE]],ALL尺码表[内部尺码],ALL尺码表[分类],""))</f>
        <v/>
      </c>
      <c r="J89" s="19">
        <f t="array" ref="J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" s="20">
        <f>LEN(非皮卡压缩表[[#This Row],[LONG-TYPE]])</f>
        <v/>
      </c>
      <c r="L89" s="21">
        <f t="array" ref="L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" s="22">
        <f>LEN(非皮卡压缩表[[#This Row],[TYPE]])</f>
        <v/>
      </c>
      <c r="N89" s="22">
        <f t="array" ref="N89">_xlfn.XLOOKUP(非皮卡压缩表[[#This Row],[MODEL]],MODEL缩写表[长MODEL],MODEL缩写表[短MODEL],非皮卡压缩表[[#This Row],[MODEL]])</f>
        <v/>
      </c>
      <c r="O89" s="22">
        <f>LEN(非皮卡压缩表[[#This Row],[SHORT-MODEL]])</f>
        <v/>
      </c>
      <c r="P89" s="11">
        <f t="array" ref="P89">TRIM(_xlfn.XLOOKUP(非皮卡压缩表[[#This Row],[BACKSIZE]],ALL尺码表[内部尺码],ALL尺码表[通用尺码]))</f>
        <v/>
      </c>
    </row>
    <row r="90">
      <c r="A90" s="17" t="inlineStr">
        <is>
          <t>ALL</t>
        </is>
      </c>
      <c r="B90" s="18" t="inlineStr">
        <is>
          <t>Audi e-tron/S e-tron</t>
        </is>
      </c>
      <c r="C90" s="18" t="inlineStr">
        <is>
          <t>Audi</t>
        </is>
      </c>
      <c r="D90" s="18" t="inlineStr">
        <is>
          <t>e-tron/S e-tron</t>
        </is>
      </c>
      <c r="E90" s="18" t="inlineStr">
        <is>
          <t>2019-2023</t>
        </is>
      </c>
      <c r="F90" s="18" t="inlineStr"/>
      <c r="G90" s="18" t="inlineStr">
        <is>
          <t>Sportback/SUV</t>
        </is>
      </c>
      <c r="H90" s="18" t="inlineStr">
        <is>
          <t>YXL</t>
        </is>
      </c>
      <c r="I90" s="19">
        <f t="array" ref="I90">TRIM(_xlfn.XLOOKUP(非皮卡压缩表[[#This Row],[BACKSIZE]],ALL尺码表[内部尺码],ALL尺码表[分类],""))</f>
        <v/>
      </c>
      <c r="J90" s="19">
        <f t="array" ref="J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" s="20">
        <f>LEN(非皮卡压缩表[[#This Row],[LONG-TYPE]])</f>
        <v/>
      </c>
      <c r="L90" s="21">
        <f t="array" ref="L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" s="22">
        <f>LEN(非皮卡压缩表[[#This Row],[TYPE]])</f>
        <v/>
      </c>
      <c r="N90" s="22">
        <f t="array" ref="N90">_xlfn.XLOOKUP(非皮卡压缩表[[#This Row],[MODEL]],MODEL缩写表[长MODEL],MODEL缩写表[短MODEL],非皮卡压缩表[[#This Row],[MODEL]])</f>
        <v/>
      </c>
      <c r="O90" s="22">
        <f>LEN(非皮卡压缩表[[#This Row],[SHORT-MODEL]])</f>
        <v/>
      </c>
      <c r="P90" s="11">
        <f t="array" ref="P90">TRIM(_xlfn.XLOOKUP(非皮卡压缩表[[#This Row],[BACKSIZE]],ALL尺码表[内部尺码],ALL尺码表[通用尺码]))</f>
        <v/>
      </c>
    </row>
    <row r="91">
      <c r="A91" s="17" t="inlineStr">
        <is>
          <t>ALL</t>
        </is>
      </c>
      <c r="B91" s="18" t="inlineStr">
        <is>
          <t>BMW 1 Series</t>
        </is>
      </c>
      <c r="C91" s="18" t="inlineStr">
        <is>
          <t>BMW</t>
        </is>
      </c>
      <c r="D91" s="18" t="inlineStr">
        <is>
          <t>1 Series</t>
        </is>
      </c>
      <c r="E91" s="18" t="inlineStr">
        <is>
          <t>2008-2013</t>
        </is>
      </c>
      <c r="F91" s="18" t="inlineStr"/>
      <c r="G91" s="18" t="inlineStr">
        <is>
          <t>Convertible/Coupe</t>
        </is>
      </c>
      <c r="H91" s="18" t="inlineStr">
        <is>
          <t>3M-0</t>
        </is>
      </c>
      <c r="I91" s="19">
        <f t="array" ref="I91">TRIM(_xlfn.XLOOKUP(非皮卡压缩表[[#This Row],[BACKSIZE]],ALL尺码表[内部尺码],ALL尺码表[分类],""))</f>
        <v/>
      </c>
      <c r="J91" s="19">
        <f t="array" ref="J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" s="20">
        <f>LEN(非皮卡压缩表[[#This Row],[LONG-TYPE]])</f>
        <v/>
      </c>
      <c r="L91" s="21">
        <f t="array" ref="L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" s="22">
        <f>LEN(非皮卡压缩表[[#This Row],[TYPE]])</f>
        <v/>
      </c>
      <c r="N91" s="22">
        <f t="array" ref="N91">_xlfn.XLOOKUP(非皮卡压缩表[[#This Row],[MODEL]],MODEL缩写表[长MODEL],MODEL缩写表[短MODEL],非皮卡压缩表[[#This Row],[MODEL]])</f>
        <v/>
      </c>
      <c r="O91" s="22">
        <f>LEN(非皮卡压缩表[[#This Row],[SHORT-MODEL]])</f>
        <v/>
      </c>
      <c r="P91" s="11">
        <f t="array" ref="P91">TRIM(_xlfn.XLOOKUP(非皮卡压缩表[[#This Row],[BACKSIZE]],ALL尺码表[内部尺码],ALL尺码表[通用尺码]))</f>
        <v/>
      </c>
    </row>
    <row r="92">
      <c r="A92" s="17" t="inlineStr">
        <is>
          <t>ALL</t>
        </is>
      </c>
      <c r="B92" s="18" t="inlineStr">
        <is>
          <t>BMW 2 Series</t>
        </is>
      </c>
      <c r="C92" s="18" t="inlineStr">
        <is>
          <t>BMW</t>
        </is>
      </c>
      <c r="D92" s="18" t="inlineStr">
        <is>
          <t>2 Series</t>
        </is>
      </c>
      <c r="E92" s="18" t="inlineStr">
        <is>
          <t>2014-2021</t>
        </is>
      </c>
      <c r="F92" s="18" t="inlineStr"/>
      <c r="G92" s="18" t="inlineStr">
        <is>
          <t>Convertible/Coupe</t>
        </is>
      </c>
      <c r="H92" s="18" t="inlineStr">
        <is>
          <t>3M-0</t>
        </is>
      </c>
      <c r="I92" s="19">
        <f t="array" ref="I92">TRIM(_xlfn.XLOOKUP(非皮卡压缩表[[#This Row],[BACKSIZE]],ALL尺码表[内部尺码],ALL尺码表[分类],""))</f>
        <v/>
      </c>
      <c r="J92" s="19">
        <f t="array" ref="J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" s="20">
        <f>LEN(非皮卡压缩表[[#This Row],[LONG-TYPE]])</f>
        <v/>
      </c>
      <c r="L92" s="21">
        <f t="array" ref="L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" s="22">
        <f>LEN(非皮卡压缩表[[#This Row],[TYPE]])</f>
        <v/>
      </c>
      <c r="N92" s="22">
        <f t="array" ref="N92">_xlfn.XLOOKUP(非皮卡压缩表[[#This Row],[MODEL]],MODEL缩写表[长MODEL],MODEL缩写表[短MODEL],非皮卡压缩表[[#This Row],[MODEL]])</f>
        <v/>
      </c>
      <c r="O92" s="22">
        <f>LEN(非皮卡压缩表[[#This Row],[SHORT-MODEL]])</f>
        <v/>
      </c>
      <c r="P92" s="11">
        <f t="array" ref="P92">TRIM(_xlfn.XLOOKUP(非皮卡压缩表[[#This Row],[BACKSIZE]],ALL尺码表[内部尺码],ALL尺码表[通用尺码]))</f>
        <v/>
      </c>
    </row>
    <row r="93">
      <c r="A93" s="17" t="inlineStr">
        <is>
          <t>ALL</t>
        </is>
      </c>
      <c r="B93" s="18" t="inlineStr">
        <is>
          <t>BMW 2 Series</t>
        </is>
      </c>
      <c r="C93" s="18" t="inlineStr">
        <is>
          <t>BMW</t>
        </is>
      </c>
      <c r="D93" s="18" t="inlineStr">
        <is>
          <t>2 Series</t>
        </is>
      </c>
      <c r="E93" s="18" t="inlineStr">
        <is>
          <t>2020-2026</t>
        </is>
      </c>
      <c r="F93" s="18" t="inlineStr">
        <is>
          <t>Gran Coupe</t>
        </is>
      </c>
      <c r="G93" s="18" t="inlineStr">
        <is>
          <t>Sedan</t>
        </is>
      </c>
      <c r="H93" s="18" t="inlineStr">
        <is>
          <t>3L</t>
        </is>
      </c>
      <c r="I93" s="19">
        <f t="array" ref="I93">TRIM(_xlfn.XLOOKUP(非皮卡压缩表[[#This Row],[BACKSIZE]],ALL尺码表[内部尺码],ALL尺码表[分类],""))</f>
        <v/>
      </c>
      <c r="J93" s="19">
        <f t="array" ref="J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" s="20">
        <f>LEN(非皮卡压缩表[[#This Row],[LONG-TYPE]])</f>
        <v/>
      </c>
      <c r="L93" s="21">
        <f t="array" ref="L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" s="22">
        <f>LEN(非皮卡压缩表[[#This Row],[TYPE]])</f>
        <v/>
      </c>
      <c r="N93" s="22">
        <f t="array" ref="N93">_xlfn.XLOOKUP(非皮卡压缩表[[#This Row],[MODEL]],MODEL缩写表[长MODEL],MODEL缩写表[短MODEL],非皮卡压缩表[[#This Row],[MODEL]])</f>
        <v/>
      </c>
      <c r="O93" s="22">
        <f>LEN(非皮卡压缩表[[#This Row],[SHORT-MODEL]])</f>
        <v/>
      </c>
      <c r="P93" s="11">
        <f t="array" ref="P93">TRIM(_xlfn.XLOOKUP(非皮卡压缩表[[#This Row],[BACKSIZE]],ALL尺码表[内部尺码],ALL尺码表[通用尺码]))</f>
        <v/>
      </c>
    </row>
    <row r="94">
      <c r="A94" s="17" t="inlineStr">
        <is>
          <t>ALL</t>
        </is>
      </c>
      <c r="B94" s="18" t="inlineStr">
        <is>
          <t>BMW 2 Series</t>
        </is>
      </c>
      <c r="C94" s="18" t="inlineStr">
        <is>
          <t>BMW</t>
        </is>
      </c>
      <c r="D94" s="18" t="inlineStr">
        <is>
          <t>2 Series</t>
        </is>
      </c>
      <c r="E94" s="18" t="inlineStr">
        <is>
          <t>2022-2026</t>
        </is>
      </c>
      <c r="F94" s="18" t="inlineStr">
        <is>
          <t>M2</t>
        </is>
      </c>
      <c r="G94" s="18" t="inlineStr">
        <is>
          <t>Coupe</t>
        </is>
      </c>
      <c r="H94" s="18" t="inlineStr">
        <is>
          <t>3L-0</t>
        </is>
      </c>
      <c r="I94" s="19">
        <f t="array" ref="I94">TRIM(_xlfn.XLOOKUP(非皮卡压缩表[[#This Row],[BACKSIZE]],ALL尺码表[内部尺码],ALL尺码表[分类],""))</f>
        <v/>
      </c>
      <c r="J94" s="19">
        <f t="array" ref="J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" s="20">
        <f>LEN(非皮卡压缩表[[#This Row],[LONG-TYPE]])</f>
        <v/>
      </c>
      <c r="L94" s="21">
        <f t="array" ref="L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" s="22">
        <f>LEN(非皮卡压缩表[[#This Row],[TYPE]])</f>
        <v/>
      </c>
      <c r="N94" s="22">
        <f t="array" ref="N94">_xlfn.XLOOKUP(非皮卡压缩表[[#This Row],[MODEL]],MODEL缩写表[长MODEL],MODEL缩写表[短MODEL],非皮卡压缩表[[#This Row],[MODEL]])</f>
        <v/>
      </c>
      <c r="O94" s="22">
        <f>LEN(非皮卡压缩表[[#This Row],[SHORT-MODEL]])</f>
        <v/>
      </c>
      <c r="P94" s="11">
        <f t="array" ref="P94">TRIM(_xlfn.XLOOKUP(非皮卡压缩表[[#This Row],[BACKSIZE]],ALL尺码表[内部尺码],ALL尺码表[通用尺码]))</f>
        <v/>
      </c>
    </row>
    <row r="95">
      <c r="A95" s="17" t="inlineStr">
        <is>
          <t>ALL</t>
        </is>
      </c>
      <c r="B95" s="18" t="inlineStr">
        <is>
          <t>BMW 3 Series</t>
        </is>
      </c>
      <c r="C95" s="18" t="inlineStr">
        <is>
          <t>BMW</t>
        </is>
      </c>
      <c r="D95" s="18" t="inlineStr">
        <is>
          <t>3 Series</t>
        </is>
      </c>
      <c r="E95" s="18" t="inlineStr">
        <is>
          <t>1977-2006</t>
        </is>
      </c>
      <c r="F95" s="18" t="inlineStr"/>
      <c r="G95" s="18" t="inlineStr">
        <is>
          <t>Convertible/Coupe</t>
        </is>
      </c>
      <c r="H95" s="18" t="inlineStr">
        <is>
          <t>3M-0</t>
        </is>
      </c>
      <c r="I95" s="19">
        <f t="array" ref="I95">TRIM(_xlfn.XLOOKUP(非皮卡压缩表[[#This Row],[BACKSIZE]],ALL尺码表[内部尺码],ALL尺码表[分类],""))</f>
        <v/>
      </c>
      <c r="J95" s="19">
        <f t="array" ref="J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" s="20">
        <f>LEN(非皮卡压缩表[[#This Row],[LONG-TYPE]])</f>
        <v/>
      </c>
      <c r="L95" s="21">
        <f t="array" ref="L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" s="22">
        <f>LEN(非皮卡压缩表[[#This Row],[TYPE]])</f>
        <v/>
      </c>
      <c r="N95" s="22">
        <f t="array" ref="N95">_xlfn.XLOOKUP(非皮卡压缩表[[#This Row],[MODEL]],MODEL缩写表[长MODEL],MODEL缩写表[短MODEL],非皮卡压缩表[[#This Row],[MODEL]])</f>
        <v/>
      </c>
      <c r="O95" s="22">
        <f>LEN(非皮卡压缩表[[#This Row],[SHORT-MODEL]])</f>
        <v/>
      </c>
      <c r="P95" s="11">
        <f t="array" ref="P95">TRIM(_xlfn.XLOOKUP(非皮卡压缩表[[#This Row],[BACKSIZE]],ALL尺码表[内部尺码],ALL尺码表[通用尺码]))</f>
        <v/>
      </c>
    </row>
    <row r="96">
      <c r="A96" s="17" t="inlineStr">
        <is>
          <t>ALL</t>
        </is>
      </c>
      <c r="B96" s="18" t="inlineStr">
        <is>
          <t>BMW 3 Series</t>
        </is>
      </c>
      <c r="C96" s="18" t="inlineStr">
        <is>
          <t>BMW</t>
        </is>
      </c>
      <c r="D96" s="18" t="inlineStr">
        <is>
          <t>3 Series</t>
        </is>
      </c>
      <c r="E96" s="18" t="inlineStr">
        <is>
          <t>1984-2018</t>
        </is>
      </c>
      <c r="F96" s="18" t="inlineStr"/>
      <c r="G96" s="18" t="inlineStr">
        <is>
          <t>Sedan</t>
        </is>
      </c>
      <c r="H96" s="18" t="inlineStr">
        <is>
          <t>3L</t>
        </is>
      </c>
      <c r="I96" s="19">
        <f t="array" ref="I96">TRIM(_xlfn.XLOOKUP(非皮卡压缩表[[#This Row],[BACKSIZE]],ALL尺码表[内部尺码],ALL尺码表[分类],""))</f>
        <v/>
      </c>
      <c r="J96" s="19">
        <f t="array" ref="J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" s="20">
        <f>LEN(非皮卡压缩表[[#This Row],[LONG-TYPE]])</f>
        <v/>
      </c>
      <c r="L96" s="21">
        <f t="array" ref="L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" s="22">
        <f>LEN(非皮卡压缩表[[#This Row],[TYPE]])</f>
        <v/>
      </c>
      <c r="N96" s="22">
        <f t="array" ref="N96">_xlfn.XLOOKUP(非皮卡压缩表[[#This Row],[MODEL]],MODEL缩写表[长MODEL],MODEL缩写表[短MODEL],非皮卡压缩表[[#This Row],[MODEL]])</f>
        <v/>
      </c>
      <c r="O96" s="22">
        <f>LEN(非皮卡压缩表[[#This Row],[SHORT-MODEL]])</f>
        <v/>
      </c>
      <c r="P96" s="11">
        <f t="array" ref="P96">TRIM(_xlfn.XLOOKUP(非皮卡压缩表[[#This Row],[BACKSIZE]],ALL尺码表[内部尺码],ALL尺码表[通用尺码]))</f>
        <v/>
      </c>
    </row>
    <row r="97">
      <c r="A97" s="17" t="inlineStr">
        <is>
          <t>ALL</t>
        </is>
      </c>
      <c r="B97" s="18" t="inlineStr">
        <is>
          <t>BMW 3 Series</t>
        </is>
      </c>
      <c r="C97" s="18" t="inlineStr">
        <is>
          <t>BMW</t>
        </is>
      </c>
      <c r="D97" s="18" t="inlineStr">
        <is>
          <t>3 Series</t>
        </is>
      </c>
      <c r="E97" s="18" t="inlineStr">
        <is>
          <t>2000-2005</t>
        </is>
      </c>
      <c r="F97" s="18" t="inlineStr"/>
      <c r="G97" s="18" t="inlineStr">
        <is>
          <t>Wagon</t>
        </is>
      </c>
      <c r="H97" s="18" t="inlineStr">
        <is>
          <t>2L+</t>
        </is>
      </c>
      <c r="I97" s="19">
        <f t="array" ref="I97">TRIM(_xlfn.XLOOKUP(非皮卡压缩表[[#This Row],[BACKSIZE]],ALL尺码表[内部尺码],ALL尺码表[分类],""))</f>
        <v/>
      </c>
      <c r="J97" s="19">
        <f t="array" ref="J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" s="20">
        <f>LEN(非皮卡压缩表[[#This Row],[LONG-TYPE]])</f>
        <v/>
      </c>
      <c r="L97" s="21">
        <f t="array" ref="L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" s="22">
        <f>LEN(非皮卡压缩表[[#This Row],[TYPE]])</f>
        <v/>
      </c>
      <c r="N97" s="22">
        <f t="array" ref="N97">_xlfn.XLOOKUP(非皮卡压缩表[[#This Row],[MODEL]],MODEL缩写表[长MODEL],MODEL缩写表[短MODEL],非皮卡压缩表[[#This Row],[MODEL]])</f>
        <v/>
      </c>
      <c r="O97" s="22">
        <f>LEN(非皮卡压缩表[[#This Row],[SHORT-MODEL]])</f>
        <v/>
      </c>
      <c r="P97" s="11">
        <f t="array" ref="P97">TRIM(_xlfn.XLOOKUP(非皮卡压缩表[[#This Row],[BACKSIZE]],ALL尺码表[内部尺码],ALL尺码表[通用尺码]))</f>
        <v/>
      </c>
    </row>
    <row r="98">
      <c r="A98" s="17" t="inlineStr">
        <is>
          <t>ALL</t>
        </is>
      </c>
      <c r="B98" s="18" t="inlineStr">
        <is>
          <t>BMW 3 Series</t>
        </is>
      </c>
      <c r="C98" s="18" t="inlineStr">
        <is>
          <t>BMW</t>
        </is>
      </c>
      <c r="D98" s="18" t="inlineStr">
        <is>
          <t>3 Series</t>
        </is>
      </c>
      <c r="E98" s="18" t="inlineStr">
        <is>
          <t>2007-2019</t>
        </is>
      </c>
      <c r="F98" s="18" t="inlineStr">
        <is>
          <t>Incl: GT</t>
        </is>
      </c>
      <c r="G98" s="18" t="inlineStr">
        <is>
          <t>Hatchback/Wagon</t>
        </is>
      </c>
      <c r="H98" s="18" t="inlineStr">
        <is>
          <t>2XL</t>
        </is>
      </c>
      <c r="I98" s="19">
        <f t="array" ref="I98">TRIM(_xlfn.XLOOKUP(非皮卡压缩表[[#This Row],[BACKSIZE]],ALL尺码表[内部尺码],ALL尺码表[分类],""))</f>
        <v/>
      </c>
      <c r="J98" s="19">
        <f t="array" ref="J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" s="20">
        <f>LEN(非皮卡压缩表[[#This Row],[LONG-TYPE]])</f>
        <v/>
      </c>
      <c r="L98" s="21">
        <f t="array" ref="L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" s="22">
        <f>LEN(非皮卡压缩表[[#This Row],[TYPE]])</f>
        <v/>
      </c>
      <c r="N98" s="22">
        <f t="array" ref="N98">_xlfn.XLOOKUP(非皮卡压缩表[[#This Row],[MODEL]],MODEL缩写表[长MODEL],MODEL缩写表[短MODEL],非皮卡压缩表[[#This Row],[MODEL]])</f>
        <v/>
      </c>
      <c r="O98" s="22">
        <f>LEN(非皮卡压缩表[[#This Row],[SHORT-MODEL]])</f>
        <v/>
      </c>
      <c r="P98" s="11">
        <f t="array" ref="P98">TRIM(_xlfn.XLOOKUP(非皮卡压缩表[[#This Row],[BACKSIZE]],ALL尺码表[内部尺码],ALL尺码表[通用尺码]))</f>
        <v/>
      </c>
    </row>
    <row r="99">
      <c r="A99" s="17" t="inlineStr">
        <is>
          <t>ALL</t>
        </is>
      </c>
      <c r="B99" s="18" t="inlineStr">
        <is>
          <t>BMW 3 Series</t>
        </is>
      </c>
      <c r="C99" s="18" t="inlineStr">
        <is>
          <t>BMW</t>
        </is>
      </c>
      <c r="D99" s="18" t="inlineStr">
        <is>
          <t>3 Series</t>
        </is>
      </c>
      <c r="E99" s="18" t="inlineStr">
        <is>
          <t>2007-2013</t>
        </is>
      </c>
      <c r="F99" s="18" t="inlineStr"/>
      <c r="G99" s="18" t="inlineStr">
        <is>
          <t>Convertible/Coupe</t>
        </is>
      </c>
      <c r="H99" s="18" t="inlineStr">
        <is>
          <t>3L-0</t>
        </is>
      </c>
      <c r="I99" s="19">
        <f t="array" ref="I99">TRIM(_xlfn.XLOOKUP(非皮卡压缩表[[#This Row],[BACKSIZE]],ALL尺码表[内部尺码],ALL尺码表[分类],""))</f>
        <v/>
      </c>
      <c r="J99" s="19">
        <f t="array" ref="J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" s="20">
        <f>LEN(非皮卡压缩表[[#This Row],[LONG-TYPE]])</f>
        <v/>
      </c>
      <c r="L99" s="21">
        <f t="array" ref="L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" s="22">
        <f>LEN(非皮卡压缩表[[#This Row],[TYPE]])</f>
        <v/>
      </c>
      <c r="N99" s="22">
        <f t="array" ref="N99">_xlfn.XLOOKUP(非皮卡压缩表[[#This Row],[MODEL]],MODEL缩写表[长MODEL],MODEL缩写表[短MODEL],非皮卡压缩表[[#This Row],[MODEL]])</f>
        <v/>
      </c>
      <c r="O99" s="22">
        <f>LEN(非皮卡压缩表[[#This Row],[SHORT-MODEL]])</f>
        <v/>
      </c>
      <c r="P99" s="11">
        <f t="array" ref="P99">TRIM(_xlfn.XLOOKUP(非皮卡压缩表[[#This Row],[BACKSIZE]],ALL尺码表[内部尺码],ALL尺码表[通用尺码]))</f>
        <v/>
      </c>
    </row>
    <row r="100" ht="30" customHeight="1" s="23">
      <c r="A100" s="17" t="inlineStr">
        <is>
          <t>ALL</t>
        </is>
      </c>
      <c r="B100" s="18" t="inlineStr">
        <is>
          <t>BMW 3 Series</t>
        </is>
      </c>
      <c r="C100" s="18" t="inlineStr">
        <is>
          <t>BMW</t>
        </is>
      </c>
      <c r="D100" s="18" t="inlineStr">
        <is>
          <t>3 Series</t>
        </is>
      </c>
      <c r="E100" s="18" t="inlineStr">
        <is>
          <t>2019-2026</t>
        </is>
      </c>
      <c r="F100" s="18" t="inlineStr"/>
      <c r="G100" s="18" t="inlineStr">
        <is>
          <t>Sedan</t>
        </is>
      </c>
      <c r="H100" s="18" t="inlineStr">
        <is>
          <t>3XL</t>
        </is>
      </c>
      <c r="I100" s="19">
        <f t="array" ref="I100">TRIM(_xlfn.XLOOKUP(非皮卡压缩表[[#This Row],[BACKSIZE]],ALL尺码表[内部尺码],ALL尺码表[分类],""))</f>
        <v/>
      </c>
      <c r="J100" s="19">
        <f t="array" ref="J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" s="20">
        <f>LEN(非皮卡压缩表[[#This Row],[LONG-TYPE]])</f>
        <v/>
      </c>
      <c r="L100" s="21">
        <f t="array" ref="L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" s="22">
        <f>LEN(非皮卡压缩表[[#This Row],[TYPE]])</f>
        <v/>
      </c>
      <c r="N100" s="22">
        <f t="array" ref="N100">_xlfn.XLOOKUP(非皮卡压缩表[[#This Row],[MODEL]],MODEL缩写表[长MODEL],MODEL缩写表[短MODEL],非皮卡压缩表[[#This Row],[MODEL]])</f>
        <v/>
      </c>
      <c r="O100" s="22">
        <f>LEN(非皮卡压缩表[[#This Row],[SHORT-MODEL]])</f>
        <v/>
      </c>
      <c r="P100" s="11">
        <f t="array" ref="P100">TRIM(_xlfn.XLOOKUP(非皮卡压缩表[[#This Row],[BACKSIZE]],ALL尺码表[内部尺码],ALL尺码表[通用尺码]))</f>
        <v/>
      </c>
    </row>
    <row r="101">
      <c r="A101" s="17" t="inlineStr">
        <is>
          <t>ALL</t>
        </is>
      </c>
      <c r="B101" s="18" t="inlineStr">
        <is>
          <t>BMW 4 Series</t>
        </is>
      </c>
      <c r="C101" s="18" t="inlineStr">
        <is>
          <t>BMW</t>
        </is>
      </c>
      <c r="D101" s="18" t="inlineStr">
        <is>
          <t>4 Series</t>
        </is>
      </c>
      <c r="E101" s="18" t="inlineStr">
        <is>
          <t>2014-2020</t>
        </is>
      </c>
      <c r="F101" s="18" t="inlineStr"/>
      <c r="G101" s="18" t="inlineStr">
        <is>
          <t>Convertible/Coupe</t>
        </is>
      </c>
      <c r="H101" s="18" t="inlineStr">
        <is>
          <t>3L-0</t>
        </is>
      </c>
      <c r="I101" s="19">
        <f t="array" ref="I101">TRIM(_xlfn.XLOOKUP(非皮卡压缩表[[#This Row],[BACKSIZE]],ALL尺码表[内部尺码],ALL尺码表[分类],""))</f>
        <v/>
      </c>
      <c r="J101" s="19">
        <f t="array" ref="J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" s="20">
        <f>LEN(非皮卡压缩表[[#This Row],[LONG-TYPE]])</f>
        <v/>
      </c>
      <c r="L101" s="21">
        <f t="array" ref="L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" s="22">
        <f>LEN(非皮卡压缩表[[#This Row],[TYPE]])</f>
        <v/>
      </c>
      <c r="N101" s="22">
        <f t="array" ref="N101">_xlfn.XLOOKUP(非皮卡压缩表[[#This Row],[MODEL]],MODEL缩写表[长MODEL],MODEL缩写表[短MODEL],非皮卡压缩表[[#This Row],[MODEL]])</f>
        <v/>
      </c>
      <c r="O101" s="22">
        <f>LEN(非皮卡压缩表[[#This Row],[SHORT-MODEL]])</f>
        <v/>
      </c>
      <c r="P101" s="11">
        <f t="array" ref="P101">TRIM(_xlfn.XLOOKUP(非皮卡压缩表[[#This Row],[BACKSIZE]],ALL尺码表[内部尺码],ALL尺码表[通用尺码]))</f>
        <v/>
      </c>
    </row>
    <row r="102">
      <c r="A102" s="17" t="inlineStr">
        <is>
          <t>ALL</t>
        </is>
      </c>
      <c r="B102" s="18" t="inlineStr">
        <is>
          <t>BMW 4 Series</t>
        </is>
      </c>
      <c r="C102" s="18" t="inlineStr">
        <is>
          <t>BMW</t>
        </is>
      </c>
      <c r="D102" s="18" t="inlineStr">
        <is>
          <t>4 Series</t>
        </is>
      </c>
      <c r="E102" s="18" t="inlineStr">
        <is>
          <t>2015-2020</t>
        </is>
      </c>
      <c r="F102" s="18" t="inlineStr">
        <is>
          <t>Gran Coupe</t>
        </is>
      </c>
      <c r="G102" s="18" t="inlineStr">
        <is>
          <t>Sedan</t>
        </is>
      </c>
      <c r="H102" s="18" t="inlineStr">
        <is>
          <t>3L</t>
        </is>
      </c>
      <c r="I102" s="19">
        <f t="array" ref="I102">TRIM(_xlfn.XLOOKUP(非皮卡压缩表[[#This Row],[BACKSIZE]],ALL尺码表[内部尺码],ALL尺码表[分类],""))</f>
        <v/>
      </c>
      <c r="J102" s="19">
        <f t="array" ref="J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" s="20">
        <f>LEN(非皮卡压缩表[[#This Row],[LONG-TYPE]])</f>
        <v/>
      </c>
      <c r="L102" s="21">
        <f t="array" ref="L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" s="22">
        <f>LEN(非皮卡压缩表[[#This Row],[TYPE]])</f>
        <v/>
      </c>
      <c r="N102" s="22">
        <f t="array" ref="N102">_xlfn.XLOOKUP(非皮卡压缩表[[#This Row],[MODEL]],MODEL缩写表[长MODEL],MODEL缩写表[短MODEL],非皮卡压缩表[[#This Row],[MODEL]])</f>
        <v/>
      </c>
      <c r="O102" s="22">
        <f>LEN(非皮卡压缩表[[#This Row],[SHORT-MODEL]])</f>
        <v/>
      </c>
      <c r="P102" s="11">
        <f t="array" ref="P102">TRIM(_xlfn.XLOOKUP(非皮卡压缩表[[#This Row],[BACKSIZE]],ALL尺码表[内部尺码],ALL尺码表[通用尺码]))</f>
        <v/>
      </c>
    </row>
    <row r="103">
      <c r="A103" s="17" t="inlineStr">
        <is>
          <t>ALL</t>
        </is>
      </c>
      <c r="B103" s="18" t="inlineStr">
        <is>
          <t>BMW 4 Series</t>
        </is>
      </c>
      <c r="C103" s="18" t="inlineStr">
        <is>
          <t>BMW</t>
        </is>
      </c>
      <c r="D103" s="18" t="inlineStr">
        <is>
          <t>4 Series</t>
        </is>
      </c>
      <c r="E103" s="18" t="inlineStr">
        <is>
          <t>2021-2026</t>
        </is>
      </c>
      <c r="F103" s="18" t="inlineStr">
        <is>
          <t>M4</t>
        </is>
      </c>
      <c r="G103" s="18" t="inlineStr">
        <is>
          <t>Convertible/Coupe</t>
        </is>
      </c>
      <c r="H103" s="18" t="inlineStr">
        <is>
          <t>3XL-0</t>
        </is>
      </c>
      <c r="I103" s="19">
        <f t="array" ref="I103">TRIM(_xlfn.XLOOKUP(非皮卡压缩表[[#This Row],[BACKSIZE]],ALL尺码表[内部尺码],ALL尺码表[分类],""))</f>
        <v/>
      </c>
      <c r="J103" s="19">
        <f t="array" ref="J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" s="20">
        <f>LEN(非皮卡压缩表[[#This Row],[LONG-TYPE]])</f>
        <v/>
      </c>
      <c r="L103" s="21">
        <f t="array" ref="L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" s="22">
        <f>LEN(非皮卡压缩表[[#This Row],[TYPE]])</f>
        <v/>
      </c>
      <c r="N103" s="22">
        <f t="array" ref="N103">_xlfn.XLOOKUP(非皮卡压缩表[[#This Row],[MODEL]],MODEL缩写表[长MODEL],MODEL缩写表[短MODEL],非皮卡压缩表[[#This Row],[MODEL]])</f>
        <v/>
      </c>
      <c r="O103" s="22">
        <f>LEN(非皮卡压缩表[[#This Row],[SHORT-MODEL]])</f>
        <v/>
      </c>
      <c r="P103" s="11">
        <f t="array" ref="P103">TRIM(_xlfn.XLOOKUP(非皮卡压缩表[[#This Row],[BACKSIZE]],ALL尺码表[内部尺码],ALL尺码表[通用尺码]))</f>
        <v/>
      </c>
    </row>
    <row r="104">
      <c r="A104" s="17" t="inlineStr">
        <is>
          <t>ALL</t>
        </is>
      </c>
      <c r="B104" s="18" t="inlineStr">
        <is>
          <t>BMW 4 Series</t>
        </is>
      </c>
      <c r="C104" s="18" t="inlineStr">
        <is>
          <t>BMW</t>
        </is>
      </c>
      <c r="D104" s="18" t="inlineStr">
        <is>
          <t>4 Series</t>
        </is>
      </c>
      <c r="E104" s="18" t="inlineStr">
        <is>
          <t>2022-2026</t>
        </is>
      </c>
      <c r="F104" s="18" t="inlineStr">
        <is>
          <t>Gran Coupe</t>
        </is>
      </c>
      <c r="G104" s="18" t="inlineStr">
        <is>
          <t>Sedan</t>
        </is>
      </c>
      <c r="H104" s="18" t="inlineStr">
        <is>
          <t>3XL</t>
        </is>
      </c>
      <c r="I104" s="19">
        <f t="array" ref="I104">TRIM(_xlfn.XLOOKUP(非皮卡压缩表[[#This Row],[BACKSIZE]],ALL尺码表[内部尺码],ALL尺码表[分类],""))</f>
        <v/>
      </c>
      <c r="J104" s="19">
        <f t="array" ref="J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" s="20">
        <f>LEN(非皮卡压缩表[[#This Row],[LONG-TYPE]])</f>
        <v/>
      </c>
      <c r="L104" s="21">
        <f t="array" ref="L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" s="22">
        <f>LEN(非皮卡压缩表[[#This Row],[TYPE]])</f>
        <v/>
      </c>
      <c r="N104" s="22">
        <f t="array" ref="N104">_xlfn.XLOOKUP(非皮卡压缩表[[#This Row],[MODEL]],MODEL缩写表[长MODEL],MODEL缩写表[短MODEL],非皮卡压缩表[[#This Row],[MODEL]])</f>
        <v/>
      </c>
      <c r="O104" s="22">
        <f>LEN(非皮卡压缩表[[#This Row],[SHORT-MODEL]])</f>
        <v/>
      </c>
      <c r="P104" s="11">
        <f t="array" ref="P104">TRIM(_xlfn.XLOOKUP(非皮卡压缩表[[#This Row],[BACKSIZE]],ALL尺码表[内部尺码],ALL尺码表[通用尺码]))</f>
        <v/>
      </c>
    </row>
    <row r="105">
      <c r="A105" s="17" t="inlineStr">
        <is>
          <t>ALL</t>
        </is>
      </c>
      <c r="B105" s="18" t="inlineStr">
        <is>
          <t>BMW 5 Series</t>
        </is>
      </c>
      <c r="C105" s="18" t="inlineStr">
        <is>
          <t>BMW</t>
        </is>
      </c>
      <c r="D105" s="18" t="inlineStr">
        <is>
          <t>5 Series</t>
        </is>
      </c>
      <c r="E105" s="18" t="inlineStr">
        <is>
          <t>1975-1988</t>
        </is>
      </c>
      <c r="F105" s="18" t="inlineStr"/>
      <c r="G105" s="18" t="inlineStr">
        <is>
          <t>Sedan</t>
        </is>
      </c>
      <c r="H105" s="18" t="inlineStr">
        <is>
          <t>3L</t>
        </is>
      </c>
      <c r="I105" s="19">
        <f t="array" ref="I105">TRIM(_xlfn.XLOOKUP(非皮卡压缩表[[#This Row],[BACKSIZE]],ALL尺码表[内部尺码],ALL尺码表[分类],""))</f>
        <v/>
      </c>
      <c r="J105" s="19">
        <f t="array" ref="J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" s="20">
        <f>LEN(非皮卡压缩表[[#This Row],[LONG-TYPE]])</f>
        <v/>
      </c>
      <c r="L105" s="21">
        <f t="array" ref="L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" s="22">
        <f>LEN(非皮卡压缩表[[#This Row],[TYPE]])</f>
        <v/>
      </c>
      <c r="N105" s="22">
        <f t="array" ref="N105">_xlfn.XLOOKUP(非皮卡压缩表[[#This Row],[MODEL]],MODEL缩写表[长MODEL],MODEL缩写表[短MODEL],非皮卡压缩表[[#This Row],[MODEL]])</f>
        <v/>
      </c>
      <c r="O105" s="22">
        <f>LEN(非皮卡压缩表[[#This Row],[SHORT-MODEL]])</f>
        <v/>
      </c>
      <c r="P105" s="11">
        <f t="array" ref="P105">TRIM(_xlfn.XLOOKUP(非皮卡压缩表[[#This Row],[BACKSIZE]],ALL尺码表[内部尺码],ALL尺码表[通用尺码]))</f>
        <v/>
      </c>
    </row>
    <row r="106">
      <c r="A106" s="17" t="inlineStr">
        <is>
          <t>ALL</t>
        </is>
      </c>
      <c r="B106" s="18" t="inlineStr">
        <is>
          <t>BMW 5 Series</t>
        </is>
      </c>
      <c r="C106" s="18" t="inlineStr">
        <is>
          <t>BMW</t>
        </is>
      </c>
      <c r="D106" s="18" t="inlineStr">
        <is>
          <t>5 Series</t>
        </is>
      </c>
      <c r="E106" s="18" t="inlineStr">
        <is>
          <t>1989-2010</t>
        </is>
      </c>
      <c r="F106" s="18" t="inlineStr"/>
      <c r="G106" s="18" t="inlineStr">
        <is>
          <t>Sedan</t>
        </is>
      </c>
      <c r="H106" s="18" t="inlineStr">
        <is>
          <t>3XL</t>
        </is>
      </c>
      <c r="I106" s="19">
        <f t="array" ref="I106">TRIM(_xlfn.XLOOKUP(非皮卡压缩表[[#This Row],[BACKSIZE]],ALL尺码表[内部尺码],ALL尺码表[分类],""))</f>
        <v/>
      </c>
      <c r="J106" s="19">
        <f t="array" ref="J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" s="20">
        <f>LEN(非皮卡压缩表[[#This Row],[LONG-TYPE]])</f>
        <v/>
      </c>
      <c r="L106" s="21">
        <f t="array" ref="L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" s="22">
        <f>LEN(非皮卡压缩表[[#This Row],[TYPE]])</f>
        <v/>
      </c>
      <c r="N106" s="22">
        <f t="array" ref="N106">_xlfn.XLOOKUP(非皮卡压缩表[[#This Row],[MODEL]],MODEL缩写表[长MODEL],MODEL缩写表[短MODEL],非皮卡压缩表[[#This Row],[MODEL]])</f>
        <v/>
      </c>
      <c r="O106" s="22">
        <f>LEN(非皮卡压缩表[[#This Row],[SHORT-MODEL]])</f>
        <v/>
      </c>
      <c r="P106" s="11">
        <f t="array" ref="P106">TRIM(_xlfn.XLOOKUP(非皮卡压缩表[[#This Row],[BACKSIZE]],ALL尺码表[内部尺码],ALL尺码表[通用尺码]))</f>
        <v/>
      </c>
    </row>
    <row r="107">
      <c r="A107" s="17" t="inlineStr">
        <is>
          <t>ALL</t>
        </is>
      </c>
      <c r="B107" s="18" t="inlineStr">
        <is>
          <t>BMW 5 Series</t>
        </is>
      </c>
      <c r="C107" s="18" t="inlineStr">
        <is>
          <t>BMW</t>
        </is>
      </c>
      <c r="D107" s="18" t="inlineStr">
        <is>
          <t>5 Series</t>
        </is>
      </c>
      <c r="E107" s="18" t="inlineStr">
        <is>
          <t>1992-2003</t>
        </is>
      </c>
      <c r="F107" s="18" t="inlineStr"/>
      <c r="G107" s="18" t="inlineStr">
        <is>
          <t>Wagon</t>
        </is>
      </c>
      <c r="H107" s="18" t="inlineStr">
        <is>
          <t>2XL</t>
        </is>
      </c>
      <c r="I107" s="19">
        <f t="array" ref="I107">TRIM(_xlfn.XLOOKUP(非皮卡压缩表[[#This Row],[BACKSIZE]],ALL尺码表[内部尺码],ALL尺码表[分类],""))</f>
        <v/>
      </c>
      <c r="J107" s="19">
        <f t="array" ref="J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" s="20">
        <f>LEN(非皮卡压缩表[[#This Row],[LONG-TYPE]])</f>
        <v/>
      </c>
      <c r="L107" s="21">
        <f t="array" ref="L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" s="22">
        <f>LEN(非皮卡压缩表[[#This Row],[TYPE]])</f>
        <v/>
      </c>
      <c r="N107" s="22">
        <f t="array" ref="N107">_xlfn.XLOOKUP(非皮卡压缩表[[#This Row],[MODEL]],MODEL缩写表[长MODEL],MODEL缩写表[短MODEL],非皮卡压缩表[[#This Row],[MODEL]])</f>
        <v/>
      </c>
      <c r="O107" s="22">
        <f>LEN(非皮卡压缩表[[#This Row],[SHORT-MODEL]])</f>
        <v/>
      </c>
      <c r="P107" s="11">
        <f t="array" ref="P107">TRIM(_xlfn.XLOOKUP(非皮卡压缩表[[#This Row],[BACKSIZE]],ALL尺码表[内部尺码],ALL尺码表[通用尺码]))</f>
        <v/>
      </c>
    </row>
    <row r="108">
      <c r="A108" s="17" t="inlineStr">
        <is>
          <t>ALL</t>
        </is>
      </c>
      <c r="B108" s="18" t="inlineStr">
        <is>
          <t>BMW 5 Series</t>
        </is>
      </c>
      <c r="C108" s="18" t="inlineStr">
        <is>
          <t>BMW</t>
        </is>
      </c>
      <c r="D108" s="18" t="inlineStr">
        <is>
          <t>5 Series</t>
        </is>
      </c>
      <c r="E108" s="18" t="inlineStr">
        <is>
          <t>2006-2010</t>
        </is>
      </c>
      <c r="F108" s="18" t="inlineStr"/>
      <c r="G108" s="18" t="inlineStr">
        <is>
          <t>Wagon</t>
        </is>
      </c>
      <c r="H108" s="18" t="inlineStr">
        <is>
          <t>2XL+</t>
        </is>
      </c>
      <c r="I108" s="19">
        <f t="array" ref="I108">TRIM(_xlfn.XLOOKUP(非皮卡压缩表[[#This Row],[BACKSIZE]],ALL尺码表[内部尺码],ALL尺码表[分类],""))</f>
        <v/>
      </c>
      <c r="J108" s="19">
        <f t="array" ref="J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" s="20">
        <f>LEN(非皮卡压缩表[[#This Row],[LONG-TYPE]])</f>
        <v/>
      </c>
      <c r="L108" s="21">
        <f t="array" ref="L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" s="22">
        <f>LEN(非皮卡压缩表[[#This Row],[TYPE]])</f>
        <v/>
      </c>
      <c r="N108" s="22">
        <f t="array" ref="N108">_xlfn.XLOOKUP(非皮卡压缩表[[#This Row],[MODEL]],MODEL缩写表[长MODEL],MODEL缩写表[短MODEL],非皮卡压缩表[[#This Row],[MODEL]])</f>
        <v/>
      </c>
      <c r="O108" s="22">
        <f>LEN(非皮卡压缩表[[#This Row],[SHORT-MODEL]])</f>
        <v/>
      </c>
      <c r="P108" s="11">
        <f t="array" ref="P108">TRIM(_xlfn.XLOOKUP(非皮卡压缩表[[#This Row],[BACKSIZE]],ALL尺码表[内部尺码],ALL尺码表[通用尺码]))</f>
        <v/>
      </c>
    </row>
    <row r="109">
      <c r="A109" s="17" t="inlineStr">
        <is>
          <t>ALL</t>
        </is>
      </c>
      <c r="B109" s="18" t="inlineStr">
        <is>
          <t>BMW 5 Series</t>
        </is>
      </c>
      <c r="C109" s="18" t="inlineStr">
        <is>
          <t>BMW</t>
        </is>
      </c>
      <c r="D109" s="18" t="inlineStr">
        <is>
          <t>5 Series</t>
        </is>
      </c>
      <c r="E109" s="18" t="inlineStr">
        <is>
          <t>2010-2026</t>
        </is>
      </c>
      <c r="F109" s="18" t="inlineStr">
        <is>
          <t>GT/M5</t>
        </is>
      </c>
      <c r="G109" s="18" t="inlineStr">
        <is>
          <t>Sedan</t>
        </is>
      </c>
      <c r="H109" s="18" t="inlineStr">
        <is>
          <t>3XXL</t>
        </is>
      </c>
      <c r="I109" s="19">
        <f t="array" ref="I109">TRIM(_xlfn.XLOOKUP(非皮卡压缩表[[#This Row],[BACKSIZE]],ALL尺码表[内部尺码],ALL尺码表[分类],""))</f>
        <v/>
      </c>
      <c r="J109" s="19">
        <f t="array" ref="J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" s="20">
        <f>LEN(非皮卡压缩表[[#This Row],[LONG-TYPE]])</f>
        <v/>
      </c>
      <c r="L109" s="21">
        <f t="array" ref="L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" s="22">
        <f>LEN(非皮卡压缩表[[#This Row],[TYPE]])</f>
        <v/>
      </c>
      <c r="N109" s="22">
        <f t="array" ref="N109">_xlfn.XLOOKUP(非皮卡压缩表[[#This Row],[MODEL]],MODEL缩写表[长MODEL],MODEL缩写表[短MODEL],非皮卡压缩表[[#This Row],[MODEL]])</f>
        <v/>
      </c>
      <c r="O109" s="22">
        <f>LEN(非皮卡压缩表[[#This Row],[SHORT-MODEL]])</f>
        <v/>
      </c>
      <c r="P109" s="11">
        <f t="array" ref="P109">TRIM(_xlfn.XLOOKUP(非皮卡压缩表[[#This Row],[BACKSIZE]],ALL尺码表[内部尺码],ALL尺码表[通用尺码]))</f>
        <v/>
      </c>
    </row>
    <row r="110">
      <c r="A110" s="17" t="inlineStr">
        <is>
          <t>ALL</t>
        </is>
      </c>
      <c r="B110" s="18" t="inlineStr">
        <is>
          <t>BMW 5 Series</t>
        </is>
      </c>
      <c r="C110" s="18" t="inlineStr">
        <is>
          <t>BMW</t>
        </is>
      </c>
      <c r="D110" s="18" t="inlineStr">
        <is>
          <t>5 Series</t>
        </is>
      </c>
      <c r="E110" s="18" t="inlineStr">
        <is>
          <t>2011-2026</t>
        </is>
      </c>
      <c r="F110" s="18" t="inlineStr"/>
      <c r="G110" s="18" t="inlineStr">
        <is>
          <t>Sedan</t>
        </is>
      </c>
      <c r="H110" s="18" t="inlineStr">
        <is>
          <t>3XXL</t>
        </is>
      </c>
      <c r="I110" s="19">
        <f t="array" ref="I110">TRIM(_xlfn.XLOOKUP(非皮卡压缩表[[#This Row],[BACKSIZE]],ALL尺码表[内部尺码],ALL尺码表[分类],""))</f>
        <v/>
      </c>
      <c r="J110" s="19">
        <f t="array" ref="J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" s="20">
        <f>LEN(非皮卡压缩表[[#This Row],[LONG-TYPE]])</f>
        <v/>
      </c>
      <c r="L110" s="21">
        <f t="array" ref="L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" s="22">
        <f>LEN(非皮卡压缩表[[#This Row],[TYPE]])</f>
        <v/>
      </c>
      <c r="N110" s="22">
        <f t="array" ref="N110">_xlfn.XLOOKUP(非皮卡压缩表[[#This Row],[MODEL]],MODEL缩写表[长MODEL],MODEL缩写表[短MODEL],非皮卡压缩表[[#This Row],[MODEL]])</f>
        <v/>
      </c>
      <c r="O110" s="22">
        <f>LEN(非皮卡压缩表[[#This Row],[SHORT-MODEL]])</f>
        <v/>
      </c>
      <c r="P110" s="11">
        <f t="array" ref="P110">TRIM(_xlfn.XLOOKUP(非皮卡压缩表[[#This Row],[BACKSIZE]],ALL尺码表[内部尺码],ALL尺码表[通用尺码]))</f>
        <v/>
      </c>
    </row>
    <row r="111">
      <c r="A111" s="17" t="inlineStr">
        <is>
          <t>ALL</t>
        </is>
      </c>
      <c r="B111" s="18" t="inlineStr">
        <is>
          <t>BMW 6 Series</t>
        </is>
      </c>
      <c r="C111" s="18" t="inlineStr">
        <is>
          <t>BMW</t>
        </is>
      </c>
      <c r="D111" s="18" t="inlineStr">
        <is>
          <t>6 Series</t>
        </is>
      </c>
      <c r="E111" s="18" t="inlineStr">
        <is>
          <t>1977-2019</t>
        </is>
      </c>
      <c r="F111" s="18" t="inlineStr"/>
      <c r="G111" s="18" t="inlineStr">
        <is>
          <t>Convertible/Coupe</t>
        </is>
      </c>
      <c r="H111" s="18" t="inlineStr">
        <is>
          <t>3XL-0</t>
        </is>
      </c>
      <c r="I111" s="19">
        <f t="array" ref="I111">TRIM(_xlfn.XLOOKUP(非皮卡压缩表[[#This Row],[BACKSIZE]],ALL尺码表[内部尺码],ALL尺码表[分类],""))</f>
        <v/>
      </c>
      <c r="J111" s="19">
        <f t="array" ref="J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" s="20">
        <f>LEN(非皮卡压缩表[[#This Row],[LONG-TYPE]])</f>
        <v/>
      </c>
      <c r="L111" s="21">
        <f t="array" ref="L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" s="22">
        <f>LEN(非皮卡压缩表[[#This Row],[TYPE]])</f>
        <v/>
      </c>
      <c r="N111" s="22">
        <f t="array" ref="N111">_xlfn.XLOOKUP(非皮卡压缩表[[#This Row],[MODEL]],MODEL缩写表[长MODEL],MODEL缩写表[短MODEL],非皮卡压缩表[[#This Row],[MODEL]])</f>
        <v/>
      </c>
      <c r="O111" s="22">
        <f>LEN(非皮卡压缩表[[#This Row],[SHORT-MODEL]])</f>
        <v/>
      </c>
      <c r="P111" s="11">
        <f t="array" ref="P111">TRIM(_xlfn.XLOOKUP(非皮卡压缩表[[#This Row],[BACKSIZE]],ALL尺码表[内部尺码],ALL尺码表[通用尺码]))</f>
        <v/>
      </c>
    </row>
    <row r="112">
      <c r="A112" s="17" t="inlineStr">
        <is>
          <t>ALL</t>
        </is>
      </c>
      <c r="B112" s="18" t="inlineStr">
        <is>
          <t>BMW 6 Series</t>
        </is>
      </c>
      <c r="C112" s="18" t="inlineStr">
        <is>
          <t>BMW</t>
        </is>
      </c>
      <c r="D112" s="18" t="inlineStr">
        <is>
          <t>6 Series</t>
        </is>
      </c>
      <c r="E112" s="18" t="inlineStr">
        <is>
          <t>2013-2019</t>
        </is>
      </c>
      <c r="F112" s="18" t="inlineStr">
        <is>
          <t>Gran Coupe</t>
        </is>
      </c>
      <c r="G112" s="18" t="inlineStr">
        <is>
          <t>Sedan</t>
        </is>
      </c>
      <c r="H112" s="18" t="inlineStr">
        <is>
          <t>3XXL</t>
        </is>
      </c>
      <c r="I112" s="19">
        <f t="array" ref="I112">TRIM(_xlfn.XLOOKUP(非皮卡压缩表[[#This Row],[BACKSIZE]],ALL尺码表[内部尺码],ALL尺码表[分类],""))</f>
        <v/>
      </c>
      <c r="J112" s="19">
        <f t="array" ref="J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" s="20">
        <f>LEN(非皮卡压缩表[[#This Row],[LONG-TYPE]])</f>
        <v/>
      </c>
      <c r="L112" s="21">
        <f t="array" ref="L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" s="22">
        <f>LEN(非皮卡压缩表[[#This Row],[TYPE]])</f>
        <v/>
      </c>
      <c r="N112" s="22">
        <f t="array" ref="N112">_xlfn.XLOOKUP(非皮卡压缩表[[#This Row],[MODEL]],MODEL缩写表[长MODEL],MODEL缩写表[短MODEL],非皮卡压缩表[[#This Row],[MODEL]])</f>
        <v/>
      </c>
      <c r="O112" s="22">
        <f>LEN(非皮卡压缩表[[#This Row],[SHORT-MODEL]])</f>
        <v/>
      </c>
      <c r="P112" s="11">
        <f t="array" ref="P112">TRIM(_xlfn.XLOOKUP(非皮卡压缩表[[#This Row],[BACKSIZE]],ALL尺码表[内部尺码],ALL尺码表[通用尺码]))</f>
        <v/>
      </c>
    </row>
    <row r="113">
      <c r="A113" s="17" t="inlineStr">
        <is>
          <t>ALL</t>
        </is>
      </c>
      <c r="B113" s="18" t="inlineStr">
        <is>
          <t>BMW 6 Series</t>
        </is>
      </c>
      <c r="C113" s="18" t="inlineStr">
        <is>
          <t>BMW</t>
        </is>
      </c>
      <c r="D113" s="18" t="inlineStr">
        <is>
          <t>6 Series</t>
        </is>
      </c>
      <c r="E113" s="18" t="inlineStr">
        <is>
          <t>2018-2019</t>
        </is>
      </c>
      <c r="F113" s="18" t="inlineStr">
        <is>
          <t>Incl: GT</t>
        </is>
      </c>
      <c r="G113" s="18" t="inlineStr">
        <is>
          <t>Hatchback</t>
        </is>
      </c>
      <c r="H113" s="18" t="inlineStr">
        <is>
          <t>2XXL</t>
        </is>
      </c>
      <c r="I113" s="19">
        <f t="array" ref="I113">TRIM(_xlfn.XLOOKUP(非皮卡压缩表[[#This Row],[BACKSIZE]],ALL尺码表[内部尺码],ALL尺码表[分类],""))</f>
        <v/>
      </c>
      <c r="J113" s="19">
        <f t="array" ref="J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" s="20">
        <f>LEN(非皮卡压缩表[[#This Row],[LONG-TYPE]])</f>
        <v/>
      </c>
      <c r="L113" s="21">
        <f t="array" ref="L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" s="22">
        <f>LEN(非皮卡压缩表[[#This Row],[TYPE]])</f>
        <v/>
      </c>
      <c r="N113" s="22">
        <f t="array" ref="N113">_xlfn.XLOOKUP(非皮卡压缩表[[#This Row],[MODEL]],MODEL缩写表[长MODEL],MODEL缩写表[短MODEL],非皮卡压缩表[[#This Row],[MODEL]])</f>
        <v/>
      </c>
      <c r="O113" s="22">
        <f>LEN(非皮卡压缩表[[#This Row],[SHORT-MODEL]])</f>
        <v/>
      </c>
      <c r="P113" s="11">
        <f t="array" ref="P113">TRIM(_xlfn.XLOOKUP(非皮卡压缩表[[#This Row],[BACKSIZE]],ALL尺码表[内部尺码],ALL尺码表[通用尺码]))</f>
        <v/>
      </c>
    </row>
    <row r="114">
      <c r="A114" s="17" t="inlineStr">
        <is>
          <t>ALL</t>
        </is>
      </c>
      <c r="B114" s="18" t="inlineStr">
        <is>
          <t>BMW 7 Series</t>
        </is>
      </c>
      <c r="C114" s="18" t="inlineStr">
        <is>
          <t>BMW</t>
        </is>
      </c>
      <c r="D114" s="18" t="inlineStr">
        <is>
          <t>7 Series</t>
        </is>
      </c>
      <c r="E114" s="18" t="inlineStr">
        <is>
          <t>1978-1986</t>
        </is>
      </c>
      <c r="F114" s="18" t="inlineStr"/>
      <c r="G114" s="18" t="inlineStr">
        <is>
          <t>Sedan</t>
        </is>
      </c>
      <c r="H114" s="18" t="inlineStr">
        <is>
          <t>3XL</t>
        </is>
      </c>
      <c r="I114" s="19">
        <f t="array" ref="I114">TRIM(_xlfn.XLOOKUP(非皮卡压缩表[[#This Row],[BACKSIZE]],ALL尺码表[内部尺码],ALL尺码表[分类],""))</f>
        <v/>
      </c>
      <c r="J114" s="19">
        <f t="array" ref="J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" s="20">
        <f>LEN(非皮卡压缩表[[#This Row],[LONG-TYPE]])</f>
        <v/>
      </c>
      <c r="L114" s="21">
        <f t="array" ref="L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" s="22">
        <f>LEN(非皮卡压缩表[[#This Row],[TYPE]])</f>
        <v/>
      </c>
      <c r="N114" s="22">
        <f t="array" ref="N114">_xlfn.XLOOKUP(非皮卡压缩表[[#This Row],[MODEL]],MODEL缩写表[长MODEL],MODEL缩写表[短MODEL],非皮卡压缩表[[#This Row],[MODEL]])</f>
        <v/>
      </c>
      <c r="O114" s="22">
        <f>LEN(非皮卡压缩表[[#This Row],[SHORT-MODEL]])</f>
        <v/>
      </c>
      <c r="P114" s="11">
        <f t="array" ref="P114">TRIM(_xlfn.XLOOKUP(非皮卡压缩表[[#This Row],[BACKSIZE]],ALL尺码表[内部尺码],ALL尺码表[通用尺码]))</f>
        <v/>
      </c>
    </row>
    <row r="115">
      <c r="A115" s="17" t="inlineStr">
        <is>
          <t>ALL</t>
        </is>
      </c>
      <c r="B115" s="18" t="inlineStr">
        <is>
          <t>BMW 7 Series</t>
        </is>
      </c>
      <c r="C115" s="18" t="inlineStr">
        <is>
          <t>BMW</t>
        </is>
      </c>
      <c r="D115" s="18" t="inlineStr">
        <is>
          <t>7 Series</t>
        </is>
      </c>
      <c r="E115" s="18" t="inlineStr">
        <is>
          <t>1987-2022</t>
        </is>
      </c>
      <c r="F115" s="18" t="inlineStr"/>
      <c r="G115" s="18" t="inlineStr">
        <is>
          <t>Sedan</t>
        </is>
      </c>
      <c r="H115" s="18" t="inlineStr">
        <is>
          <t>3XXL</t>
        </is>
      </c>
      <c r="I115" s="19">
        <f t="array" ref="I115">TRIM(_xlfn.XLOOKUP(非皮卡压缩表[[#This Row],[BACKSIZE]],ALL尺码表[内部尺码],ALL尺码表[分类],""))</f>
        <v/>
      </c>
      <c r="J115" s="19">
        <f t="array" ref="J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" s="20">
        <f>LEN(非皮卡压缩表[[#This Row],[LONG-TYPE]])</f>
        <v/>
      </c>
      <c r="L115" s="21">
        <f t="array" ref="L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" s="22">
        <f>LEN(非皮卡压缩表[[#This Row],[TYPE]])</f>
        <v/>
      </c>
      <c r="N115" s="22">
        <f t="array" ref="N115">_xlfn.XLOOKUP(非皮卡压缩表[[#This Row],[MODEL]],MODEL缩写表[长MODEL],MODEL缩写表[短MODEL],非皮卡压缩表[[#This Row],[MODEL]])</f>
        <v/>
      </c>
      <c r="O115" s="22">
        <f>LEN(非皮卡压缩表[[#This Row],[SHORT-MODEL]])</f>
        <v/>
      </c>
      <c r="P115" s="11">
        <f t="array" ref="P115">TRIM(_xlfn.XLOOKUP(非皮卡压缩表[[#This Row],[BACKSIZE]],ALL尺码表[内部尺码],ALL尺码表[通用尺码]))</f>
        <v/>
      </c>
    </row>
    <row r="116">
      <c r="A116" s="17" t="inlineStr">
        <is>
          <t>ALL</t>
        </is>
      </c>
      <c r="B116" s="18" t="inlineStr">
        <is>
          <t>BMW 7 Series</t>
        </is>
      </c>
      <c r="C116" s="18" t="inlineStr">
        <is>
          <t>BMW</t>
        </is>
      </c>
      <c r="D116" s="18" t="inlineStr">
        <is>
          <t>7 Series</t>
        </is>
      </c>
      <c r="E116" s="18" t="inlineStr">
        <is>
          <t>2023-2026</t>
        </is>
      </c>
      <c r="F116" s="18" t="inlineStr"/>
      <c r="G116" s="18" t="inlineStr">
        <is>
          <t>Sedan</t>
        </is>
      </c>
      <c r="H116" s="18" t="inlineStr">
        <is>
          <t>3XXXL</t>
        </is>
      </c>
      <c r="I116" s="19">
        <f t="array" ref="I116">TRIM(_xlfn.XLOOKUP(非皮卡压缩表[[#This Row],[BACKSIZE]],ALL尺码表[内部尺码],ALL尺码表[分类],""))</f>
        <v/>
      </c>
      <c r="J116" s="19">
        <f t="array" ref="J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" s="20">
        <f>LEN(非皮卡压缩表[[#This Row],[LONG-TYPE]])</f>
        <v/>
      </c>
      <c r="L116" s="21">
        <f t="array" ref="L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" s="22">
        <f>LEN(非皮卡压缩表[[#This Row],[TYPE]])</f>
        <v/>
      </c>
      <c r="N116" s="22">
        <f t="array" ref="N116">_xlfn.XLOOKUP(非皮卡压缩表[[#This Row],[MODEL]],MODEL缩写表[长MODEL],MODEL缩写表[短MODEL],非皮卡压缩表[[#This Row],[MODEL]])</f>
        <v/>
      </c>
      <c r="O116" s="22">
        <f>LEN(非皮卡压缩表[[#This Row],[SHORT-MODEL]])</f>
        <v/>
      </c>
      <c r="P116" s="11">
        <f t="array" ref="P116">TRIM(_xlfn.XLOOKUP(非皮卡压缩表[[#This Row],[BACKSIZE]],ALL尺码表[内部尺码],ALL尺码表[通用尺码]))</f>
        <v/>
      </c>
    </row>
    <row r="117">
      <c r="A117" s="17" t="inlineStr">
        <is>
          <t>ALL</t>
        </is>
      </c>
      <c r="B117" s="18" t="inlineStr">
        <is>
          <t>BMW 8 Series</t>
        </is>
      </c>
      <c r="C117" s="18" t="inlineStr">
        <is>
          <t>BMW</t>
        </is>
      </c>
      <c r="D117" s="18" t="inlineStr">
        <is>
          <t>8 Series</t>
        </is>
      </c>
      <c r="E117" s="18" t="inlineStr">
        <is>
          <t>1991-2026</t>
        </is>
      </c>
      <c r="F117" s="18" t="inlineStr"/>
      <c r="G117" s="18" t="inlineStr">
        <is>
          <t>Convertible/Coupe</t>
        </is>
      </c>
      <c r="H117" s="18" t="inlineStr">
        <is>
          <t>3XL-0</t>
        </is>
      </c>
      <c r="I117" s="19">
        <f t="array" ref="I117">TRIM(_xlfn.XLOOKUP(非皮卡压缩表[[#This Row],[BACKSIZE]],ALL尺码表[内部尺码],ALL尺码表[分类],""))</f>
        <v/>
      </c>
      <c r="J117" s="19">
        <f t="array" ref="J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" s="20">
        <f>LEN(非皮卡压缩表[[#This Row],[LONG-TYPE]])</f>
        <v/>
      </c>
      <c r="L117" s="21">
        <f t="array" ref="L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" s="22">
        <f>LEN(非皮卡压缩表[[#This Row],[TYPE]])</f>
        <v/>
      </c>
      <c r="N117" s="22">
        <f t="array" ref="N117">_xlfn.XLOOKUP(非皮卡压缩表[[#This Row],[MODEL]],MODEL缩写表[长MODEL],MODEL缩写表[短MODEL],非皮卡压缩表[[#This Row],[MODEL]])</f>
        <v/>
      </c>
      <c r="O117" s="22">
        <f>LEN(非皮卡压缩表[[#This Row],[SHORT-MODEL]])</f>
        <v/>
      </c>
      <c r="P117" s="11">
        <f t="array" ref="P117">TRIM(_xlfn.XLOOKUP(非皮卡压缩表[[#This Row],[BACKSIZE]],ALL尺码表[内部尺码],ALL尺码表[通用尺码]))</f>
        <v/>
      </c>
    </row>
    <row r="118">
      <c r="A118" s="17" t="inlineStr">
        <is>
          <t>ALL</t>
        </is>
      </c>
      <c r="B118" s="18" t="inlineStr">
        <is>
          <t>BMW 8 Series</t>
        </is>
      </c>
      <c r="C118" s="18" t="inlineStr">
        <is>
          <t>BMW</t>
        </is>
      </c>
      <c r="D118" s="18" t="inlineStr">
        <is>
          <t>8 Series</t>
        </is>
      </c>
      <c r="E118" s="18" t="inlineStr">
        <is>
          <t>2020-2026</t>
        </is>
      </c>
      <c r="F118" s="18" t="inlineStr">
        <is>
          <t>Gran Coupe</t>
        </is>
      </c>
      <c r="G118" s="18" t="inlineStr">
        <is>
          <t>Sedan</t>
        </is>
      </c>
      <c r="H118" s="18" t="inlineStr">
        <is>
          <t>3XXL</t>
        </is>
      </c>
      <c r="I118" s="19">
        <f t="array" ref="I118">TRIM(_xlfn.XLOOKUP(非皮卡压缩表[[#This Row],[BACKSIZE]],ALL尺码表[内部尺码],ALL尺码表[分类],""))</f>
        <v/>
      </c>
      <c r="J118" s="19">
        <f t="array" ref="J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" s="20">
        <f>LEN(非皮卡压缩表[[#This Row],[LONG-TYPE]])</f>
        <v/>
      </c>
      <c r="L118" s="21">
        <f t="array" ref="L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" s="22">
        <f>LEN(非皮卡压缩表[[#This Row],[TYPE]])</f>
        <v/>
      </c>
      <c r="N118" s="22">
        <f t="array" ref="N118">_xlfn.XLOOKUP(非皮卡压缩表[[#This Row],[MODEL]],MODEL缩写表[长MODEL],MODEL缩写表[短MODEL],非皮卡压缩表[[#This Row],[MODEL]])</f>
        <v/>
      </c>
      <c r="O118" s="22">
        <f>LEN(非皮卡压缩表[[#This Row],[SHORT-MODEL]])</f>
        <v/>
      </c>
      <c r="P118" s="11">
        <f t="array" ref="P118">TRIM(_xlfn.XLOOKUP(非皮卡压缩表[[#This Row],[BACKSIZE]],ALL尺码表[内部尺码],ALL尺码表[通用尺码]))</f>
        <v/>
      </c>
    </row>
    <row r="119">
      <c r="A119" s="17" t="inlineStr">
        <is>
          <t>ALL</t>
        </is>
      </c>
      <c r="B119" s="18" t="inlineStr">
        <is>
          <t>BMW X1</t>
        </is>
      </c>
      <c r="C119" s="18" t="inlineStr">
        <is>
          <t>BMW</t>
        </is>
      </c>
      <c r="D119" s="18" t="inlineStr">
        <is>
          <t>X1</t>
        </is>
      </c>
      <c r="E119" s="18" t="inlineStr">
        <is>
          <t>2013-2026</t>
        </is>
      </c>
      <c r="F119" s="18" t="inlineStr">
        <is>
          <t>Incl: M35i</t>
        </is>
      </c>
      <c r="G119" s="18" t="inlineStr">
        <is>
          <t>SUV</t>
        </is>
      </c>
      <c r="H119" s="18" t="inlineStr">
        <is>
          <t>YM+</t>
        </is>
      </c>
      <c r="I119" s="19">
        <f t="array" ref="I119">TRIM(_xlfn.XLOOKUP(非皮卡压缩表[[#This Row],[BACKSIZE]],ALL尺码表[内部尺码],ALL尺码表[分类],""))</f>
        <v/>
      </c>
      <c r="J119" s="19">
        <f t="array" ref="J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" s="20">
        <f>LEN(非皮卡压缩表[[#This Row],[LONG-TYPE]])</f>
        <v/>
      </c>
      <c r="L119" s="21">
        <f t="array" ref="L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" s="22">
        <f>LEN(非皮卡压缩表[[#This Row],[TYPE]])</f>
        <v/>
      </c>
      <c r="N119" s="22">
        <f t="array" ref="N119">_xlfn.XLOOKUP(非皮卡压缩表[[#This Row],[MODEL]],MODEL缩写表[长MODEL],MODEL缩写表[短MODEL],非皮卡压缩表[[#This Row],[MODEL]])</f>
        <v/>
      </c>
      <c r="O119" s="22">
        <f>LEN(非皮卡压缩表[[#This Row],[SHORT-MODEL]])</f>
        <v/>
      </c>
      <c r="P119" s="11">
        <f t="array" ref="P119">TRIM(_xlfn.XLOOKUP(非皮卡压缩表[[#This Row],[BACKSIZE]],ALL尺码表[内部尺码],ALL尺码表[通用尺码]))</f>
        <v/>
      </c>
    </row>
    <row r="120">
      <c r="A120" s="17" t="inlineStr">
        <is>
          <t>ALL</t>
        </is>
      </c>
      <c r="B120" s="18" t="inlineStr">
        <is>
          <t>BMW X2</t>
        </is>
      </c>
      <c r="C120" s="18" t="inlineStr">
        <is>
          <t>BMW</t>
        </is>
      </c>
      <c r="D120" s="18" t="inlineStr">
        <is>
          <t>X2</t>
        </is>
      </c>
      <c r="E120" s="18" t="inlineStr">
        <is>
          <t>2018-2026</t>
        </is>
      </c>
      <c r="F120" s="18" t="inlineStr">
        <is>
          <t>Incl: M35i</t>
        </is>
      </c>
      <c r="G120" s="18" t="inlineStr">
        <is>
          <t>Coupe SUV/CUV</t>
        </is>
      </c>
      <c r="H120" s="18" t="inlineStr">
        <is>
          <t>YM+</t>
        </is>
      </c>
      <c r="I120" s="19">
        <f t="array" ref="I120">TRIM(_xlfn.XLOOKUP(非皮卡压缩表[[#This Row],[BACKSIZE]],ALL尺码表[内部尺码],ALL尺码表[分类],""))</f>
        <v/>
      </c>
      <c r="J120" s="19">
        <f t="array" ref="J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" s="20">
        <f>LEN(非皮卡压缩表[[#This Row],[LONG-TYPE]])</f>
        <v/>
      </c>
      <c r="L120" s="21">
        <f t="array" ref="L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" s="22">
        <f>LEN(非皮卡压缩表[[#This Row],[TYPE]])</f>
        <v/>
      </c>
      <c r="N120" s="22">
        <f t="array" ref="N120">_xlfn.XLOOKUP(非皮卡压缩表[[#This Row],[MODEL]],MODEL缩写表[长MODEL],MODEL缩写表[短MODEL],非皮卡压缩表[[#This Row],[MODEL]])</f>
        <v/>
      </c>
      <c r="O120" s="22">
        <f>LEN(非皮卡压缩表[[#This Row],[SHORT-MODEL]])</f>
        <v/>
      </c>
      <c r="P120" s="11">
        <f t="array" ref="P120">TRIM(_xlfn.XLOOKUP(非皮卡压缩表[[#This Row],[BACKSIZE]],ALL尺码表[内部尺码],ALL尺码表[通用尺码]))</f>
        <v/>
      </c>
    </row>
    <row r="121">
      <c r="A121" s="17" t="inlineStr">
        <is>
          <t>ALL</t>
        </is>
      </c>
      <c r="B121" s="18" t="inlineStr">
        <is>
          <t>BMW X3</t>
        </is>
      </c>
      <c r="C121" s="18" t="inlineStr">
        <is>
          <t>BMW</t>
        </is>
      </c>
      <c r="D121" s="18" t="inlineStr">
        <is>
          <t>X3</t>
        </is>
      </c>
      <c r="E121" s="18" t="inlineStr">
        <is>
          <t>2004-2010</t>
        </is>
      </c>
      <c r="F121" s="18" t="inlineStr"/>
      <c r="G121" s="18" t="inlineStr">
        <is>
          <t>SUV</t>
        </is>
      </c>
      <c r="H121" s="18" t="inlineStr">
        <is>
          <t>YM+</t>
        </is>
      </c>
      <c r="I121" s="19">
        <f t="array" ref="I121">TRIM(_xlfn.XLOOKUP(非皮卡压缩表[[#This Row],[BACKSIZE]],ALL尺码表[内部尺码],ALL尺码表[分类],""))</f>
        <v/>
      </c>
      <c r="J121" s="19">
        <f t="array" ref="J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" s="20">
        <f>LEN(非皮卡压缩表[[#This Row],[LONG-TYPE]])</f>
        <v/>
      </c>
      <c r="L121" s="21">
        <f t="array" ref="L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" s="22">
        <f>LEN(非皮卡压缩表[[#This Row],[TYPE]])</f>
        <v/>
      </c>
      <c r="N121" s="22">
        <f t="array" ref="N121">_xlfn.XLOOKUP(非皮卡压缩表[[#This Row],[MODEL]],MODEL缩写表[长MODEL],MODEL缩写表[短MODEL],非皮卡压缩表[[#This Row],[MODEL]])</f>
        <v/>
      </c>
      <c r="O121" s="22">
        <f>LEN(非皮卡压缩表[[#This Row],[SHORT-MODEL]])</f>
        <v/>
      </c>
      <c r="P121" s="11">
        <f t="array" ref="P121">TRIM(_xlfn.XLOOKUP(非皮卡压缩表[[#This Row],[BACKSIZE]],ALL尺码表[内部尺码],ALL尺码表[通用尺码]))</f>
        <v/>
      </c>
    </row>
    <row r="122">
      <c r="A122" s="17" t="inlineStr">
        <is>
          <t>ALL</t>
        </is>
      </c>
      <c r="B122" s="18" t="inlineStr">
        <is>
          <t>BMW X3</t>
        </is>
      </c>
      <c r="C122" s="18" t="inlineStr">
        <is>
          <t>BMW</t>
        </is>
      </c>
      <c r="D122" s="18" t="inlineStr">
        <is>
          <t>X3</t>
        </is>
      </c>
      <c r="E122" s="18" t="inlineStr">
        <is>
          <t>2011-2026</t>
        </is>
      </c>
      <c r="F122" s="18" t="inlineStr"/>
      <c r="G122" s="18" t="inlineStr">
        <is>
          <t>SUV</t>
        </is>
      </c>
      <c r="H122" s="18" t="inlineStr">
        <is>
          <t>YL</t>
        </is>
      </c>
      <c r="I122" s="19">
        <f t="array" ref="I122">TRIM(_xlfn.XLOOKUP(非皮卡压缩表[[#This Row],[BACKSIZE]],ALL尺码表[内部尺码],ALL尺码表[分类],""))</f>
        <v/>
      </c>
      <c r="J122" s="19">
        <f t="array" ref="J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" s="20">
        <f>LEN(非皮卡压缩表[[#This Row],[LONG-TYPE]])</f>
        <v/>
      </c>
      <c r="L122" s="21">
        <f t="array" ref="L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" s="22">
        <f>LEN(非皮卡压缩表[[#This Row],[TYPE]])</f>
        <v/>
      </c>
      <c r="N122" s="22">
        <f t="array" ref="N122">_xlfn.XLOOKUP(非皮卡压缩表[[#This Row],[MODEL]],MODEL缩写表[长MODEL],MODEL缩写表[短MODEL],非皮卡压缩表[[#This Row],[MODEL]])</f>
        <v/>
      </c>
      <c r="O122" s="22">
        <f>LEN(非皮卡压缩表[[#This Row],[SHORT-MODEL]])</f>
        <v/>
      </c>
      <c r="P122" s="11">
        <f t="array" ref="P122">TRIM(_xlfn.XLOOKUP(非皮卡压缩表[[#This Row],[BACKSIZE]],ALL尺码表[内部尺码],ALL尺码表[通用尺码]))</f>
        <v/>
      </c>
    </row>
    <row r="123">
      <c r="A123" s="17" t="inlineStr">
        <is>
          <t>ALL</t>
        </is>
      </c>
      <c r="B123" s="18" t="inlineStr">
        <is>
          <t>BMW X4</t>
        </is>
      </c>
      <c r="C123" s="18" t="inlineStr">
        <is>
          <t>BMW</t>
        </is>
      </c>
      <c r="D123" s="18" t="inlineStr">
        <is>
          <t>X4</t>
        </is>
      </c>
      <c r="E123" s="18" t="inlineStr">
        <is>
          <t>2015-2025</t>
        </is>
      </c>
      <c r="F123" s="18" t="inlineStr"/>
      <c r="G123" s="18" t="inlineStr">
        <is>
          <t>Coupe SUV</t>
        </is>
      </c>
      <c r="H123" s="18" t="inlineStr">
        <is>
          <t>YL</t>
        </is>
      </c>
      <c r="I123" s="19">
        <f t="array" ref="I123">TRIM(_xlfn.XLOOKUP(非皮卡压缩表[[#This Row],[BACKSIZE]],ALL尺码表[内部尺码],ALL尺码表[分类],""))</f>
        <v/>
      </c>
      <c r="J123" s="19">
        <f t="array" ref="J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" s="20">
        <f>LEN(非皮卡压缩表[[#This Row],[LONG-TYPE]])</f>
        <v/>
      </c>
      <c r="L123" s="21">
        <f t="array" ref="L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" s="22">
        <f>LEN(非皮卡压缩表[[#This Row],[TYPE]])</f>
        <v/>
      </c>
      <c r="N123" s="22">
        <f t="array" ref="N123">_xlfn.XLOOKUP(非皮卡压缩表[[#This Row],[MODEL]],MODEL缩写表[长MODEL],MODEL缩写表[短MODEL],非皮卡压缩表[[#This Row],[MODEL]])</f>
        <v/>
      </c>
      <c r="O123" s="22">
        <f>LEN(非皮卡压缩表[[#This Row],[SHORT-MODEL]])</f>
        <v/>
      </c>
      <c r="P123" s="11">
        <f t="array" ref="P123">TRIM(_xlfn.XLOOKUP(非皮卡压缩表[[#This Row],[BACKSIZE]],ALL尺码表[内部尺码],ALL尺码表[通用尺码]))</f>
        <v/>
      </c>
    </row>
    <row r="124">
      <c r="A124" s="17" t="inlineStr">
        <is>
          <t>ALL</t>
        </is>
      </c>
      <c r="B124" s="18" t="inlineStr">
        <is>
          <t>BMW X5</t>
        </is>
      </c>
      <c r="C124" s="18" t="inlineStr">
        <is>
          <t>BMW</t>
        </is>
      </c>
      <c r="D124" s="18" t="inlineStr">
        <is>
          <t>X5</t>
        </is>
      </c>
      <c r="E124" s="18" t="inlineStr">
        <is>
          <t>2000-2006</t>
        </is>
      </c>
      <c r="F124" s="18" t="inlineStr"/>
      <c r="G124" s="18" t="inlineStr">
        <is>
          <t>SUV</t>
        </is>
      </c>
      <c r="H124" s="18" t="inlineStr">
        <is>
          <t>YL</t>
        </is>
      </c>
      <c r="I124" s="19">
        <f t="array" ref="I124">TRIM(_xlfn.XLOOKUP(非皮卡压缩表[[#This Row],[BACKSIZE]],ALL尺码表[内部尺码],ALL尺码表[分类],""))</f>
        <v/>
      </c>
      <c r="J124" s="19">
        <f t="array" ref="J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" s="20">
        <f>LEN(非皮卡压缩表[[#This Row],[LONG-TYPE]])</f>
        <v/>
      </c>
      <c r="L124" s="21">
        <f t="array" ref="L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" s="22">
        <f>LEN(非皮卡压缩表[[#This Row],[TYPE]])</f>
        <v/>
      </c>
      <c r="N124" s="22">
        <f t="array" ref="N124">_xlfn.XLOOKUP(非皮卡压缩表[[#This Row],[MODEL]],MODEL缩写表[长MODEL],MODEL缩写表[短MODEL],非皮卡压缩表[[#This Row],[MODEL]])</f>
        <v/>
      </c>
      <c r="O124" s="22">
        <f>LEN(非皮卡压缩表[[#This Row],[SHORT-MODEL]])</f>
        <v/>
      </c>
      <c r="P124" s="11">
        <f t="array" ref="P124">TRIM(_xlfn.XLOOKUP(非皮卡压缩表[[#This Row],[BACKSIZE]],ALL尺码表[内部尺码],ALL尺码表[通用尺码]))</f>
        <v/>
      </c>
    </row>
    <row r="125">
      <c r="A125" s="17" t="inlineStr">
        <is>
          <t>ALL</t>
        </is>
      </c>
      <c r="B125" s="18" t="inlineStr">
        <is>
          <t>BMW X5</t>
        </is>
      </c>
      <c r="C125" s="18" t="inlineStr">
        <is>
          <t>BMW</t>
        </is>
      </c>
      <c r="D125" s="18" t="inlineStr">
        <is>
          <t>X5</t>
        </is>
      </c>
      <c r="E125" s="18" t="inlineStr">
        <is>
          <t>2007-2026</t>
        </is>
      </c>
      <c r="F125" s="18" t="inlineStr"/>
      <c r="G125" s="18" t="inlineStr">
        <is>
          <t>SUV</t>
        </is>
      </c>
      <c r="H125" s="18" t="inlineStr">
        <is>
          <t>YXL</t>
        </is>
      </c>
      <c r="I125" s="19">
        <f t="array" ref="I125">TRIM(_xlfn.XLOOKUP(非皮卡压缩表[[#This Row],[BACKSIZE]],ALL尺码表[内部尺码],ALL尺码表[分类],""))</f>
        <v/>
      </c>
      <c r="J125" s="19">
        <f t="array" ref="J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" s="20">
        <f>LEN(非皮卡压缩表[[#This Row],[LONG-TYPE]])</f>
        <v/>
      </c>
      <c r="L125" s="21">
        <f t="array" ref="L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" s="22">
        <f>LEN(非皮卡压缩表[[#This Row],[TYPE]])</f>
        <v/>
      </c>
      <c r="N125" s="22">
        <f t="array" ref="N125">_xlfn.XLOOKUP(非皮卡压缩表[[#This Row],[MODEL]],MODEL缩写表[长MODEL],MODEL缩写表[短MODEL],非皮卡压缩表[[#This Row],[MODEL]])</f>
        <v/>
      </c>
      <c r="O125" s="22">
        <f>LEN(非皮卡压缩表[[#This Row],[SHORT-MODEL]])</f>
        <v/>
      </c>
      <c r="P125" s="11">
        <f t="array" ref="P125">TRIM(_xlfn.XLOOKUP(非皮卡压缩表[[#This Row],[BACKSIZE]],ALL尺码表[内部尺码],ALL尺码表[通用尺码]))</f>
        <v/>
      </c>
    </row>
    <row r="126">
      <c r="A126" s="17" t="inlineStr">
        <is>
          <t>ALL</t>
        </is>
      </c>
      <c r="B126" s="18" t="inlineStr">
        <is>
          <t>BMW X6</t>
        </is>
      </c>
      <c r="C126" s="18" t="inlineStr">
        <is>
          <t>BMW</t>
        </is>
      </c>
      <c r="D126" s="18" t="inlineStr">
        <is>
          <t>X6</t>
        </is>
      </c>
      <c r="E126" s="18" t="inlineStr">
        <is>
          <t>2008-2026</t>
        </is>
      </c>
      <c r="F126" s="18" t="inlineStr"/>
      <c r="G126" s="18" t="inlineStr">
        <is>
          <t>Coupe SUV</t>
        </is>
      </c>
      <c r="H126" s="18" t="inlineStr">
        <is>
          <t>YXL</t>
        </is>
      </c>
      <c r="I126" s="19">
        <f t="array" ref="I126">TRIM(_xlfn.XLOOKUP(非皮卡压缩表[[#This Row],[BACKSIZE]],ALL尺码表[内部尺码],ALL尺码表[分类],""))</f>
        <v/>
      </c>
      <c r="J126" s="19">
        <f t="array" ref="J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" s="20">
        <f>LEN(非皮卡压缩表[[#This Row],[LONG-TYPE]])</f>
        <v/>
      </c>
      <c r="L126" s="21">
        <f t="array" ref="L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" s="22">
        <f>LEN(非皮卡压缩表[[#This Row],[TYPE]])</f>
        <v/>
      </c>
      <c r="N126" s="22">
        <f t="array" ref="N126">_xlfn.XLOOKUP(非皮卡压缩表[[#This Row],[MODEL]],MODEL缩写表[长MODEL],MODEL缩写表[短MODEL],非皮卡压缩表[[#This Row],[MODEL]])</f>
        <v/>
      </c>
      <c r="O126" s="22">
        <f>LEN(非皮卡压缩表[[#This Row],[SHORT-MODEL]])</f>
        <v/>
      </c>
      <c r="P126" s="11">
        <f t="array" ref="P126">TRIM(_xlfn.XLOOKUP(非皮卡压缩表[[#This Row],[BACKSIZE]],ALL尺码表[内部尺码],ALL尺码表[通用尺码]))</f>
        <v/>
      </c>
    </row>
    <row r="127">
      <c r="A127" s="17" t="inlineStr">
        <is>
          <t>ALL</t>
        </is>
      </c>
      <c r="B127" s="18" t="inlineStr">
        <is>
          <t>BMW X7</t>
        </is>
      </c>
      <c r="C127" s="18" t="inlineStr">
        <is>
          <t>BMW</t>
        </is>
      </c>
      <c r="D127" s="18" t="inlineStr">
        <is>
          <t>X7</t>
        </is>
      </c>
      <c r="E127" s="18" t="inlineStr">
        <is>
          <t>2019-2026</t>
        </is>
      </c>
      <c r="F127" s="18" t="inlineStr">
        <is>
          <t>Incl: M60i</t>
        </is>
      </c>
      <c r="G127" s="18" t="inlineStr">
        <is>
          <t>SUV</t>
        </is>
      </c>
      <c r="H127" s="18" t="inlineStr">
        <is>
          <t>YXXL</t>
        </is>
      </c>
      <c r="I127" s="19">
        <f t="array" ref="I127">TRIM(_xlfn.XLOOKUP(非皮卡压缩表[[#This Row],[BACKSIZE]],ALL尺码表[内部尺码],ALL尺码表[分类],""))</f>
        <v/>
      </c>
      <c r="J127" s="19">
        <f t="array" ref="J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" s="20">
        <f>LEN(非皮卡压缩表[[#This Row],[LONG-TYPE]])</f>
        <v/>
      </c>
      <c r="L127" s="21">
        <f t="array" ref="L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" s="22">
        <f>LEN(非皮卡压缩表[[#This Row],[TYPE]])</f>
        <v/>
      </c>
      <c r="N127" s="22">
        <f t="array" ref="N127">_xlfn.XLOOKUP(非皮卡压缩表[[#This Row],[MODEL]],MODEL缩写表[长MODEL],MODEL缩写表[短MODEL],非皮卡压缩表[[#This Row],[MODEL]])</f>
        <v/>
      </c>
      <c r="O127" s="22">
        <f>LEN(非皮卡压缩表[[#This Row],[SHORT-MODEL]])</f>
        <v/>
      </c>
      <c r="P127" s="11">
        <f t="array" ref="P127">TRIM(_xlfn.XLOOKUP(非皮卡压缩表[[#This Row],[BACKSIZE]],ALL尺码表[内部尺码],ALL尺码表[通用尺码]))</f>
        <v/>
      </c>
    </row>
    <row r="128">
      <c r="A128" s="17" t="inlineStr">
        <is>
          <t>ALL</t>
        </is>
      </c>
      <c r="B128" s="18" t="inlineStr">
        <is>
          <t>BMW XM</t>
        </is>
      </c>
      <c r="C128" s="18" t="inlineStr">
        <is>
          <t>BMW</t>
        </is>
      </c>
      <c r="D128" s="18" t="inlineStr">
        <is>
          <t>XM</t>
        </is>
      </c>
      <c r="E128" s="18" t="inlineStr">
        <is>
          <t>2023-2026</t>
        </is>
      </c>
      <c r="F128" s="18" t="inlineStr"/>
      <c r="G128" s="18" t="inlineStr">
        <is>
          <t>SUV</t>
        </is>
      </c>
      <c r="H128" s="18" t="inlineStr">
        <is>
          <t>YXXL</t>
        </is>
      </c>
      <c r="I128" s="19">
        <f t="array" ref="I128">TRIM(_xlfn.XLOOKUP(非皮卡压缩表[[#This Row],[BACKSIZE]],ALL尺码表[内部尺码],ALL尺码表[分类],""))</f>
        <v/>
      </c>
      <c r="J128" s="19">
        <f t="array" ref="J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" s="20">
        <f>LEN(非皮卡压缩表[[#This Row],[LONG-TYPE]])</f>
        <v/>
      </c>
      <c r="L128" s="21">
        <f t="array" ref="L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" s="22">
        <f>LEN(非皮卡压缩表[[#This Row],[TYPE]])</f>
        <v/>
      </c>
      <c r="N128" s="22">
        <f t="array" ref="N128">_xlfn.XLOOKUP(非皮卡压缩表[[#This Row],[MODEL]],MODEL缩写表[长MODEL],MODEL缩写表[短MODEL],非皮卡压缩表[[#This Row],[MODEL]])</f>
        <v/>
      </c>
      <c r="O128" s="22">
        <f>LEN(非皮卡压缩表[[#This Row],[SHORT-MODEL]])</f>
        <v/>
      </c>
      <c r="P128" s="11">
        <f t="array" ref="P128">TRIM(_xlfn.XLOOKUP(非皮卡压缩表[[#This Row],[BACKSIZE]],ALL尺码表[内部尺码],ALL尺码表[通用尺码]))</f>
        <v/>
      </c>
    </row>
    <row r="129">
      <c r="A129" s="17" t="inlineStr">
        <is>
          <t>ALL</t>
        </is>
      </c>
      <c r="B129" s="18" t="inlineStr">
        <is>
          <t>BMW Z3</t>
        </is>
      </c>
      <c r="C129" s="18" t="inlineStr">
        <is>
          <t>BMW</t>
        </is>
      </c>
      <c r="D129" s="18" t="inlineStr">
        <is>
          <t>Z3</t>
        </is>
      </c>
      <c r="E129" s="18" t="inlineStr">
        <is>
          <t>1996-2002</t>
        </is>
      </c>
      <c r="F129" s="18" t="inlineStr"/>
      <c r="G129" s="18" t="inlineStr">
        <is>
          <t>Coupe/Roadster</t>
        </is>
      </c>
      <c r="H129" s="18" t="inlineStr">
        <is>
          <t>3S-0</t>
        </is>
      </c>
      <c r="I129" s="19">
        <f t="array" ref="I129">TRIM(_xlfn.XLOOKUP(非皮卡压缩表[[#This Row],[BACKSIZE]],ALL尺码表[内部尺码],ALL尺码表[分类],""))</f>
        <v/>
      </c>
      <c r="J129" s="19">
        <f t="array" ref="J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" s="20">
        <f>LEN(非皮卡压缩表[[#This Row],[LONG-TYPE]])</f>
        <v/>
      </c>
      <c r="L129" s="21">
        <f t="array" ref="L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" s="22">
        <f>LEN(非皮卡压缩表[[#This Row],[TYPE]])</f>
        <v/>
      </c>
      <c r="N129" s="22">
        <f t="array" ref="N129">_xlfn.XLOOKUP(非皮卡压缩表[[#This Row],[MODEL]],MODEL缩写表[长MODEL],MODEL缩写表[短MODEL],非皮卡压缩表[[#This Row],[MODEL]])</f>
        <v/>
      </c>
      <c r="O129" s="22">
        <f>LEN(非皮卡压缩表[[#This Row],[SHORT-MODEL]])</f>
        <v/>
      </c>
      <c r="P129" s="11">
        <f t="array" ref="P129">TRIM(_xlfn.XLOOKUP(非皮卡压缩表[[#This Row],[BACKSIZE]],ALL尺码表[内部尺码],ALL尺码表[通用尺码]))</f>
        <v/>
      </c>
    </row>
    <row r="130">
      <c r="A130" s="17" t="inlineStr">
        <is>
          <t>ALL</t>
        </is>
      </c>
      <c r="B130" s="18" t="inlineStr">
        <is>
          <t>BMW Z4</t>
        </is>
      </c>
      <c r="C130" s="18" t="inlineStr">
        <is>
          <t>BMW</t>
        </is>
      </c>
      <c r="D130" s="18" t="inlineStr">
        <is>
          <t>Z4</t>
        </is>
      </c>
      <c r="E130" s="18" t="inlineStr">
        <is>
          <t>2003-2008</t>
        </is>
      </c>
      <c r="F130" s="18" t="inlineStr"/>
      <c r="G130" s="18" t="inlineStr">
        <is>
          <t>Roadster</t>
        </is>
      </c>
      <c r="H130" s="18" t="inlineStr">
        <is>
          <t>3S-0</t>
        </is>
      </c>
      <c r="I130" s="19">
        <f t="array" ref="I130">TRIM(_xlfn.XLOOKUP(非皮卡压缩表[[#This Row],[BACKSIZE]],ALL尺码表[内部尺码],ALL尺码表[分类],""))</f>
        <v/>
      </c>
      <c r="J130" s="19">
        <f t="array" ref="J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" s="20">
        <f>LEN(非皮卡压缩表[[#This Row],[LONG-TYPE]])</f>
        <v/>
      </c>
      <c r="L130" s="21">
        <f t="array" ref="L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" s="22">
        <f>LEN(非皮卡压缩表[[#This Row],[TYPE]])</f>
        <v/>
      </c>
      <c r="N130" s="22">
        <f t="array" ref="N130">_xlfn.XLOOKUP(非皮卡压缩表[[#This Row],[MODEL]],MODEL缩写表[长MODEL],MODEL缩写表[短MODEL],非皮卡压缩表[[#This Row],[MODEL]])</f>
        <v/>
      </c>
      <c r="O130" s="22">
        <f>LEN(非皮卡压缩表[[#This Row],[SHORT-MODEL]])</f>
        <v/>
      </c>
      <c r="P130" s="11">
        <f t="array" ref="P130">TRIM(_xlfn.XLOOKUP(非皮卡压缩表[[#This Row],[BACKSIZE]],ALL尺码表[内部尺码],ALL尺码表[通用尺码]))</f>
        <v/>
      </c>
    </row>
    <row r="131">
      <c r="A131" s="17" t="inlineStr">
        <is>
          <t>ALL</t>
        </is>
      </c>
      <c r="B131" s="18" t="inlineStr">
        <is>
          <t>BMW Z4</t>
        </is>
      </c>
      <c r="C131" s="18" t="inlineStr">
        <is>
          <t>BMW</t>
        </is>
      </c>
      <c r="D131" s="18" t="inlineStr">
        <is>
          <t>Z4</t>
        </is>
      </c>
      <c r="E131" s="18" t="inlineStr">
        <is>
          <t>2009-2026</t>
        </is>
      </c>
      <c r="F131" s="18" t="inlineStr"/>
      <c r="G131" s="18" t="inlineStr">
        <is>
          <t>Convertible/Roadster</t>
        </is>
      </c>
      <c r="H131" s="18" t="inlineStr">
        <is>
          <t>3M-0</t>
        </is>
      </c>
      <c r="I131" s="19">
        <f t="array" ref="I131">TRIM(_xlfn.XLOOKUP(非皮卡压缩表[[#This Row],[BACKSIZE]],ALL尺码表[内部尺码],ALL尺码表[分类],""))</f>
        <v/>
      </c>
      <c r="J131" s="19">
        <f t="array" ref="J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" s="20">
        <f>LEN(非皮卡压缩表[[#This Row],[LONG-TYPE]])</f>
        <v/>
      </c>
      <c r="L131" s="21">
        <f t="array" ref="L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" s="22">
        <f>LEN(非皮卡压缩表[[#This Row],[TYPE]])</f>
        <v/>
      </c>
      <c r="N131" s="22">
        <f t="array" ref="N131">_xlfn.XLOOKUP(非皮卡压缩表[[#This Row],[MODEL]],MODEL缩写表[长MODEL],MODEL缩写表[短MODEL],非皮卡压缩表[[#This Row],[MODEL]])</f>
        <v/>
      </c>
      <c r="O131" s="22">
        <f>LEN(非皮卡压缩表[[#This Row],[SHORT-MODEL]])</f>
        <v/>
      </c>
      <c r="P131" s="11">
        <f t="array" ref="P131">TRIM(_xlfn.XLOOKUP(非皮卡压缩表[[#This Row],[BACKSIZE]],ALL尺码表[内部尺码],ALL尺码表[通用尺码]))</f>
        <v/>
      </c>
    </row>
    <row r="132">
      <c r="A132" s="17" t="inlineStr">
        <is>
          <t>ALL</t>
        </is>
      </c>
      <c r="B132" s="18" t="inlineStr">
        <is>
          <t>BMW i3</t>
        </is>
      </c>
      <c r="C132" s="18" t="inlineStr">
        <is>
          <t>BMW</t>
        </is>
      </c>
      <c r="D132" s="18" t="inlineStr">
        <is>
          <t>i3</t>
        </is>
      </c>
      <c r="E132" s="18" t="inlineStr">
        <is>
          <t>2014-2021</t>
        </is>
      </c>
      <c r="F132" s="18" t="inlineStr"/>
      <c r="G132" s="18" t="inlineStr">
        <is>
          <t>Hatchback</t>
        </is>
      </c>
      <c r="H132" s="18" t="inlineStr">
        <is>
          <t>2M</t>
        </is>
      </c>
      <c r="I132" s="19">
        <f t="array" ref="I132">TRIM(_xlfn.XLOOKUP(非皮卡压缩表[[#This Row],[BACKSIZE]],ALL尺码表[内部尺码],ALL尺码表[分类],""))</f>
        <v/>
      </c>
      <c r="J132" s="19">
        <f t="array" ref="J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" s="20">
        <f>LEN(非皮卡压缩表[[#This Row],[LONG-TYPE]])</f>
        <v/>
      </c>
      <c r="L132" s="21">
        <f t="array" ref="L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" s="22">
        <f>LEN(非皮卡压缩表[[#This Row],[TYPE]])</f>
        <v/>
      </c>
      <c r="N132" s="22">
        <f t="array" ref="N132">_xlfn.XLOOKUP(非皮卡压缩表[[#This Row],[MODEL]],MODEL缩写表[长MODEL],MODEL缩写表[短MODEL],非皮卡压缩表[[#This Row],[MODEL]])</f>
        <v/>
      </c>
      <c r="O132" s="22">
        <f>LEN(非皮卡压缩表[[#This Row],[SHORT-MODEL]])</f>
        <v/>
      </c>
      <c r="P132" s="11">
        <f t="array" ref="P132">TRIM(_xlfn.XLOOKUP(非皮卡压缩表[[#This Row],[BACKSIZE]],ALL尺码表[内部尺码],ALL尺码表[通用尺码]))</f>
        <v/>
      </c>
    </row>
    <row r="133">
      <c r="A133" s="17" t="inlineStr">
        <is>
          <t>ALL</t>
        </is>
      </c>
      <c r="B133" s="18" t="inlineStr">
        <is>
          <t>BMW i4</t>
        </is>
      </c>
      <c r="C133" s="18" t="inlineStr">
        <is>
          <t>BMW</t>
        </is>
      </c>
      <c r="D133" s="18" t="inlineStr">
        <is>
          <t>i4</t>
        </is>
      </c>
      <c r="E133" s="18" t="inlineStr">
        <is>
          <t>2022-2026</t>
        </is>
      </c>
      <c r="F133" s="18" t="inlineStr"/>
      <c r="G133" s="18" t="inlineStr">
        <is>
          <t>Fastback</t>
        </is>
      </c>
      <c r="H133" s="18" t="inlineStr">
        <is>
          <t>3XL</t>
        </is>
      </c>
      <c r="I133" s="19">
        <f t="array" ref="I133">TRIM(_xlfn.XLOOKUP(非皮卡压缩表[[#This Row],[BACKSIZE]],ALL尺码表[内部尺码],ALL尺码表[分类],""))</f>
        <v/>
      </c>
      <c r="J133" s="19">
        <f t="array" ref="J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" s="20">
        <f>LEN(非皮卡压缩表[[#This Row],[LONG-TYPE]])</f>
        <v/>
      </c>
      <c r="L133" s="21">
        <f t="array" ref="L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" s="22">
        <f>LEN(非皮卡压缩表[[#This Row],[TYPE]])</f>
        <v/>
      </c>
      <c r="N133" s="22">
        <f t="array" ref="N133">_xlfn.XLOOKUP(非皮卡压缩表[[#This Row],[MODEL]],MODEL缩写表[长MODEL],MODEL缩写表[短MODEL],非皮卡压缩表[[#This Row],[MODEL]])</f>
        <v/>
      </c>
      <c r="O133" s="22">
        <f>LEN(非皮卡压缩表[[#This Row],[SHORT-MODEL]])</f>
        <v/>
      </c>
      <c r="P133" s="11">
        <f t="array" ref="P133">TRIM(_xlfn.XLOOKUP(非皮卡压缩表[[#This Row],[BACKSIZE]],ALL尺码表[内部尺码],ALL尺码表[通用尺码]))</f>
        <v/>
      </c>
    </row>
    <row r="134">
      <c r="A134" s="17" t="inlineStr">
        <is>
          <t>ALL</t>
        </is>
      </c>
      <c r="B134" s="18" t="inlineStr">
        <is>
          <t>BMW i5</t>
        </is>
      </c>
      <c r="C134" s="18" t="inlineStr">
        <is>
          <t>BMW</t>
        </is>
      </c>
      <c r="D134" s="18" t="inlineStr">
        <is>
          <t>i5</t>
        </is>
      </c>
      <c r="E134" s="18" t="inlineStr">
        <is>
          <t>2024-2026</t>
        </is>
      </c>
      <c r="F134" s="18" t="inlineStr"/>
      <c r="G134" s="18" t="inlineStr">
        <is>
          <t>Sedan</t>
        </is>
      </c>
      <c r="H134" s="18" t="inlineStr">
        <is>
          <t>3XXL</t>
        </is>
      </c>
      <c r="I134" s="19">
        <f t="array" ref="I134">TRIM(_xlfn.XLOOKUP(非皮卡压缩表[[#This Row],[BACKSIZE]],ALL尺码表[内部尺码],ALL尺码表[分类],""))</f>
        <v/>
      </c>
      <c r="J134" s="19">
        <f t="array" ref="J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" s="20">
        <f>LEN(非皮卡压缩表[[#This Row],[LONG-TYPE]])</f>
        <v/>
      </c>
      <c r="L134" s="21">
        <f t="array" ref="L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" s="22">
        <f>LEN(非皮卡压缩表[[#This Row],[TYPE]])</f>
        <v/>
      </c>
      <c r="N134" s="22">
        <f t="array" ref="N134">_xlfn.XLOOKUP(非皮卡压缩表[[#This Row],[MODEL]],MODEL缩写表[长MODEL],MODEL缩写表[短MODEL],非皮卡压缩表[[#This Row],[MODEL]])</f>
        <v/>
      </c>
      <c r="O134" s="22">
        <f>LEN(非皮卡压缩表[[#This Row],[SHORT-MODEL]])</f>
        <v/>
      </c>
      <c r="P134" s="11">
        <f t="array" ref="P134">TRIM(_xlfn.XLOOKUP(非皮卡压缩表[[#This Row],[BACKSIZE]],ALL尺码表[内部尺码],ALL尺码表[通用尺码]))</f>
        <v/>
      </c>
    </row>
    <row r="135">
      <c r="A135" s="17" t="inlineStr">
        <is>
          <t>ALL</t>
        </is>
      </c>
      <c r="B135" s="18" t="inlineStr">
        <is>
          <t>BMW i7</t>
        </is>
      </c>
      <c r="C135" s="18" t="inlineStr">
        <is>
          <t>BMW</t>
        </is>
      </c>
      <c r="D135" s="18" t="inlineStr">
        <is>
          <t>i7</t>
        </is>
      </c>
      <c r="E135" s="18" t="inlineStr">
        <is>
          <t>2023-2026</t>
        </is>
      </c>
      <c r="F135" s="18" t="inlineStr"/>
      <c r="G135" s="18" t="inlineStr">
        <is>
          <t>Sedan</t>
        </is>
      </c>
      <c r="H135" s="18" t="inlineStr">
        <is>
          <t>3XXXL</t>
        </is>
      </c>
      <c r="I135" s="19">
        <f t="array" ref="I135">TRIM(_xlfn.XLOOKUP(非皮卡压缩表[[#This Row],[BACKSIZE]],ALL尺码表[内部尺码],ALL尺码表[分类],""))</f>
        <v/>
      </c>
      <c r="J135" s="19">
        <f t="array" ref="J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" s="20">
        <f>LEN(非皮卡压缩表[[#This Row],[LONG-TYPE]])</f>
        <v/>
      </c>
      <c r="L135" s="21">
        <f t="array" ref="L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" s="22">
        <f>LEN(非皮卡压缩表[[#This Row],[TYPE]])</f>
        <v/>
      </c>
      <c r="N135" s="22">
        <f t="array" ref="N135">_xlfn.XLOOKUP(非皮卡压缩表[[#This Row],[MODEL]],MODEL缩写表[长MODEL],MODEL缩写表[短MODEL],非皮卡压缩表[[#This Row],[MODEL]])</f>
        <v/>
      </c>
      <c r="O135" s="22">
        <f>LEN(非皮卡压缩表[[#This Row],[SHORT-MODEL]])</f>
        <v/>
      </c>
      <c r="P135" s="11">
        <f t="array" ref="P135">TRIM(_xlfn.XLOOKUP(非皮卡压缩表[[#This Row],[BACKSIZE]],ALL尺码表[内部尺码],ALL尺码表[通用尺码]))</f>
        <v/>
      </c>
    </row>
    <row r="136">
      <c r="A136" s="17" t="inlineStr">
        <is>
          <t>ALL</t>
        </is>
      </c>
      <c r="B136" s="18" t="inlineStr">
        <is>
          <t>BMW i8</t>
        </is>
      </c>
      <c r="C136" s="18" t="inlineStr">
        <is>
          <t>BMW</t>
        </is>
      </c>
      <c r="D136" s="18" t="inlineStr">
        <is>
          <t>i8</t>
        </is>
      </c>
      <c r="E136" s="18" t="inlineStr">
        <is>
          <t>2014-2020</t>
        </is>
      </c>
      <c r="F136" s="18" t="inlineStr"/>
      <c r="G136" s="18" t="inlineStr">
        <is>
          <t>Coupe/Roadster</t>
        </is>
      </c>
      <c r="H136" s="18" t="inlineStr">
        <is>
          <t>3L-0</t>
        </is>
      </c>
      <c r="I136" s="19">
        <f t="array" ref="I136">TRIM(_xlfn.XLOOKUP(非皮卡压缩表[[#This Row],[BACKSIZE]],ALL尺码表[内部尺码],ALL尺码表[分类],""))</f>
        <v/>
      </c>
      <c r="J136" s="19">
        <f t="array" ref="J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" s="20">
        <f>LEN(非皮卡压缩表[[#This Row],[LONG-TYPE]])</f>
        <v/>
      </c>
      <c r="L136" s="21">
        <f t="array" ref="L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" s="22">
        <f>LEN(非皮卡压缩表[[#This Row],[TYPE]])</f>
        <v/>
      </c>
      <c r="N136" s="22">
        <f t="array" ref="N136">_xlfn.XLOOKUP(非皮卡压缩表[[#This Row],[MODEL]],MODEL缩写表[长MODEL],MODEL缩写表[短MODEL],非皮卡压缩表[[#This Row],[MODEL]])</f>
        <v/>
      </c>
      <c r="O136" s="22">
        <f>LEN(非皮卡压缩表[[#This Row],[SHORT-MODEL]])</f>
        <v/>
      </c>
      <c r="P136" s="11">
        <f t="array" ref="P136">TRIM(_xlfn.XLOOKUP(非皮卡压缩表[[#This Row],[BACKSIZE]],ALL尺码表[内部尺码],ALL尺码表[通用尺码]))</f>
        <v/>
      </c>
    </row>
    <row r="137">
      <c r="A137" s="17" t="inlineStr">
        <is>
          <t>ALL</t>
        </is>
      </c>
      <c r="B137" s="18" t="inlineStr">
        <is>
          <t>BMW iX</t>
        </is>
      </c>
      <c r="C137" s="18" t="inlineStr">
        <is>
          <t>BMW</t>
        </is>
      </c>
      <c r="D137" s="18" t="inlineStr">
        <is>
          <t>iX</t>
        </is>
      </c>
      <c r="E137" s="18" t="inlineStr">
        <is>
          <t>2022-2026</t>
        </is>
      </c>
      <c r="F137" s="18" t="inlineStr"/>
      <c r="G137" s="18" t="inlineStr">
        <is>
          <t>SUV</t>
        </is>
      </c>
      <c r="H137" s="18" t="inlineStr">
        <is>
          <t>YXL</t>
        </is>
      </c>
      <c r="I137" s="19">
        <f t="array" ref="I137">TRIM(_xlfn.XLOOKUP(非皮卡压缩表[[#This Row],[BACKSIZE]],ALL尺码表[内部尺码],ALL尺码表[分类],""))</f>
        <v/>
      </c>
      <c r="J137" s="19">
        <f t="array" ref="J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" s="20">
        <f>LEN(非皮卡压缩表[[#This Row],[LONG-TYPE]])</f>
        <v/>
      </c>
      <c r="L137" s="21">
        <f t="array" ref="L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" s="22">
        <f>LEN(非皮卡压缩表[[#This Row],[TYPE]])</f>
        <v/>
      </c>
      <c r="N137" s="22">
        <f t="array" ref="N137">_xlfn.XLOOKUP(非皮卡压缩表[[#This Row],[MODEL]],MODEL缩写表[长MODEL],MODEL缩写表[短MODEL],非皮卡压缩表[[#This Row],[MODEL]])</f>
        <v/>
      </c>
      <c r="O137" s="22">
        <f>LEN(非皮卡压缩表[[#This Row],[SHORT-MODEL]])</f>
        <v/>
      </c>
      <c r="P137" s="11">
        <f t="array" ref="P137">TRIM(_xlfn.XLOOKUP(非皮卡压缩表[[#This Row],[BACKSIZE]],ALL尺码表[内部尺码],ALL尺码表[通用尺码]))</f>
        <v/>
      </c>
    </row>
    <row r="138">
      <c r="A138" s="17" t="inlineStr">
        <is>
          <t>ALL</t>
        </is>
      </c>
      <c r="B138" s="18" t="inlineStr">
        <is>
          <t>Buick Cascada</t>
        </is>
      </c>
      <c r="C138" s="18" t="inlineStr">
        <is>
          <t>Buick</t>
        </is>
      </c>
      <c r="D138" s="18" t="inlineStr">
        <is>
          <t>Cascada</t>
        </is>
      </c>
      <c r="E138" s="18" t="inlineStr">
        <is>
          <t>2016-2019</t>
        </is>
      </c>
      <c r="F138" s="18" t="inlineStr"/>
      <c r="G138" s="18" t="inlineStr">
        <is>
          <t>Convertible</t>
        </is>
      </c>
      <c r="H138" s="18" t="inlineStr">
        <is>
          <t>3L-0</t>
        </is>
      </c>
      <c r="I138" s="19">
        <f t="array" ref="I138">TRIM(_xlfn.XLOOKUP(非皮卡压缩表[[#This Row],[BACKSIZE]],ALL尺码表[内部尺码],ALL尺码表[分类],""))</f>
        <v/>
      </c>
      <c r="J138" s="19">
        <f t="array" ref="J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" s="20">
        <f>LEN(非皮卡压缩表[[#This Row],[LONG-TYPE]])</f>
        <v/>
      </c>
      <c r="L138" s="21">
        <f t="array" ref="L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" s="22">
        <f>LEN(非皮卡压缩表[[#This Row],[TYPE]])</f>
        <v/>
      </c>
      <c r="N138" s="22">
        <f t="array" ref="N138">_xlfn.XLOOKUP(非皮卡压缩表[[#This Row],[MODEL]],MODEL缩写表[长MODEL],MODEL缩写表[短MODEL],非皮卡压缩表[[#This Row],[MODEL]])</f>
        <v/>
      </c>
      <c r="O138" s="22">
        <f>LEN(非皮卡压缩表[[#This Row],[SHORT-MODEL]])</f>
        <v/>
      </c>
      <c r="P138" s="11">
        <f t="array" ref="P138">TRIM(_xlfn.XLOOKUP(非皮卡压缩表[[#This Row],[BACKSIZE]],ALL尺码表[内部尺码],ALL尺码表[通用尺码]))</f>
        <v/>
      </c>
    </row>
    <row r="139">
      <c r="A139" s="17" t="inlineStr">
        <is>
          <t>ALL</t>
        </is>
      </c>
      <c r="B139" s="18" t="inlineStr">
        <is>
          <t>Buick Century</t>
        </is>
      </c>
      <c r="C139" s="18" t="inlineStr">
        <is>
          <t>Buick</t>
        </is>
      </c>
      <c r="D139" s="18" t="inlineStr">
        <is>
          <t>Century</t>
        </is>
      </c>
      <c r="E139" s="18" t="inlineStr">
        <is>
          <t>1954-1955</t>
        </is>
      </c>
      <c r="F139" s="18" t="inlineStr"/>
      <c r="G139" s="18" t="inlineStr">
        <is>
          <t>Wagon</t>
        </is>
      </c>
      <c r="H139" s="18" t="inlineStr">
        <is>
          <t>无可用尺码</t>
        </is>
      </c>
      <c r="I139" s="19">
        <f t="array" ref="I139">TRIM(_xlfn.XLOOKUP(非皮卡压缩表[[#This Row],[BACKSIZE]],ALL尺码表[内部尺码],ALL尺码表[分类],""))</f>
        <v/>
      </c>
      <c r="J139" s="19">
        <f t="array" ref="J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" s="20">
        <f>LEN(非皮卡压缩表[[#This Row],[LONG-TYPE]])</f>
        <v/>
      </c>
      <c r="L139" s="21">
        <f t="array" ref="L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" s="22">
        <f>LEN(非皮卡压缩表[[#This Row],[TYPE]])</f>
        <v/>
      </c>
      <c r="N139" s="22">
        <f t="array" ref="N139">_xlfn.XLOOKUP(非皮卡压缩表[[#This Row],[MODEL]],MODEL缩写表[长MODEL],MODEL缩写表[短MODEL],非皮卡压缩表[[#This Row],[MODEL]])</f>
        <v/>
      </c>
      <c r="O139" s="22">
        <f>LEN(非皮卡压缩表[[#This Row],[SHORT-MODEL]])</f>
        <v/>
      </c>
      <c r="P139" s="11">
        <f t="array" ref="P139">TRIM(_xlfn.XLOOKUP(非皮卡压缩表[[#This Row],[BACKSIZE]],ALL尺码表[内部尺码],ALL尺码表[通用尺码]))</f>
        <v/>
      </c>
    </row>
    <row r="140">
      <c r="A140" s="17" t="inlineStr">
        <is>
          <t>ALL</t>
        </is>
      </c>
      <c r="B140" s="18" t="inlineStr">
        <is>
          <t>Buick Century</t>
        </is>
      </c>
      <c r="C140" s="18" t="inlineStr">
        <is>
          <t>Buick</t>
        </is>
      </c>
      <c r="D140" s="18" t="inlineStr">
        <is>
          <t>Century</t>
        </is>
      </c>
      <c r="E140" s="18" t="inlineStr">
        <is>
          <t>1956</t>
        </is>
      </c>
      <c r="F140" s="18" t="inlineStr"/>
      <c r="G140" s="18" t="inlineStr">
        <is>
          <t>Wagon</t>
        </is>
      </c>
      <c r="H140" s="18" t="inlineStr">
        <is>
          <t>2XXL</t>
        </is>
      </c>
      <c r="I140" s="19">
        <f t="array" ref="I140">TRIM(_xlfn.XLOOKUP(非皮卡压缩表[[#This Row],[BACKSIZE]],ALL尺码表[内部尺码],ALL尺码表[分类],""))</f>
        <v/>
      </c>
      <c r="J140" s="19">
        <f t="array" ref="J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" s="20">
        <f>LEN(非皮卡压缩表[[#This Row],[LONG-TYPE]])</f>
        <v/>
      </c>
      <c r="L140" s="21">
        <f t="array" ref="L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" s="22">
        <f>LEN(非皮卡压缩表[[#This Row],[TYPE]])</f>
        <v/>
      </c>
      <c r="N140" s="22">
        <f t="array" ref="N140">_xlfn.XLOOKUP(非皮卡压缩表[[#This Row],[MODEL]],MODEL缩写表[长MODEL],MODEL缩写表[短MODEL],非皮卡压缩表[[#This Row],[MODEL]])</f>
        <v/>
      </c>
      <c r="O140" s="22">
        <f>LEN(非皮卡压缩表[[#This Row],[SHORT-MODEL]])</f>
        <v/>
      </c>
      <c r="P140" s="11">
        <f t="array" ref="P140">TRIM(_xlfn.XLOOKUP(非皮卡压缩表[[#This Row],[BACKSIZE]],ALL尺码表[内部尺码],ALL尺码表[通用尺码]))</f>
        <v/>
      </c>
    </row>
    <row r="141">
      <c r="A141" s="17" t="inlineStr">
        <is>
          <t>ALL</t>
        </is>
      </c>
      <c r="B141" s="18" t="inlineStr">
        <is>
          <t>Buick Century</t>
        </is>
      </c>
      <c r="C141" s="18" t="inlineStr">
        <is>
          <t>Buick</t>
        </is>
      </c>
      <c r="D141" s="18" t="inlineStr">
        <is>
          <t>Century</t>
        </is>
      </c>
      <c r="E141" s="18" t="inlineStr">
        <is>
          <t>1957</t>
        </is>
      </c>
      <c r="F141" s="18" t="inlineStr"/>
      <c r="G141" s="18" t="inlineStr">
        <is>
          <t>Convertible</t>
        </is>
      </c>
      <c r="H141" s="18" t="inlineStr">
        <is>
          <t>3XXXL-0</t>
        </is>
      </c>
      <c r="I141" s="19">
        <f t="array" ref="I141">TRIM(_xlfn.XLOOKUP(非皮卡压缩表[[#This Row],[BACKSIZE]],ALL尺码表[内部尺码],ALL尺码表[分类],""))</f>
        <v/>
      </c>
      <c r="J141" s="19">
        <f t="array" ref="J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" s="20">
        <f>LEN(非皮卡压缩表[[#This Row],[LONG-TYPE]])</f>
        <v/>
      </c>
      <c r="L141" s="21">
        <f t="array" ref="L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" s="22">
        <f>LEN(非皮卡压缩表[[#This Row],[TYPE]])</f>
        <v/>
      </c>
      <c r="N141" s="22">
        <f t="array" ref="N141">_xlfn.XLOOKUP(非皮卡压缩表[[#This Row],[MODEL]],MODEL缩写表[长MODEL],MODEL缩写表[短MODEL],非皮卡压缩表[[#This Row],[MODEL]])</f>
        <v/>
      </c>
      <c r="O141" s="22">
        <f>LEN(非皮卡压缩表[[#This Row],[SHORT-MODEL]])</f>
        <v/>
      </c>
      <c r="P141" s="11">
        <f t="array" ref="P141">TRIM(_xlfn.XLOOKUP(非皮卡压缩表[[#This Row],[BACKSIZE]],ALL尺码表[内部尺码],ALL尺码表[通用尺码]))</f>
        <v/>
      </c>
    </row>
    <row r="142">
      <c r="A142" s="17" t="inlineStr">
        <is>
          <t>ALL</t>
        </is>
      </c>
      <c r="B142" s="18" t="inlineStr">
        <is>
          <t>Buick Century</t>
        </is>
      </c>
      <c r="C142" s="18" t="inlineStr">
        <is>
          <t>Buick</t>
        </is>
      </c>
      <c r="D142" s="18" t="inlineStr">
        <is>
          <t>Century</t>
        </is>
      </c>
      <c r="E142" s="18" t="inlineStr">
        <is>
          <t>1958-1977</t>
        </is>
      </c>
      <c r="F142" s="18" t="inlineStr"/>
      <c r="G142" s="18" t="inlineStr">
        <is>
          <t>Wagon</t>
        </is>
      </c>
      <c r="H142" s="18" t="inlineStr">
        <is>
          <t>无可用尺码</t>
        </is>
      </c>
      <c r="I142" s="19">
        <f t="array" ref="I142">TRIM(_xlfn.XLOOKUP(非皮卡压缩表[[#This Row],[BACKSIZE]],ALL尺码表[内部尺码],ALL尺码表[分类],""))</f>
        <v/>
      </c>
      <c r="J142" s="19">
        <f t="array" ref="J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" s="20">
        <f>LEN(非皮卡压缩表[[#This Row],[LONG-TYPE]])</f>
        <v/>
      </c>
      <c r="L142" s="21">
        <f t="array" ref="L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" s="22">
        <f>LEN(非皮卡压缩表[[#This Row],[TYPE]])</f>
        <v/>
      </c>
      <c r="N142" s="22">
        <f t="array" ref="N142">_xlfn.XLOOKUP(非皮卡压缩表[[#This Row],[MODEL]],MODEL缩写表[长MODEL],MODEL缩写表[短MODEL],非皮卡压缩表[[#This Row],[MODEL]])</f>
        <v/>
      </c>
      <c r="O142" s="22">
        <f>LEN(非皮卡压缩表[[#This Row],[SHORT-MODEL]])</f>
        <v/>
      </c>
      <c r="P142" s="11">
        <f t="array" ref="P142">TRIM(_xlfn.XLOOKUP(非皮卡压缩表[[#This Row],[BACKSIZE]],ALL尺码表[内部尺码],ALL尺码表[通用尺码]))</f>
        <v/>
      </c>
    </row>
    <row r="143">
      <c r="A143" s="17" t="inlineStr">
        <is>
          <t>ALL</t>
        </is>
      </c>
      <c r="B143" s="18" t="inlineStr">
        <is>
          <t>Buick Century</t>
        </is>
      </c>
      <c r="C143" s="18" t="inlineStr">
        <is>
          <t>Buick</t>
        </is>
      </c>
      <c r="D143" s="18" t="inlineStr">
        <is>
          <t>Century</t>
        </is>
      </c>
      <c r="E143" s="18" t="inlineStr">
        <is>
          <t>1978-1996</t>
        </is>
      </c>
      <c r="F143" s="18" t="inlineStr"/>
      <c r="G143" s="18" t="inlineStr">
        <is>
          <t>Wagon</t>
        </is>
      </c>
      <c r="H143" s="18" t="inlineStr">
        <is>
          <t>2XL+</t>
        </is>
      </c>
      <c r="I143" s="19">
        <f t="array" ref="I143">TRIM(_xlfn.XLOOKUP(非皮卡压缩表[[#This Row],[BACKSIZE]],ALL尺码表[内部尺码],ALL尺码表[分类],""))</f>
        <v/>
      </c>
      <c r="J143" s="19">
        <f t="array" ref="J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" s="20">
        <f>LEN(非皮卡压缩表[[#This Row],[LONG-TYPE]])</f>
        <v/>
      </c>
      <c r="L143" s="21">
        <f t="array" ref="L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" s="22">
        <f>LEN(非皮卡压缩表[[#This Row],[TYPE]])</f>
        <v/>
      </c>
      <c r="N143" s="22">
        <f t="array" ref="N143">_xlfn.XLOOKUP(非皮卡压缩表[[#This Row],[MODEL]],MODEL缩写表[长MODEL],MODEL缩写表[短MODEL],非皮卡压缩表[[#This Row],[MODEL]])</f>
        <v/>
      </c>
      <c r="O143" s="22">
        <f>LEN(非皮卡压缩表[[#This Row],[SHORT-MODEL]])</f>
        <v/>
      </c>
      <c r="P143" s="11">
        <f t="array" ref="P143">TRIM(_xlfn.XLOOKUP(非皮卡压缩表[[#This Row],[BACKSIZE]],ALL尺码表[内部尺码],ALL尺码表[通用尺码]))</f>
        <v/>
      </c>
    </row>
    <row r="144">
      <c r="A144" s="17" t="inlineStr">
        <is>
          <t>ALL</t>
        </is>
      </c>
      <c r="B144" s="18" t="inlineStr">
        <is>
          <t>Buick Century</t>
        </is>
      </c>
      <c r="C144" s="18" t="inlineStr">
        <is>
          <t>Buick</t>
        </is>
      </c>
      <c r="D144" s="18" t="inlineStr">
        <is>
          <t>Century</t>
        </is>
      </c>
      <c r="E144" s="18" t="inlineStr">
        <is>
          <t>1998-2005</t>
        </is>
      </c>
      <c r="F144" s="18" t="inlineStr"/>
      <c r="G144" s="18" t="inlineStr">
        <is>
          <t>Sedan</t>
        </is>
      </c>
      <c r="H144" s="18" t="inlineStr">
        <is>
          <t>3XXL</t>
        </is>
      </c>
      <c r="I144" s="19">
        <f t="array" ref="I144">TRIM(_xlfn.XLOOKUP(非皮卡压缩表[[#This Row],[BACKSIZE]],ALL尺码表[内部尺码],ALL尺码表[分类],""))</f>
        <v/>
      </c>
      <c r="J144" s="19">
        <f t="array" ref="J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" s="20">
        <f>LEN(非皮卡压缩表[[#This Row],[LONG-TYPE]])</f>
        <v/>
      </c>
      <c r="L144" s="21">
        <f t="array" ref="L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" s="22">
        <f>LEN(非皮卡压缩表[[#This Row],[TYPE]])</f>
        <v/>
      </c>
      <c r="N144" s="22">
        <f t="array" ref="N144">_xlfn.XLOOKUP(非皮卡压缩表[[#This Row],[MODEL]],MODEL缩写表[长MODEL],MODEL缩写表[短MODEL],非皮卡压缩表[[#This Row],[MODEL]])</f>
        <v/>
      </c>
      <c r="O144" s="22">
        <f>LEN(非皮卡压缩表[[#This Row],[SHORT-MODEL]])</f>
        <v/>
      </c>
      <c r="P144" s="11">
        <f t="array" ref="P144">TRIM(_xlfn.XLOOKUP(非皮卡压缩表[[#This Row],[BACKSIZE]],ALL尺码表[内部尺码],ALL尺码表[通用尺码]))</f>
        <v/>
      </c>
    </row>
    <row r="145">
      <c r="A145" s="17" t="inlineStr">
        <is>
          <t>ALL</t>
        </is>
      </c>
      <c r="B145" s="18" t="inlineStr">
        <is>
          <t>Buick Enclave</t>
        </is>
      </c>
      <c r="C145" s="18" t="inlineStr">
        <is>
          <t>Buick</t>
        </is>
      </c>
      <c r="D145" s="18" t="inlineStr">
        <is>
          <t>Enclave</t>
        </is>
      </c>
      <c r="E145" s="18" t="inlineStr">
        <is>
          <t>2008-2024</t>
        </is>
      </c>
      <c r="F145" s="18" t="inlineStr"/>
      <c r="G145" s="18" t="inlineStr">
        <is>
          <t>SUV</t>
        </is>
      </c>
      <c r="H145" s="18" t="inlineStr">
        <is>
          <t>YXXL</t>
        </is>
      </c>
      <c r="I145" s="19">
        <f t="array" ref="I145">TRIM(_xlfn.XLOOKUP(非皮卡压缩表[[#This Row],[BACKSIZE]],ALL尺码表[内部尺码],ALL尺码表[分类],""))</f>
        <v/>
      </c>
      <c r="J145" s="19">
        <f t="array" ref="J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" s="20">
        <f>LEN(非皮卡压缩表[[#This Row],[LONG-TYPE]])</f>
        <v/>
      </c>
      <c r="L145" s="21">
        <f t="array" ref="L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" s="22">
        <f>LEN(非皮卡压缩表[[#This Row],[TYPE]])</f>
        <v/>
      </c>
      <c r="N145" s="22">
        <f t="array" ref="N145">_xlfn.XLOOKUP(非皮卡压缩表[[#This Row],[MODEL]],MODEL缩写表[长MODEL],MODEL缩写表[短MODEL],非皮卡压缩表[[#This Row],[MODEL]])</f>
        <v/>
      </c>
      <c r="O145" s="22">
        <f>LEN(非皮卡压缩表[[#This Row],[SHORT-MODEL]])</f>
        <v/>
      </c>
      <c r="P145" s="11">
        <f t="array" ref="P145">TRIM(_xlfn.XLOOKUP(非皮卡压缩表[[#This Row],[BACKSIZE]],ALL尺码表[内部尺码],ALL尺码表[通用尺码]))</f>
        <v/>
      </c>
    </row>
    <row r="146">
      <c r="A146" s="17" t="inlineStr">
        <is>
          <t>ALL</t>
        </is>
      </c>
      <c r="B146" s="18" t="inlineStr">
        <is>
          <t>Buick Enclave</t>
        </is>
      </c>
      <c r="C146" s="18" t="inlineStr">
        <is>
          <t>Buick</t>
        </is>
      </c>
      <c r="D146" s="18" t="inlineStr">
        <is>
          <t>Enclave</t>
        </is>
      </c>
      <c r="E146" s="18" t="inlineStr">
        <is>
          <t>2025-2026</t>
        </is>
      </c>
      <c r="F146" s="18" t="inlineStr"/>
      <c r="G146" s="18" t="inlineStr">
        <is>
          <t>SUV</t>
        </is>
      </c>
      <c r="H146" s="18" t="inlineStr">
        <is>
          <t>YXXL-545</t>
        </is>
      </c>
      <c r="I146" s="19">
        <f t="array" ref="I146">TRIM(_xlfn.XLOOKUP(非皮卡压缩表[[#This Row],[BACKSIZE]],ALL尺码表[内部尺码],ALL尺码表[分类],""))</f>
        <v/>
      </c>
      <c r="J146" s="19">
        <f t="array" ref="J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" s="20">
        <f>LEN(非皮卡压缩表[[#This Row],[LONG-TYPE]])</f>
        <v/>
      </c>
      <c r="L146" s="21">
        <f t="array" ref="L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" s="22">
        <f>LEN(非皮卡压缩表[[#This Row],[TYPE]])</f>
        <v/>
      </c>
      <c r="N146" s="22">
        <f t="array" ref="N146">_xlfn.XLOOKUP(非皮卡压缩表[[#This Row],[MODEL]],MODEL缩写表[长MODEL],MODEL缩写表[短MODEL],非皮卡压缩表[[#This Row],[MODEL]])</f>
        <v/>
      </c>
      <c r="O146" s="22">
        <f>LEN(非皮卡压缩表[[#This Row],[SHORT-MODEL]])</f>
        <v/>
      </c>
      <c r="P146" s="11">
        <f t="array" ref="P146">TRIM(_xlfn.XLOOKUP(非皮卡压缩表[[#This Row],[BACKSIZE]],ALL尺码表[内部尺码],ALL尺码表[通用尺码]))</f>
        <v/>
      </c>
    </row>
    <row r="147">
      <c r="A147" s="17" t="inlineStr">
        <is>
          <t>ALL</t>
        </is>
      </c>
      <c r="B147" s="18" t="inlineStr">
        <is>
          <t>Buick Encore</t>
        </is>
      </c>
      <c r="C147" s="18" t="inlineStr">
        <is>
          <t>Buick</t>
        </is>
      </c>
      <c r="D147" s="18" t="inlineStr">
        <is>
          <t>Encore</t>
        </is>
      </c>
      <c r="E147" s="18" t="inlineStr">
        <is>
          <t>2013-2022</t>
        </is>
      </c>
      <c r="F147" s="18" t="inlineStr"/>
      <c r="G147" s="18" t="inlineStr">
        <is>
          <t>SUV</t>
        </is>
      </c>
      <c r="H147" s="18" t="inlineStr">
        <is>
          <t>YM+</t>
        </is>
      </c>
      <c r="I147" s="19">
        <f t="array" ref="I147">TRIM(_xlfn.XLOOKUP(非皮卡压缩表[[#This Row],[BACKSIZE]],ALL尺码表[内部尺码],ALL尺码表[分类],""))</f>
        <v/>
      </c>
      <c r="J147" s="19">
        <f t="array" ref="J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" s="20">
        <f>LEN(非皮卡压缩表[[#This Row],[LONG-TYPE]])</f>
        <v/>
      </c>
      <c r="L147" s="21">
        <f t="array" ref="L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" s="22">
        <f>LEN(非皮卡压缩表[[#This Row],[TYPE]])</f>
        <v/>
      </c>
      <c r="N147" s="22">
        <f t="array" ref="N147">_xlfn.XLOOKUP(非皮卡压缩表[[#This Row],[MODEL]],MODEL缩写表[长MODEL],MODEL缩写表[短MODEL],非皮卡压缩表[[#This Row],[MODEL]])</f>
        <v/>
      </c>
      <c r="O147" s="22">
        <f>LEN(非皮卡压缩表[[#This Row],[SHORT-MODEL]])</f>
        <v/>
      </c>
      <c r="P147" s="11">
        <f t="array" ref="P147">TRIM(_xlfn.XLOOKUP(非皮卡压缩表[[#This Row],[BACKSIZE]],ALL尺码表[内部尺码],ALL尺码表[通用尺码]))</f>
        <v/>
      </c>
    </row>
    <row r="148">
      <c r="A148" s="17" t="inlineStr">
        <is>
          <t>ALL</t>
        </is>
      </c>
      <c r="B148" s="18" t="inlineStr">
        <is>
          <t>Buick Encore GX</t>
        </is>
      </c>
      <c r="C148" s="18" t="inlineStr">
        <is>
          <t>Buick</t>
        </is>
      </c>
      <c r="D148" s="18" t="inlineStr">
        <is>
          <t>Encore GX</t>
        </is>
      </c>
      <c r="E148" s="18" t="inlineStr">
        <is>
          <t>2020-2026</t>
        </is>
      </c>
      <c r="F148" s="18" t="inlineStr"/>
      <c r="G148" s="18" t="inlineStr">
        <is>
          <t>SUV</t>
        </is>
      </c>
      <c r="H148" s="18" t="inlineStr">
        <is>
          <t>YM+</t>
        </is>
      </c>
      <c r="I148" s="19">
        <f t="array" ref="I148">TRIM(_xlfn.XLOOKUP(非皮卡压缩表[[#This Row],[BACKSIZE]],ALL尺码表[内部尺码],ALL尺码表[分类],""))</f>
        <v/>
      </c>
      <c r="J148" s="19">
        <f t="array" ref="J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" s="20">
        <f>LEN(非皮卡压缩表[[#This Row],[LONG-TYPE]])</f>
        <v/>
      </c>
      <c r="L148" s="21">
        <f t="array" ref="L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" s="22">
        <f>LEN(非皮卡压缩表[[#This Row],[TYPE]])</f>
        <v/>
      </c>
      <c r="N148" s="22">
        <f t="array" ref="N148">_xlfn.XLOOKUP(非皮卡压缩表[[#This Row],[MODEL]],MODEL缩写表[长MODEL],MODEL缩写表[短MODEL],非皮卡压缩表[[#This Row],[MODEL]])</f>
        <v/>
      </c>
      <c r="O148" s="22">
        <f>LEN(非皮卡压缩表[[#This Row],[SHORT-MODEL]])</f>
        <v/>
      </c>
      <c r="P148" s="11">
        <f t="array" ref="P148">TRIM(_xlfn.XLOOKUP(非皮卡压缩表[[#This Row],[BACKSIZE]],ALL尺码表[内部尺码],ALL尺码表[通用尺码]))</f>
        <v/>
      </c>
    </row>
    <row r="149">
      <c r="A149" s="17" t="inlineStr">
        <is>
          <t>ALL</t>
        </is>
      </c>
      <c r="B149" s="18" t="inlineStr">
        <is>
          <t>Buick Envision</t>
        </is>
      </c>
      <c r="C149" s="18" t="inlineStr">
        <is>
          <t>Buick</t>
        </is>
      </c>
      <c r="D149" s="18" t="inlineStr">
        <is>
          <t>Envision</t>
        </is>
      </c>
      <c r="E149" s="18" t="inlineStr">
        <is>
          <t>2016-2026</t>
        </is>
      </c>
      <c r="F149" s="18" t="inlineStr"/>
      <c r="G149" s="18" t="inlineStr">
        <is>
          <t>SUV</t>
        </is>
      </c>
      <c r="H149" s="18" t="inlineStr">
        <is>
          <t>YL</t>
        </is>
      </c>
      <c r="I149" s="19">
        <f t="array" ref="I149">TRIM(_xlfn.XLOOKUP(非皮卡压缩表[[#This Row],[BACKSIZE]],ALL尺码表[内部尺码],ALL尺码表[分类],""))</f>
        <v/>
      </c>
      <c r="J149" s="19">
        <f t="array" ref="J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" s="20">
        <f>LEN(非皮卡压缩表[[#This Row],[LONG-TYPE]])</f>
        <v/>
      </c>
      <c r="L149" s="21">
        <f t="array" ref="L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" s="22">
        <f>LEN(非皮卡压缩表[[#This Row],[TYPE]])</f>
        <v/>
      </c>
      <c r="N149" s="22">
        <f t="array" ref="N149">_xlfn.XLOOKUP(非皮卡压缩表[[#This Row],[MODEL]],MODEL缩写表[长MODEL],MODEL缩写表[短MODEL],非皮卡压缩表[[#This Row],[MODEL]])</f>
        <v/>
      </c>
      <c r="O149" s="22">
        <f>LEN(非皮卡压缩表[[#This Row],[SHORT-MODEL]])</f>
        <v/>
      </c>
      <c r="P149" s="11">
        <f t="array" ref="P149">TRIM(_xlfn.XLOOKUP(非皮卡压缩表[[#This Row],[BACKSIZE]],ALL尺码表[内部尺码],ALL尺码表[通用尺码]))</f>
        <v/>
      </c>
    </row>
    <row r="150">
      <c r="A150" s="17" t="inlineStr">
        <is>
          <t>ALL</t>
        </is>
      </c>
      <c r="B150" s="18" t="inlineStr">
        <is>
          <t>Buick Envista</t>
        </is>
      </c>
      <c r="C150" s="18" t="inlineStr">
        <is>
          <t>Buick</t>
        </is>
      </c>
      <c r="D150" s="18" t="inlineStr">
        <is>
          <t>Envista</t>
        </is>
      </c>
      <c r="E150" s="18" t="inlineStr">
        <is>
          <t>2024-2026</t>
        </is>
      </c>
      <c r="F150" s="18" t="inlineStr"/>
      <c r="G150" s="18" t="inlineStr">
        <is>
          <t>Coupe SUV</t>
        </is>
      </c>
      <c r="H150" s="18" t="inlineStr">
        <is>
          <t>YL</t>
        </is>
      </c>
      <c r="I150" s="19">
        <f t="array" ref="I150">TRIM(_xlfn.XLOOKUP(非皮卡压缩表[[#This Row],[BACKSIZE]],ALL尺码表[内部尺码],ALL尺码表[分类],""))</f>
        <v/>
      </c>
      <c r="J150" s="19">
        <f t="array" ref="J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" s="20">
        <f>LEN(非皮卡压缩表[[#This Row],[LONG-TYPE]])</f>
        <v/>
      </c>
      <c r="L150" s="21">
        <f t="array" ref="L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" s="22">
        <f>LEN(非皮卡压缩表[[#This Row],[TYPE]])</f>
        <v/>
      </c>
      <c r="N150" s="22">
        <f t="array" ref="N150">_xlfn.XLOOKUP(非皮卡压缩表[[#This Row],[MODEL]],MODEL缩写表[长MODEL],MODEL缩写表[短MODEL],非皮卡压缩表[[#This Row],[MODEL]])</f>
        <v/>
      </c>
      <c r="O150" s="22">
        <f>LEN(非皮卡压缩表[[#This Row],[SHORT-MODEL]])</f>
        <v/>
      </c>
      <c r="P150" s="11">
        <f t="array" ref="P150">TRIM(_xlfn.XLOOKUP(非皮卡压缩表[[#This Row],[BACKSIZE]],ALL尺码表[内部尺码],ALL尺码表[通用尺码]))</f>
        <v/>
      </c>
    </row>
    <row r="151">
      <c r="A151" s="17" t="inlineStr">
        <is>
          <t>ALL</t>
        </is>
      </c>
      <c r="B151" s="18" t="inlineStr">
        <is>
          <t>Buick LaCrosse</t>
        </is>
      </c>
      <c r="C151" s="18" t="inlineStr">
        <is>
          <t>Buick</t>
        </is>
      </c>
      <c r="D151" s="18" t="inlineStr">
        <is>
          <t>LaCrosse</t>
        </is>
      </c>
      <c r="E151" s="18" t="inlineStr">
        <is>
          <t>2005-2019</t>
        </is>
      </c>
      <c r="F151" s="18" t="inlineStr"/>
      <c r="G151" s="18" t="inlineStr">
        <is>
          <t>Sedan</t>
        </is>
      </c>
      <c r="H151" s="18" t="inlineStr">
        <is>
          <t>3XXL</t>
        </is>
      </c>
      <c r="I151" s="19">
        <f t="array" ref="I151">TRIM(_xlfn.XLOOKUP(非皮卡压缩表[[#This Row],[BACKSIZE]],ALL尺码表[内部尺码],ALL尺码表[分类],""))</f>
        <v/>
      </c>
      <c r="J151" s="19">
        <f t="array" ref="J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" s="20">
        <f>LEN(非皮卡压缩表[[#This Row],[LONG-TYPE]])</f>
        <v/>
      </c>
      <c r="L151" s="21">
        <f t="array" ref="L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" s="22">
        <f>LEN(非皮卡压缩表[[#This Row],[TYPE]])</f>
        <v/>
      </c>
      <c r="N151" s="22">
        <f t="array" ref="N151">_xlfn.XLOOKUP(非皮卡压缩表[[#This Row],[MODEL]],MODEL缩写表[长MODEL],MODEL缩写表[短MODEL],非皮卡压缩表[[#This Row],[MODEL]])</f>
        <v/>
      </c>
      <c r="O151" s="22">
        <f>LEN(非皮卡压缩表[[#This Row],[SHORT-MODEL]])</f>
        <v/>
      </c>
      <c r="P151" s="11">
        <f t="array" ref="P151">TRIM(_xlfn.XLOOKUP(非皮卡压缩表[[#This Row],[BACKSIZE]],ALL尺码表[内部尺码],ALL尺码表[通用尺码]))</f>
        <v/>
      </c>
    </row>
    <row r="152">
      <c r="A152" s="17" t="inlineStr">
        <is>
          <t>ALL</t>
        </is>
      </c>
      <c r="B152" s="18" t="inlineStr">
        <is>
          <t>Buick LeSabre</t>
        </is>
      </c>
      <c r="C152" s="18" t="inlineStr">
        <is>
          <t>Buick</t>
        </is>
      </c>
      <c r="D152" s="18" t="inlineStr">
        <is>
          <t>LeSabre</t>
        </is>
      </c>
      <c r="E152" s="18" t="inlineStr">
        <is>
          <t>1959-1963</t>
        </is>
      </c>
      <c r="F152" s="18" t="inlineStr"/>
      <c r="G152" s="18" t="inlineStr">
        <is>
          <t>Sedan</t>
        </is>
      </c>
      <c r="H152" s="18" t="inlineStr">
        <is>
          <t>3XXXL</t>
        </is>
      </c>
      <c r="I152" s="19">
        <f t="array" ref="I152">TRIM(_xlfn.XLOOKUP(非皮卡压缩表[[#This Row],[BACKSIZE]],ALL尺码表[内部尺码],ALL尺码表[分类],""))</f>
        <v/>
      </c>
      <c r="J152" s="19">
        <f t="array" ref="J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" s="20">
        <f>LEN(非皮卡压缩表[[#This Row],[LONG-TYPE]])</f>
        <v/>
      </c>
      <c r="L152" s="21">
        <f t="array" ref="L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" s="22">
        <f>LEN(非皮卡压缩表[[#This Row],[TYPE]])</f>
        <v/>
      </c>
      <c r="N152" s="22">
        <f t="array" ref="N152">_xlfn.XLOOKUP(非皮卡压缩表[[#This Row],[MODEL]],MODEL缩写表[长MODEL],MODEL缩写表[短MODEL],非皮卡压缩表[[#This Row],[MODEL]])</f>
        <v/>
      </c>
      <c r="O152" s="22">
        <f>LEN(非皮卡压缩表[[#This Row],[SHORT-MODEL]])</f>
        <v/>
      </c>
      <c r="P152" s="11">
        <f t="array" ref="P152">TRIM(_xlfn.XLOOKUP(非皮卡压缩表[[#This Row],[BACKSIZE]],ALL尺码表[内部尺码],ALL尺码表[通用尺码]))</f>
        <v/>
      </c>
    </row>
    <row r="153">
      <c r="A153" s="17" t="inlineStr">
        <is>
          <t>ALL</t>
        </is>
      </c>
      <c r="B153" s="18" t="inlineStr">
        <is>
          <t>Buick LeSabre</t>
        </is>
      </c>
      <c r="C153" s="18" t="inlineStr">
        <is>
          <t>Buick</t>
        </is>
      </c>
      <c r="D153" s="18" t="inlineStr">
        <is>
          <t>LeSabre</t>
        </is>
      </c>
      <c r="E153" s="18" t="inlineStr">
        <is>
          <t>1959-1963</t>
        </is>
      </c>
      <c r="F153" s="18" t="inlineStr"/>
      <c r="G153" s="18" t="inlineStr">
        <is>
          <t>Convertible/Coupe</t>
        </is>
      </c>
      <c r="H153" s="18" t="inlineStr">
        <is>
          <t>3XXXL-0</t>
        </is>
      </c>
      <c r="I153" s="19">
        <f t="array" ref="I153">TRIM(_xlfn.XLOOKUP(非皮卡压缩表[[#This Row],[BACKSIZE]],ALL尺码表[内部尺码],ALL尺码表[分类],""))</f>
        <v/>
      </c>
      <c r="J153" s="19">
        <f t="array" ref="J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" s="20">
        <f>LEN(非皮卡压缩表[[#This Row],[LONG-TYPE]])</f>
        <v/>
      </c>
      <c r="L153" s="21">
        <f t="array" ref="L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" s="22">
        <f>LEN(非皮卡压缩表[[#This Row],[TYPE]])</f>
        <v/>
      </c>
      <c r="N153" s="22">
        <f t="array" ref="N153">_xlfn.XLOOKUP(非皮卡压缩表[[#This Row],[MODEL]],MODEL缩写表[长MODEL],MODEL缩写表[短MODEL],非皮卡压缩表[[#This Row],[MODEL]])</f>
        <v/>
      </c>
      <c r="O153" s="22">
        <f>LEN(非皮卡压缩表[[#This Row],[SHORT-MODEL]])</f>
        <v/>
      </c>
      <c r="P153" s="11">
        <f t="array" ref="P153">TRIM(_xlfn.XLOOKUP(非皮卡压缩表[[#This Row],[BACKSIZE]],ALL尺码表[内部尺码],ALL尺码表[通用尺码]))</f>
        <v/>
      </c>
    </row>
    <row r="154">
      <c r="A154" s="17" t="inlineStr">
        <is>
          <t>ALL</t>
        </is>
      </c>
      <c r="B154" s="18" t="inlineStr">
        <is>
          <t>Buick LeSabre</t>
        </is>
      </c>
      <c r="C154" s="18" t="inlineStr">
        <is>
          <t>Buick</t>
        </is>
      </c>
      <c r="D154" s="18" t="inlineStr">
        <is>
          <t>LeSabre</t>
        </is>
      </c>
      <c r="E154" s="18" t="inlineStr">
        <is>
          <t>1959-1985</t>
        </is>
      </c>
      <c r="F154" s="18" t="inlineStr"/>
      <c r="G154" s="18" t="inlineStr">
        <is>
          <t>Wagon</t>
        </is>
      </c>
      <c r="H154" s="18" t="inlineStr">
        <is>
          <t>无可用尺码</t>
        </is>
      </c>
      <c r="I154" s="19">
        <f t="array" ref="I154">TRIM(_xlfn.XLOOKUP(非皮卡压缩表[[#This Row],[BACKSIZE]],ALL尺码表[内部尺码],ALL尺码表[分类],""))</f>
        <v/>
      </c>
      <c r="J154" s="19">
        <f t="array" ref="J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" s="20">
        <f>LEN(非皮卡压缩表[[#This Row],[LONG-TYPE]])</f>
        <v/>
      </c>
      <c r="L154" s="21">
        <f t="array" ref="L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" s="22">
        <f>LEN(非皮卡压缩表[[#This Row],[TYPE]])</f>
        <v/>
      </c>
      <c r="N154" s="22">
        <f t="array" ref="N154">_xlfn.XLOOKUP(非皮卡压缩表[[#This Row],[MODEL]],MODEL缩写表[长MODEL],MODEL缩写表[短MODEL],非皮卡压缩表[[#This Row],[MODEL]])</f>
        <v/>
      </c>
      <c r="O154" s="22">
        <f>LEN(非皮卡压缩表[[#This Row],[SHORT-MODEL]])</f>
        <v/>
      </c>
      <c r="P154" s="11">
        <f t="array" ref="P154">TRIM(_xlfn.XLOOKUP(非皮卡压缩表[[#This Row],[BACKSIZE]],ALL尺码表[内部尺码],ALL尺码表[通用尺码]))</f>
        <v/>
      </c>
    </row>
    <row r="155">
      <c r="A155" s="17" t="inlineStr">
        <is>
          <t>ALL</t>
        </is>
      </c>
      <c r="B155" s="18" t="inlineStr">
        <is>
          <t>Buick LeSabre</t>
        </is>
      </c>
      <c r="C155" s="18" t="inlineStr">
        <is>
          <t>Buick</t>
        </is>
      </c>
      <c r="D155" s="18" t="inlineStr">
        <is>
          <t>LeSabre</t>
        </is>
      </c>
      <c r="E155" s="18" t="inlineStr">
        <is>
          <t>1964</t>
        </is>
      </c>
      <c r="F155" s="18" t="inlineStr"/>
      <c r="G155" s="18" t="inlineStr">
        <is>
          <t>Convertible/Coupe</t>
        </is>
      </c>
      <c r="H155" s="18" t="inlineStr">
        <is>
          <t>3XXXXL-0</t>
        </is>
      </c>
      <c r="I155" s="19">
        <f t="array" ref="I155">TRIM(_xlfn.XLOOKUP(非皮卡压缩表[[#This Row],[BACKSIZE]],ALL尺码表[内部尺码],ALL尺码表[分类],""))</f>
        <v/>
      </c>
      <c r="J155" s="19">
        <f t="array" ref="J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" s="20">
        <f>LEN(非皮卡压缩表[[#This Row],[LONG-TYPE]])</f>
        <v/>
      </c>
      <c r="L155" s="21">
        <f t="array" ref="L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" s="22">
        <f>LEN(非皮卡压缩表[[#This Row],[TYPE]])</f>
        <v/>
      </c>
      <c r="N155" s="22">
        <f t="array" ref="N155">_xlfn.XLOOKUP(非皮卡压缩表[[#This Row],[MODEL]],MODEL缩写表[长MODEL],MODEL缩写表[短MODEL],非皮卡压缩表[[#This Row],[MODEL]])</f>
        <v/>
      </c>
      <c r="O155" s="22">
        <f>LEN(非皮卡压缩表[[#This Row],[SHORT-MODEL]])</f>
        <v/>
      </c>
      <c r="P155" s="11">
        <f t="array" ref="P155">TRIM(_xlfn.XLOOKUP(非皮卡压缩表[[#This Row],[BACKSIZE]],ALL尺码表[内部尺码],ALL尺码表[通用尺码]))</f>
        <v/>
      </c>
    </row>
    <row r="156">
      <c r="A156" s="17" t="inlineStr">
        <is>
          <t>ALL</t>
        </is>
      </c>
      <c r="B156" s="18" t="inlineStr">
        <is>
          <t>Buick LeSabre</t>
        </is>
      </c>
      <c r="C156" s="18" t="inlineStr">
        <is>
          <t>Buick</t>
        </is>
      </c>
      <c r="D156" s="18" t="inlineStr">
        <is>
          <t>LeSabre</t>
        </is>
      </c>
      <c r="E156" s="18" t="inlineStr">
        <is>
          <t>1964</t>
        </is>
      </c>
      <c r="F156" s="18" t="inlineStr"/>
      <c r="G156" s="18" t="inlineStr">
        <is>
          <t>Sedan</t>
        </is>
      </c>
      <c r="H156" s="18" t="inlineStr">
        <is>
          <t>无可用尺码</t>
        </is>
      </c>
      <c r="I156" s="19">
        <f t="array" ref="I156">TRIM(_xlfn.XLOOKUP(非皮卡压缩表[[#This Row],[BACKSIZE]],ALL尺码表[内部尺码],ALL尺码表[分类],""))</f>
        <v/>
      </c>
      <c r="J156" s="19">
        <f t="array" ref="J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" s="20">
        <f>LEN(非皮卡压缩表[[#This Row],[LONG-TYPE]])</f>
        <v/>
      </c>
      <c r="L156" s="21">
        <f t="array" ref="L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" s="22">
        <f>LEN(非皮卡压缩表[[#This Row],[TYPE]])</f>
        <v/>
      </c>
      <c r="N156" s="22">
        <f t="array" ref="N156">_xlfn.XLOOKUP(非皮卡压缩表[[#This Row],[MODEL]],MODEL缩写表[长MODEL],MODEL缩写表[短MODEL],非皮卡压缩表[[#This Row],[MODEL]])</f>
        <v/>
      </c>
      <c r="O156" s="22">
        <f>LEN(非皮卡压缩表[[#This Row],[SHORT-MODEL]])</f>
        <v/>
      </c>
      <c r="P156" s="11">
        <f t="array" ref="P156">TRIM(_xlfn.XLOOKUP(非皮卡压缩表[[#This Row],[BACKSIZE]],ALL尺码表[内部尺码],ALL尺码表[通用尺码]))</f>
        <v/>
      </c>
    </row>
    <row r="157">
      <c r="A157" s="17" t="inlineStr">
        <is>
          <t>ALL</t>
        </is>
      </c>
      <c r="B157" s="18" t="inlineStr">
        <is>
          <t>Buick LeSabre</t>
        </is>
      </c>
      <c r="C157" s="18" t="inlineStr">
        <is>
          <t>Buick</t>
        </is>
      </c>
      <c r="D157" s="18" t="inlineStr">
        <is>
          <t>LeSabre</t>
        </is>
      </c>
      <c r="E157" s="18" t="inlineStr">
        <is>
          <t>1965-1968</t>
        </is>
      </c>
      <c r="F157" s="18" t="inlineStr"/>
      <c r="G157" s="18" t="inlineStr">
        <is>
          <t>Sedan</t>
        </is>
      </c>
      <c r="H157" s="18" t="inlineStr">
        <is>
          <t>3XXXL</t>
        </is>
      </c>
      <c r="I157" s="19">
        <f t="array" ref="I157">TRIM(_xlfn.XLOOKUP(非皮卡压缩表[[#This Row],[BACKSIZE]],ALL尺码表[内部尺码],ALL尺码表[分类],""))</f>
        <v/>
      </c>
      <c r="J157" s="19">
        <f t="array" ref="J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" s="20">
        <f>LEN(非皮卡压缩表[[#This Row],[LONG-TYPE]])</f>
        <v/>
      </c>
      <c r="L157" s="21">
        <f t="array" ref="L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" s="22">
        <f>LEN(非皮卡压缩表[[#This Row],[TYPE]])</f>
        <v/>
      </c>
      <c r="N157" s="22">
        <f t="array" ref="N157">_xlfn.XLOOKUP(非皮卡压缩表[[#This Row],[MODEL]],MODEL缩写表[长MODEL],MODEL缩写表[短MODEL],非皮卡压缩表[[#This Row],[MODEL]])</f>
        <v/>
      </c>
      <c r="O157" s="22">
        <f>LEN(非皮卡压缩表[[#This Row],[SHORT-MODEL]])</f>
        <v/>
      </c>
      <c r="P157" s="11">
        <f t="array" ref="P157">TRIM(_xlfn.XLOOKUP(非皮卡压缩表[[#This Row],[BACKSIZE]],ALL尺码表[内部尺码],ALL尺码表[通用尺码]))</f>
        <v/>
      </c>
    </row>
    <row r="158">
      <c r="A158" s="17" t="inlineStr">
        <is>
          <t>ALL</t>
        </is>
      </c>
      <c r="B158" s="18" t="inlineStr">
        <is>
          <t>Buick LeSabre</t>
        </is>
      </c>
      <c r="C158" s="18" t="inlineStr">
        <is>
          <t>Buick</t>
        </is>
      </c>
      <c r="D158" s="18" t="inlineStr">
        <is>
          <t>LeSabre</t>
        </is>
      </c>
      <c r="E158" s="18" t="inlineStr">
        <is>
          <t>1965-1968</t>
        </is>
      </c>
      <c r="F158" s="18" t="inlineStr"/>
      <c r="G158" s="18" t="inlineStr">
        <is>
          <t>Convertible/Coupe</t>
        </is>
      </c>
      <c r="H158" s="18" t="inlineStr">
        <is>
          <t>3XXXL-0</t>
        </is>
      </c>
      <c r="I158" s="19">
        <f t="array" ref="I158">TRIM(_xlfn.XLOOKUP(非皮卡压缩表[[#This Row],[BACKSIZE]],ALL尺码表[内部尺码],ALL尺码表[分类],""))</f>
        <v/>
      </c>
      <c r="J158" s="19">
        <f t="array" ref="J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" s="20">
        <f>LEN(非皮卡压缩表[[#This Row],[LONG-TYPE]])</f>
        <v/>
      </c>
      <c r="L158" s="21">
        <f t="array" ref="L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" s="22">
        <f>LEN(非皮卡压缩表[[#This Row],[TYPE]])</f>
        <v/>
      </c>
      <c r="N158" s="22">
        <f t="array" ref="N158">_xlfn.XLOOKUP(非皮卡压缩表[[#This Row],[MODEL]],MODEL缩写表[长MODEL],MODEL缩写表[短MODEL],非皮卡压缩表[[#This Row],[MODEL]])</f>
        <v/>
      </c>
      <c r="O158" s="22">
        <f>LEN(非皮卡压缩表[[#This Row],[SHORT-MODEL]])</f>
        <v/>
      </c>
      <c r="P158" s="11">
        <f t="array" ref="P158">TRIM(_xlfn.XLOOKUP(非皮卡压缩表[[#This Row],[BACKSIZE]],ALL尺码表[内部尺码],ALL尺码表[通用尺码]))</f>
        <v/>
      </c>
    </row>
    <row r="159">
      <c r="A159" s="17" t="inlineStr">
        <is>
          <t>ALL</t>
        </is>
      </c>
      <c r="B159" s="18" t="inlineStr">
        <is>
          <t>Buick LeSabre</t>
        </is>
      </c>
      <c r="C159" s="18" t="inlineStr">
        <is>
          <t>Buick</t>
        </is>
      </c>
      <c r="D159" s="18" t="inlineStr">
        <is>
          <t>LeSabre</t>
        </is>
      </c>
      <c r="E159" s="18" t="inlineStr">
        <is>
          <t>1969-1979</t>
        </is>
      </c>
      <c r="F159" s="18" t="inlineStr"/>
      <c r="G159" s="18" t="inlineStr">
        <is>
          <t>Convertible/Coupe</t>
        </is>
      </c>
      <c r="H159" s="18" t="inlineStr">
        <is>
          <t>3XXXXL-0</t>
        </is>
      </c>
      <c r="I159" s="19">
        <f t="array" ref="I159">TRIM(_xlfn.XLOOKUP(非皮卡压缩表[[#This Row],[BACKSIZE]],ALL尺码表[内部尺码],ALL尺码表[分类],""))</f>
        <v/>
      </c>
      <c r="J159" s="19">
        <f t="array" ref="J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" s="20">
        <f>LEN(非皮卡压缩表[[#This Row],[LONG-TYPE]])</f>
        <v/>
      </c>
      <c r="L159" s="21">
        <f t="array" ref="L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" s="22">
        <f>LEN(非皮卡压缩表[[#This Row],[TYPE]])</f>
        <v/>
      </c>
      <c r="N159" s="22">
        <f t="array" ref="N159">_xlfn.XLOOKUP(非皮卡压缩表[[#This Row],[MODEL]],MODEL缩写表[长MODEL],MODEL缩写表[短MODEL],非皮卡压缩表[[#This Row],[MODEL]])</f>
        <v/>
      </c>
      <c r="O159" s="22">
        <f>LEN(非皮卡压缩表[[#This Row],[SHORT-MODEL]])</f>
        <v/>
      </c>
      <c r="P159" s="11">
        <f t="array" ref="P159">TRIM(_xlfn.XLOOKUP(非皮卡压缩表[[#This Row],[BACKSIZE]],ALL尺码表[内部尺码],ALL尺码表[通用尺码]))</f>
        <v/>
      </c>
    </row>
    <row r="160">
      <c r="A160" s="17" t="inlineStr">
        <is>
          <t>ALL</t>
        </is>
      </c>
      <c r="B160" s="18" t="inlineStr">
        <is>
          <t>Buick LeSabre</t>
        </is>
      </c>
      <c r="C160" s="18" t="inlineStr">
        <is>
          <t>Buick</t>
        </is>
      </c>
      <c r="D160" s="18" t="inlineStr">
        <is>
          <t>LeSabre</t>
        </is>
      </c>
      <c r="E160" s="18" t="inlineStr">
        <is>
          <t>1969-1979</t>
        </is>
      </c>
      <c r="F160" s="18" t="inlineStr"/>
      <c r="G160" s="18" t="inlineStr">
        <is>
          <t>Sedan</t>
        </is>
      </c>
      <c r="H160" s="18" t="inlineStr">
        <is>
          <t>无可用尺码</t>
        </is>
      </c>
      <c r="I160" s="19">
        <f t="array" ref="I160">TRIM(_xlfn.XLOOKUP(非皮卡压缩表[[#This Row],[BACKSIZE]],ALL尺码表[内部尺码],ALL尺码表[分类],""))</f>
        <v/>
      </c>
      <c r="J160" s="19">
        <f t="array" ref="J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" s="20">
        <f>LEN(非皮卡压缩表[[#This Row],[LONG-TYPE]])</f>
        <v/>
      </c>
      <c r="L160" s="21">
        <f t="array" ref="L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" s="22">
        <f>LEN(非皮卡压缩表[[#This Row],[TYPE]])</f>
        <v/>
      </c>
      <c r="N160" s="22">
        <f t="array" ref="N160">_xlfn.XLOOKUP(非皮卡压缩表[[#This Row],[MODEL]],MODEL缩写表[长MODEL],MODEL缩写表[短MODEL],非皮卡压缩表[[#This Row],[MODEL]])</f>
        <v/>
      </c>
      <c r="O160" s="22">
        <f>LEN(非皮卡压缩表[[#This Row],[SHORT-MODEL]])</f>
        <v/>
      </c>
      <c r="P160" s="11">
        <f t="array" ref="P160">TRIM(_xlfn.XLOOKUP(非皮卡压缩表[[#This Row],[BACKSIZE]],ALL尺码表[内部尺码],ALL尺码表[通用尺码]))</f>
        <v/>
      </c>
    </row>
    <row r="161">
      <c r="A161" s="17" t="inlineStr">
        <is>
          <t>ALL</t>
        </is>
      </c>
      <c r="B161" s="18" t="inlineStr">
        <is>
          <t>Buick LeSabre</t>
        </is>
      </c>
      <c r="C161" s="18" t="inlineStr">
        <is>
          <t>Buick</t>
        </is>
      </c>
      <c r="D161" s="18" t="inlineStr">
        <is>
          <t>LeSabre</t>
        </is>
      </c>
      <c r="E161" s="18" t="inlineStr">
        <is>
          <t>1980</t>
        </is>
      </c>
      <c r="F161" s="18" t="inlineStr"/>
      <c r="G161" s="18" t="inlineStr">
        <is>
          <t>Sedan</t>
        </is>
      </c>
      <c r="H161" s="18" t="inlineStr">
        <is>
          <t>3XXXL</t>
        </is>
      </c>
      <c r="I161" s="19">
        <f t="array" ref="I161">TRIM(_xlfn.XLOOKUP(非皮卡压缩表[[#This Row],[BACKSIZE]],ALL尺码表[内部尺码],ALL尺码表[分类],""))</f>
        <v/>
      </c>
      <c r="J161" s="19">
        <f t="array" ref="J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" s="20">
        <f>LEN(非皮卡压缩表[[#This Row],[LONG-TYPE]])</f>
        <v/>
      </c>
      <c r="L161" s="21">
        <f t="array" ref="L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" s="22">
        <f>LEN(非皮卡压缩表[[#This Row],[TYPE]])</f>
        <v/>
      </c>
      <c r="N161" s="22">
        <f t="array" ref="N161">_xlfn.XLOOKUP(非皮卡压缩表[[#This Row],[MODEL]],MODEL缩写表[长MODEL],MODEL缩写表[短MODEL],非皮卡压缩表[[#This Row],[MODEL]])</f>
        <v/>
      </c>
      <c r="O161" s="22">
        <f>LEN(非皮卡压缩表[[#This Row],[SHORT-MODEL]])</f>
        <v/>
      </c>
      <c r="P161" s="11">
        <f t="array" ref="P161">TRIM(_xlfn.XLOOKUP(非皮卡压缩表[[#This Row],[BACKSIZE]],ALL尺码表[内部尺码],ALL尺码表[通用尺码]))</f>
        <v/>
      </c>
    </row>
    <row r="162">
      <c r="A162" s="17" t="inlineStr">
        <is>
          <t>ALL</t>
        </is>
      </c>
      <c r="B162" s="18" t="inlineStr">
        <is>
          <t>Buick LeSabre</t>
        </is>
      </c>
      <c r="C162" s="18" t="inlineStr">
        <is>
          <t>Buick</t>
        </is>
      </c>
      <c r="D162" s="18" t="inlineStr">
        <is>
          <t>LeSabre</t>
        </is>
      </c>
      <c r="E162" s="18" t="inlineStr">
        <is>
          <t>1980</t>
        </is>
      </c>
      <c r="F162" s="18" t="inlineStr"/>
      <c r="G162" s="18" t="inlineStr">
        <is>
          <t>Coupe</t>
        </is>
      </c>
      <c r="H162" s="18" t="inlineStr">
        <is>
          <t>3XXXL-0</t>
        </is>
      </c>
      <c r="I162" s="19">
        <f t="array" ref="I162">TRIM(_xlfn.XLOOKUP(非皮卡压缩表[[#This Row],[BACKSIZE]],ALL尺码表[内部尺码],ALL尺码表[分类],""))</f>
        <v/>
      </c>
      <c r="J162" s="19">
        <f t="array" ref="J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" s="20">
        <f>LEN(非皮卡压缩表[[#This Row],[LONG-TYPE]])</f>
        <v/>
      </c>
      <c r="L162" s="21">
        <f t="array" ref="L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" s="22">
        <f>LEN(非皮卡压缩表[[#This Row],[TYPE]])</f>
        <v/>
      </c>
      <c r="N162" s="22">
        <f t="array" ref="N162">_xlfn.XLOOKUP(非皮卡压缩表[[#This Row],[MODEL]],MODEL缩写表[长MODEL],MODEL缩写表[短MODEL],非皮卡压缩表[[#This Row],[MODEL]])</f>
        <v/>
      </c>
      <c r="O162" s="22">
        <f>LEN(非皮卡压缩表[[#This Row],[SHORT-MODEL]])</f>
        <v/>
      </c>
      <c r="P162" s="11">
        <f t="array" ref="P162">TRIM(_xlfn.XLOOKUP(非皮卡压缩表[[#This Row],[BACKSIZE]],ALL尺码表[内部尺码],ALL尺码表[通用尺码]))</f>
        <v/>
      </c>
    </row>
    <row r="163">
      <c r="A163" s="17" t="inlineStr">
        <is>
          <t>ALL</t>
        </is>
      </c>
      <c r="B163" s="18" t="inlineStr">
        <is>
          <t>Buick LeSabre</t>
        </is>
      </c>
      <c r="C163" s="18" t="inlineStr">
        <is>
          <t>Buick</t>
        </is>
      </c>
      <c r="D163" s="18" t="inlineStr">
        <is>
          <t>LeSabre</t>
        </is>
      </c>
      <c r="E163" s="18" t="inlineStr">
        <is>
          <t>1981-1985</t>
        </is>
      </c>
      <c r="F163" s="18" t="inlineStr"/>
      <c r="G163" s="18" t="inlineStr">
        <is>
          <t>Coupe</t>
        </is>
      </c>
      <c r="H163" s="18" t="inlineStr">
        <is>
          <t>3XXXXL-0</t>
        </is>
      </c>
      <c r="I163" s="19">
        <f t="array" ref="I163">TRIM(_xlfn.XLOOKUP(非皮卡压缩表[[#This Row],[BACKSIZE]],ALL尺码表[内部尺码],ALL尺码表[分类],""))</f>
        <v/>
      </c>
      <c r="J163" s="19">
        <f t="array" ref="J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" s="20">
        <f>LEN(非皮卡压缩表[[#This Row],[LONG-TYPE]])</f>
        <v/>
      </c>
      <c r="L163" s="21">
        <f t="array" ref="L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" s="22">
        <f>LEN(非皮卡压缩表[[#This Row],[TYPE]])</f>
        <v/>
      </c>
      <c r="N163" s="22">
        <f t="array" ref="N163">_xlfn.XLOOKUP(非皮卡压缩表[[#This Row],[MODEL]],MODEL缩写表[长MODEL],MODEL缩写表[短MODEL],非皮卡压缩表[[#This Row],[MODEL]])</f>
        <v/>
      </c>
      <c r="O163" s="22">
        <f>LEN(非皮卡压缩表[[#This Row],[SHORT-MODEL]])</f>
        <v/>
      </c>
      <c r="P163" s="11">
        <f t="array" ref="P163">TRIM(_xlfn.XLOOKUP(非皮卡压缩表[[#This Row],[BACKSIZE]],ALL尺码表[内部尺码],ALL尺码表[通用尺码]))</f>
        <v/>
      </c>
    </row>
    <row r="164">
      <c r="A164" s="17" t="inlineStr">
        <is>
          <t>ALL</t>
        </is>
      </c>
      <c r="B164" s="18" t="inlineStr">
        <is>
          <t>Buick LeSabre</t>
        </is>
      </c>
      <c r="C164" s="18" t="inlineStr">
        <is>
          <t>Buick</t>
        </is>
      </c>
      <c r="D164" s="18" t="inlineStr">
        <is>
          <t>LeSabre</t>
        </is>
      </c>
      <c r="E164" s="18" t="inlineStr">
        <is>
          <t>1981</t>
        </is>
      </c>
      <c r="F164" s="18" t="inlineStr"/>
      <c r="G164" s="18" t="inlineStr">
        <is>
          <t>Sedan</t>
        </is>
      </c>
      <c r="H164" s="18" t="inlineStr">
        <is>
          <t>无可用尺码</t>
        </is>
      </c>
      <c r="I164" s="19">
        <f t="array" ref="I164">TRIM(_xlfn.XLOOKUP(非皮卡压缩表[[#This Row],[BACKSIZE]],ALL尺码表[内部尺码],ALL尺码表[分类],""))</f>
        <v/>
      </c>
      <c r="J164" s="19">
        <f t="array" ref="J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" s="20">
        <f>LEN(非皮卡压缩表[[#This Row],[LONG-TYPE]])</f>
        <v/>
      </c>
      <c r="L164" s="21">
        <f t="array" ref="L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" s="22">
        <f>LEN(非皮卡压缩表[[#This Row],[TYPE]])</f>
        <v/>
      </c>
      <c r="N164" s="22">
        <f t="array" ref="N164">_xlfn.XLOOKUP(非皮卡压缩表[[#This Row],[MODEL]],MODEL缩写表[长MODEL],MODEL缩写表[短MODEL],非皮卡压缩表[[#This Row],[MODEL]])</f>
        <v/>
      </c>
      <c r="O164" s="22">
        <f>LEN(非皮卡压缩表[[#This Row],[SHORT-MODEL]])</f>
        <v/>
      </c>
      <c r="P164" s="11">
        <f t="array" ref="P164">TRIM(_xlfn.XLOOKUP(非皮卡压缩表[[#This Row],[BACKSIZE]],ALL尺码表[内部尺码],ALL尺码表[通用尺码]))</f>
        <v/>
      </c>
    </row>
    <row r="165">
      <c r="A165" s="17" t="inlineStr">
        <is>
          <t>ALL</t>
        </is>
      </c>
      <c r="B165" s="18" t="inlineStr">
        <is>
          <t>Buick LeSabre</t>
        </is>
      </c>
      <c r="C165" s="18" t="inlineStr">
        <is>
          <t>Buick</t>
        </is>
      </c>
      <c r="D165" s="18" t="inlineStr">
        <is>
          <t>LeSabre</t>
        </is>
      </c>
      <c r="E165" s="18" t="inlineStr">
        <is>
          <t>1982-1985</t>
        </is>
      </c>
      <c r="F165" s="18" t="inlineStr"/>
      <c r="G165" s="18" t="inlineStr">
        <is>
          <t>Sedan</t>
        </is>
      </c>
      <c r="H165" s="18" t="inlineStr">
        <is>
          <t>3XXXL</t>
        </is>
      </c>
      <c r="I165" s="19">
        <f t="array" ref="I165">TRIM(_xlfn.XLOOKUP(非皮卡压缩表[[#This Row],[BACKSIZE]],ALL尺码表[内部尺码],ALL尺码表[分类],""))</f>
        <v/>
      </c>
      <c r="J165" s="19">
        <f t="array" ref="J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" s="20">
        <f>LEN(非皮卡压缩表[[#This Row],[LONG-TYPE]])</f>
        <v/>
      </c>
      <c r="L165" s="21">
        <f t="array" ref="L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" s="22">
        <f>LEN(非皮卡压缩表[[#This Row],[TYPE]])</f>
        <v/>
      </c>
      <c r="N165" s="22">
        <f t="array" ref="N165">_xlfn.XLOOKUP(非皮卡压缩表[[#This Row],[MODEL]],MODEL缩写表[长MODEL],MODEL缩写表[短MODEL],非皮卡压缩表[[#This Row],[MODEL]])</f>
        <v/>
      </c>
      <c r="O165" s="22">
        <f>LEN(非皮卡压缩表[[#This Row],[SHORT-MODEL]])</f>
        <v/>
      </c>
      <c r="P165" s="11">
        <f t="array" ref="P165">TRIM(_xlfn.XLOOKUP(非皮卡压缩表[[#This Row],[BACKSIZE]],ALL尺码表[内部尺码],ALL尺码表[通用尺码]))</f>
        <v/>
      </c>
    </row>
    <row r="166">
      <c r="A166" s="17" t="inlineStr">
        <is>
          <t>ALL</t>
        </is>
      </c>
      <c r="B166" s="18" t="inlineStr">
        <is>
          <t>Buick LeSabre</t>
        </is>
      </c>
      <c r="C166" s="18" t="inlineStr">
        <is>
          <t>Buick</t>
        </is>
      </c>
      <c r="D166" s="18" t="inlineStr">
        <is>
          <t>LeSabre</t>
        </is>
      </c>
      <c r="E166" s="18" t="inlineStr">
        <is>
          <t>1986-1991</t>
        </is>
      </c>
      <c r="F166" s="18" t="inlineStr"/>
      <c r="G166" s="18" t="inlineStr">
        <is>
          <t>Coupe</t>
        </is>
      </c>
      <c r="H166" s="18" t="inlineStr">
        <is>
          <t>3XL+0</t>
        </is>
      </c>
      <c r="I166" s="19">
        <f t="array" ref="I166">TRIM(_xlfn.XLOOKUP(非皮卡压缩表[[#This Row],[BACKSIZE]],ALL尺码表[内部尺码],ALL尺码表[分类],""))</f>
        <v/>
      </c>
      <c r="J166" s="19">
        <f t="array" ref="J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" s="20">
        <f>LEN(非皮卡压缩表[[#This Row],[LONG-TYPE]])</f>
        <v/>
      </c>
      <c r="L166" s="21">
        <f t="array" ref="L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" s="22">
        <f>LEN(非皮卡压缩表[[#This Row],[TYPE]])</f>
        <v/>
      </c>
      <c r="N166" s="22">
        <f t="array" ref="N166">_xlfn.XLOOKUP(非皮卡压缩表[[#This Row],[MODEL]],MODEL缩写表[长MODEL],MODEL缩写表[短MODEL],非皮卡压缩表[[#This Row],[MODEL]])</f>
        <v/>
      </c>
      <c r="O166" s="22">
        <f>LEN(非皮卡压缩表[[#This Row],[SHORT-MODEL]])</f>
        <v/>
      </c>
      <c r="P166" s="11">
        <f t="array" ref="P166">TRIM(_xlfn.XLOOKUP(非皮卡压缩表[[#This Row],[BACKSIZE]],ALL尺码表[内部尺码],ALL尺码表[通用尺码]))</f>
        <v/>
      </c>
    </row>
    <row r="167">
      <c r="A167" s="17" t="inlineStr">
        <is>
          <t>ALL</t>
        </is>
      </c>
      <c r="B167" s="18" t="inlineStr">
        <is>
          <t>Buick LeSabre</t>
        </is>
      </c>
      <c r="C167" s="18" t="inlineStr">
        <is>
          <t>Buick</t>
        </is>
      </c>
      <c r="D167" s="18" t="inlineStr">
        <is>
          <t>LeSabre</t>
        </is>
      </c>
      <c r="E167" s="18" t="inlineStr">
        <is>
          <t>1986-2005</t>
        </is>
      </c>
      <c r="F167" s="18" t="inlineStr"/>
      <c r="G167" s="18" t="inlineStr">
        <is>
          <t>Sedan</t>
        </is>
      </c>
      <c r="H167" s="18" t="inlineStr">
        <is>
          <t>3XXL</t>
        </is>
      </c>
      <c r="I167" s="19">
        <f t="array" ref="I167">TRIM(_xlfn.XLOOKUP(非皮卡压缩表[[#This Row],[BACKSIZE]],ALL尺码表[内部尺码],ALL尺码表[分类],""))</f>
        <v/>
      </c>
      <c r="J167" s="19">
        <f t="array" ref="J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" s="20">
        <f>LEN(非皮卡压缩表[[#This Row],[LONG-TYPE]])</f>
        <v/>
      </c>
      <c r="L167" s="21">
        <f t="array" ref="L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" s="22">
        <f>LEN(非皮卡压缩表[[#This Row],[TYPE]])</f>
        <v/>
      </c>
      <c r="N167" s="22">
        <f t="array" ref="N167">_xlfn.XLOOKUP(非皮卡压缩表[[#This Row],[MODEL]],MODEL缩写表[长MODEL],MODEL缩写表[短MODEL],非皮卡压缩表[[#This Row],[MODEL]])</f>
        <v/>
      </c>
      <c r="O167" s="22">
        <f>LEN(非皮卡压缩表[[#This Row],[SHORT-MODEL]])</f>
        <v/>
      </c>
      <c r="P167" s="11">
        <f t="array" ref="P167">TRIM(_xlfn.XLOOKUP(非皮卡压缩表[[#This Row],[BACKSIZE]],ALL尺码表[内部尺码],ALL尺码表[通用尺码]))</f>
        <v/>
      </c>
    </row>
    <row r="168">
      <c r="A168" s="17" t="inlineStr">
        <is>
          <t>ALL</t>
        </is>
      </c>
      <c r="B168" s="18" t="inlineStr">
        <is>
          <t>Buick Lucerne</t>
        </is>
      </c>
      <c r="C168" s="18" t="inlineStr">
        <is>
          <t>Buick</t>
        </is>
      </c>
      <c r="D168" s="18" t="inlineStr">
        <is>
          <t>Lucerne</t>
        </is>
      </c>
      <c r="E168" s="18" t="inlineStr">
        <is>
          <t>2006-2011</t>
        </is>
      </c>
      <c r="F168" s="18" t="inlineStr"/>
      <c r="G168" s="18" t="inlineStr">
        <is>
          <t>Sedan</t>
        </is>
      </c>
      <c r="H168" s="18" t="inlineStr">
        <is>
          <t>3XXL</t>
        </is>
      </c>
      <c r="I168" s="19">
        <f t="array" ref="I168">TRIM(_xlfn.XLOOKUP(非皮卡压缩表[[#This Row],[BACKSIZE]],ALL尺码表[内部尺码],ALL尺码表[分类],""))</f>
        <v/>
      </c>
      <c r="J168" s="19">
        <f t="array" ref="J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" s="20">
        <f>LEN(非皮卡压缩表[[#This Row],[LONG-TYPE]])</f>
        <v/>
      </c>
      <c r="L168" s="21">
        <f t="array" ref="L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" s="22">
        <f>LEN(非皮卡压缩表[[#This Row],[TYPE]])</f>
        <v/>
      </c>
      <c r="N168" s="22">
        <f t="array" ref="N168">_xlfn.XLOOKUP(非皮卡压缩表[[#This Row],[MODEL]],MODEL缩写表[长MODEL],MODEL缩写表[短MODEL],非皮卡压缩表[[#This Row],[MODEL]])</f>
        <v/>
      </c>
      <c r="O168" s="22">
        <f>LEN(非皮卡压缩表[[#This Row],[SHORT-MODEL]])</f>
        <v/>
      </c>
      <c r="P168" s="11">
        <f t="array" ref="P168">TRIM(_xlfn.XLOOKUP(非皮卡压缩表[[#This Row],[BACKSIZE]],ALL尺码表[内部尺码],ALL尺码表[通用尺码]))</f>
        <v/>
      </c>
    </row>
    <row r="169">
      <c r="A169" s="17" t="inlineStr">
        <is>
          <t>ALL</t>
        </is>
      </c>
      <c r="B169" s="18" t="inlineStr">
        <is>
          <t>Buick Park Avenue</t>
        </is>
      </c>
      <c r="C169" s="18" t="inlineStr">
        <is>
          <t>Buick</t>
        </is>
      </c>
      <c r="D169" s="18" t="inlineStr">
        <is>
          <t>Park Avenue</t>
        </is>
      </c>
      <c r="E169" s="18" t="inlineStr">
        <is>
          <t>1991-2005</t>
        </is>
      </c>
      <c r="F169" s="18" t="inlineStr"/>
      <c r="G169" s="18" t="inlineStr">
        <is>
          <t>Sedan</t>
        </is>
      </c>
      <c r="H169" s="18" t="inlineStr">
        <is>
          <t>3XXL</t>
        </is>
      </c>
      <c r="I169" s="19">
        <f t="array" ref="I169">TRIM(_xlfn.XLOOKUP(非皮卡压缩表[[#This Row],[BACKSIZE]],ALL尺码表[内部尺码],ALL尺码表[分类],""))</f>
        <v/>
      </c>
      <c r="J169" s="19">
        <f t="array" ref="J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" s="20">
        <f>LEN(非皮卡压缩表[[#This Row],[LONG-TYPE]])</f>
        <v/>
      </c>
      <c r="L169" s="21">
        <f t="array" ref="L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" s="22">
        <f>LEN(非皮卡压缩表[[#This Row],[TYPE]])</f>
        <v/>
      </c>
      <c r="N169" s="22">
        <f t="array" ref="N169">_xlfn.XLOOKUP(非皮卡压缩表[[#This Row],[MODEL]],MODEL缩写表[长MODEL],MODEL缩写表[短MODEL],非皮卡压缩表[[#This Row],[MODEL]])</f>
        <v/>
      </c>
      <c r="O169" s="22">
        <f>LEN(非皮卡压缩表[[#This Row],[SHORT-MODEL]])</f>
        <v/>
      </c>
      <c r="P169" s="11">
        <f t="array" ref="P169">TRIM(_xlfn.XLOOKUP(非皮卡压缩表[[#This Row],[BACKSIZE]],ALL尺码表[内部尺码],ALL尺码表[通用尺码]))</f>
        <v/>
      </c>
    </row>
    <row r="170">
      <c r="A170" s="17" t="inlineStr">
        <is>
          <t>ALL</t>
        </is>
      </c>
      <c r="B170" s="18" t="inlineStr">
        <is>
          <t>Buick Rainier</t>
        </is>
      </c>
      <c r="C170" s="18" t="inlineStr">
        <is>
          <t>Buick</t>
        </is>
      </c>
      <c r="D170" s="18" t="inlineStr">
        <is>
          <t>Rainier</t>
        </is>
      </c>
      <c r="E170" s="18" t="inlineStr">
        <is>
          <t>2004-2007</t>
        </is>
      </c>
      <c r="F170" s="18" t="inlineStr"/>
      <c r="G170" s="18" t="inlineStr">
        <is>
          <t>SUV</t>
        </is>
      </c>
      <c r="H170" s="18" t="inlineStr">
        <is>
          <t>YXL</t>
        </is>
      </c>
      <c r="I170" s="19">
        <f t="array" ref="I170">TRIM(_xlfn.XLOOKUP(非皮卡压缩表[[#This Row],[BACKSIZE]],ALL尺码表[内部尺码],ALL尺码表[分类],""))</f>
        <v/>
      </c>
      <c r="J170" s="19">
        <f t="array" ref="J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" s="20">
        <f>LEN(非皮卡压缩表[[#This Row],[LONG-TYPE]])</f>
        <v/>
      </c>
      <c r="L170" s="21">
        <f t="array" ref="L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" s="22">
        <f>LEN(非皮卡压缩表[[#This Row],[TYPE]])</f>
        <v/>
      </c>
      <c r="N170" s="22">
        <f t="array" ref="N170">_xlfn.XLOOKUP(非皮卡压缩表[[#This Row],[MODEL]],MODEL缩写表[长MODEL],MODEL缩写表[短MODEL],非皮卡压缩表[[#This Row],[MODEL]])</f>
        <v/>
      </c>
      <c r="O170" s="22">
        <f>LEN(非皮卡压缩表[[#This Row],[SHORT-MODEL]])</f>
        <v/>
      </c>
      <c r="P170" s="11">
        <f t="array" ref="P170">TRIM(_xlfn.XLOOKUP(非皮卡压缩表[[#This Row],[BACKSIZE]],ALL尺码表[内部尺码],ALL尺码表[通用尺码]))</f>
        <v/>
      </c>
    </row>
    <row r="171">
      <c r="A171" s="17" t="inlineStr">
        <is>
          <t>ALL</t>
        </is>
      </c>
      <c r="B171" s="18" t="inlineStr">
        <is>
          <t>Buick Reatta</t>
        </is>
      </c>
      <c r="C171" s="18" t="inlineStr">
        <is>
          <t>Buick</t>
        </is>
      </c>
      <c r="D171" s="18" t="inlineStr">
        <is>
          <t>Reatta</t>
        </is>
      </c>
      <c r="E171" s="18" t="inlineStr">
        <is>
          <t>1988-1991</t>
        </is>
      </c>
      <c r="F171" s="18" t="inlineStr"/>
      <c r="G171" s="18" t="inlineStr">
        <is>
          <t>Convertible/Coupe</t>
        </is>
      </c>
      <c r="H171" s="18" t="inlineStr">
        <is>
          <t>3L-0</t>
        </is>
      </c>
      <c r="I171" s="19">
        <f t="array" ref="I171">TRIM(_xlfn.XLOOKUP(非皮卡压缩表[[#This Row],[BACKSIZE]],ALL尺码表[内部尺码],ALL尺码表[分类],""))</f>
        <v/>
      </c>
      <c r="J171" s="19">
        <f t="array" ref="J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" s="20">
        <f>LEN(非皮卡压缩表[[#This Row],[LONG-TYPE]])</f>
        <v/>
      </c>
      <c r="L171" s="21">
        <f t="array" ref="L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" s="22">
        <f>LEN(非皮卡压缩表[[#This Row],[TYPE]])</f>
        <v/>
      </c>
      <c r="N171" s="22">
        <f t="array" ref="N171">_xlfn.XLOOKUP(非皮卡压缩表[[#This Row],[MODEL]],MODEL缩写表[长MODEL],MODEL缩写表[短MODEL],非皮卡压缩表[[#This Row],[MODEL]])</f>
        <v/>
      </c>
      <c r="O171" s="22">
        <f>LEN(非皮卡压缩表[[#This Row],[SHORT-MODEL]])</f>
        <v/>
      </c>
      <c r="P171" s="11">
        <f t="array" ref="P171">TRIM(_xlfn.XLOOKUP(非皮卡压缩表[[#This Row],[BACKSIZE]],ALL尺码表[内部尺码],ALL尺码表[通用尺码]))</f>
        <v/>
      </c>
    </row>
    <row r="172">
      <c r="A172" s="17" t="inlineStr">
        <is>
          <t>ALL</t>
        </is>
      </c>
      <c r="B172" s="18" t="inlineStr">
        <is>
          <t>Buick Regal</t>
        </is>
      </c>
      <c r="C172" s="18" t="inlineStr">
        <is>
          <t>Buick</t>
        </is>
      </c>
      <c r="D172" s="18" t="inlineStr">
        <is>
          <t>Regal</t>
        </is>
      </c>
      <c r="E172" s="18" t="inlineStr">
        <is>
          <t>1973-1977</t>
        </is>
      </c>
      <c r="F172" s="18" t="inlineStr"/>
      <c r="G172" s="18" t="inlineStr">
        <is>
          <t>Coupe</t>
        </is>
      </c>
      <c r="H172" s="18" t="inlineStr">
        <is>
          <t>3XXXL-0</t>
        </is>
      </c>
      <c r="I172" s="19">
        <f t="array" ref="I172">TRIM(_xlfn.XLOOKUP(非皮卡压缩表[[#This Row],[BACKSIZE]],ALL尺码表[内部尺码],ALL尺码表[分类],""))</f>
        <v/>
      </c>
      <c r="J172" s="19">
        <f t="array" ref="J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" s="20">
        <f>LEN(非皮卡压缩表[[#This Row],[LONG-TYPE]])</f>
        <v/>
      </c>
      <c r="L172" s="21">
        <f t="array" ref="L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" s="22">
        <f>LEN(非皮卡压缩表[[#This Row],[TYPE]])</f>
        <v/>
      </c>
      <c r="N172" s="22">
        <f t="array" ref="N172">_xlfn.XLOOKUP(非皮卡压缩表[[#This Row],[MODEL]],MODEL缩写表[长MODEL],MODEL缩写表[短MODEL],非皮卡压缩表[[#This Row],[MODEL]])</f>
        <v/>
      </c>
      <c r="O172" s="22">
        <f>LEN(非皮卡压缩表[[#This Row],[SHORT-MODEL]])</f>
        <v/>
      </c>
      <c r="P172" s="11">
        <f t="array" ref="P172">TRIM(_xlfn.XLOOKUP(非皮卡压缩表[[#This Row],[BACKSIZE]],ALL尺码表[内部尺码],ALL尺码表[通用尺码]))</f>
        <v/>
      </c>
    </row>
    <row r="173">
      <c r="A173" s="17" t="inlineStr">
        <is>
          <t>ALL</t>
        </is>
      </c>
      <c r="B173" s="18" t="inlineStr">
        <is>
          <t>Buick Regal</t>
        </is>
      </c>
      <c r="C173" s="18" t="inlineStr">
        <is>
          <t>Buick</t>
        </is>
      </c>
      <c r="D173" s="18" t="inlineStr">
        <is>
          <t>Regal</t>
        </is>
      </c>
      <c r="E173" s="18" t="inlineStr">
        <is>
          <t>1978-1996</t>
        </is>
      </c>
      <c r="F173" s="18" t="inlineStr"/>
      <c r="G173" s="18" t="inlineStr">
        <is>
          <t>Coupe</t>
        </is>
      </c>
      <c r="H173" s="18" t="inlineStr">
        <is>
          <t>3XL+0</t>
        </is>
      </c>
      <c r="I173" s="19">
        <f t="array" ref="I173">TRIM(_xlfn.XLOOKUP(非皮卡压缩表[[#This Row],[BACKSIZE]],ALL尺码表[内部尺码],ALL尺码表[分类],""))</f>
        <v/>
      </c>
      <c r="J173" s="19">
        <f t="array" ref="J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" s="20">
        <f>LEN(非皮卡压缩表[[#This Row],[LONG-TYPE]])</f>
        <v/>
      </c>
      <c r="L173" s="21">
        <f t="array" ref="L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" s="22">
        <f>LEN(非皮卡压缩表[[#This Row],[TYPE]])</f>
        <v/>
      </c>
      <c r="N173" s="22">
        <f t="array" ref="N173">_xlfn.XLOOKUP(非皮卡压缩表[[#This Row],[MODEL]],MODEL缩写表[长MODEL],MODEL缩写表[短MODEL],非皮卡压缩表[[#This Row],[MODEL]])</f>
        <v/>
      </c>
      <c r="O173" s="22">
        <f>LEN(非皮卡压缩表[[#This Row],[SHORT-MODEL]])</f>
        <v/>
      </c>
      <c r="P173" s="11">
        <f t="array" ref="P173">TRIM(_xlfn.XLOOKUP(非皮卡压缩表[[#This Row],[BACKSIZE]],ALL尺码表[内部尺码],ALL尺码表[通用尺码]))</f>
        <v/>
      </c>
    </row>
    <row r="174">
      <c r="A174" s="17" t="inlineStr">
        <is>
          <t>ALL</t>
        </is>
      </c>
      <c r="B174" s="18" t="inlineStr">
        <is>
          <t>Buick Regal</t>
        </is>
      </c>
      <c r="C174" s="18" t="inlineStr">
        <is>
          <t>Buick</t>
        </is>
      </c>
      <c r="D174" s="18" t="inlineStr">
        <is>
          <t>Regal</t>
        </is>
      </c>
      <c r="E174" s="18" t="inlineStr">
        <is>
          <t>1991-2004</t>
        </is>
      </c>
      <c r="F174" s="18" t="inlineStr"/>
      <c r="G174" s="18" t="inlineStr">
        <is>
          <t>Sedan</t>
        </is>
      </c>
      <c r="H174" s="18" t="inlineStr">
        <is>
          <t>3XXL</t>
        </is>
      </c>
      <c r="I174" s="19">
        <f t="array" ref="I174">TRIM(_xlfn.XLOOKUP(非皮卡压缩表[[#This Row],[BACKSIZE]],ALL尺码表[内部尺码],ALL尺码表[分类],""))</f>
        <v/>
      </c>
      <c r="J174" s="19">
        <f t="array" ref="J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" s="20">
        <f>LEN(非皮卡压缩表[[#This Row],[LONG-TYPE]])</f>
        <v/>
      </c>
      <c r="L174" s="21">
        <f t="array" ref="L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" s="22">
        <f>LEN(非皮卡压缩表[[#This Row],[TYPE]])</f>
        <v/>
      </c>
      <c r="N174" s="22">
        <f t="array" ref="N174">_xlfn.XLOOKUP(非皮卡压缩表[[#This Row],[MODEL]],MODEL缩写表[长MODEL],MODEL缩写表[短MODEL],非皮卡压缩表[[#This Row],[MODEL]])</f>
        <v/>
      </c>
      <c r="O174" s="22">
        <f>LEN(非皮卡压缩表[[#This Row],[SHORT-MODEL]])</f>
        <v/>
      </c>
      <c r="P174" s="11">
        <f t="array" ref="P174">TRIM(_xlfn.XLOOKUP(非皮卡压缩表[[#This Row],[BACKSIZE]],ALL尺码表[内部尺码],ALL尺码表[通用尺码]))</f>
        <v/>
      </c>
    </row>
    <row r="175">
      <c r="A175" s="17" t="inlineStr">
        <is>
          <t>ALL</t>
        </is>
      </c>
      <c r="B175" s="18" t="inlineStr">
        <is>
          <t>Buick Regal</t>
        </is>
      </c>
      <c r="C175" s="18" t="inlineStr">
        <is>
          <t>Buick</t>
        </is>
      </c>
      <c r="D175" s="18" t="inlineStr">
        <is>
          <t>Regal</t>
        </is>
      </c>
      <c r="E175" s="18" t="inlineStr">
        <is>
          <t>2011-2017</t>
        </is>
      </c>
      <c r="F175" s="18" t="inlineStr"/>
      <c r="G175" s="18" t="inlineStr">
        <is>
          <t>Sedan</t>
        </is>
      </c>
      <c r="H175" s="18" t="inlineStr">
        <is>
          <t>3XL</t>
        </is>
      </c>
      <c r="I175" s="19">
        <f t="array" ref="I175">TRIM(_xlfn.XLOOKUP(非皮卡压缩表[[#This Row],[BACKSIZE]],ALL尺码表[内部尺码],ALL尺码表[分类],""))</f>
        <v/>
      </c>
      <c r="J175" s="19">
        <f t="array" ref="J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" s="20">
        <f>LEN(非皮卡压缩表[[#This Row],[LONG-TYPE]])</f>
        <v/>
      </c>
      <c r="L175" s="21">
        <f t="array" ref="L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" s="22">
        <f>LEN(非皮卡压缩表[[#This Row],[TYPE]])</f>
        <v/>
      </c>
      <c r="N175" s="22">
        <f t="array" ref="N175">_xlfn.XLOOKUP(非皮卡压缩表[[#This Row],[MODEL]],MODEL缩写表[长MODEL],MODEL缩写表[短MODEL],非皮卡压缩表[[#This Row],[MODEL]])</f>
        <v/>
      </c>
      <c r="O175" s="22">
        <f>LEN(非皮卡压缩表[[#This Row],[SHORT-MODEL]])</f>
        <v/>
      </c>
      <c r="P175" s="11">
        <f t="array" ref="P175">TRIM(_xlfn.XLOOKUP(非皮卡压缩表[[#This Row],[BACKSIZE]],ALL尺码表[内部尺码],ALL尺码表[通用尺码]))</f>
        <v/>
      </c>
    </row>
    <row r="176">
      <c r="A176" s="17" t="inlineStr">
        <is>
          <t>ALL</t>
        </is>
      </c>
      <c r="B176" s="18" t="inlineStr">
        <is>
          <t>Buick Regal</t>
        </is>
      </c>
      <c r="C176" s="18" t="inlineStr">
        <is>
          <t>Buick</t>
        </is>
      </c>
      <c r="D176" s="18" t="inlineStr">
        <is>
          <t>Regal</t>
        </is>
      </c>
      <c r="E176" s="18" t="inlineStr">
        <is>
          <t>2018-2020</t>
        </is>
      </c>
      <c r="F176" s="18" t="inlineStr"/>
      <c r="G176" s="18" t="inlineStr">
        <is>
          <t>Sportback/Wagon</t>
        </is>
      </c>
      <c r="H176" s="18" t="inlineStr">
        <is>
          <t>2XL+</t>
        </is>
      </c>
      <c r="I176" s="19">
        <f t="array" ref="I176">TRIM(_xlfn.XLOOKUP(非皮卡压缩表[[#This Row],[BACKSIZE]],ALL尺码表[内部尺码],ALL尺码表[分类],""))</f>
        <v/>
      </c>
      <c r="J176" s="19">
        <f t="array" ref="J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" s="20">
        <f>LEN(非皮卡压缩表[[#This Row],[LONG-TYPE]])</f>
        <v/>
      </c>
      <c r="L176" s="21">
        <f t="array" ref="L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" s="22">
        <f>LEN(非皮卡压缩表[[#This Row],[TYPE]])</f>
        <v/>
      </c>
      <c r="N176" s="22">
        <f t="array" ref="N176">_xlfn.XLOOKUP(非皮卡压缩表[[#This Row],[MODEL]],MODEL缩写表[长MODEL],MODEL缩写表[短MODEL],非皮卡压缩表[[#This Row],[MODEL]])</f>
        <v/>
      </c>
      <c r="O176" s="22">
        <f>LEN(非皮卡压缩表[[#This Row],[SHORT-MODEL]])</f>
        <v/>
      </c>
      <c r="P176" s="11">
        <f t="array" ref="P176">TRIM(_xlfn.XLOOKUP(非皮卡压缩表[[#This Row],[BACKSIZE]],ALL尺码表[内部尺码],ALL尺码表[通用尺码]))</f>
        <v/>
      </c>
    </row>
    <row r="177">
      <c r="A177" s="17" t="inlineStr">
        <is>
          <t>ALL</t>
        </is>
      </c>
      <c r="B177" s="18" t="inlineStr">
        <is>
          <t>Buick Rendezvous</t>
        </is>
      </c>
      <c r="C177" s="18" t="inlineStr">
        <is>
          <t>Buick</t>
        </is>
      </c>
      <c r="D177" s="18" t="inlineStr">
        <is>
          <t>Rendezvous</t>
        </is>
      </c>
      <c r="E177" s="18" t="inlineStr">
        <is>
          <t>2002-2007</t>
        </is>
      </c>
      <c r="F177" s="18" t="inlineStr"/>
      <c r="G177" s="18" t="inlineStr">
        <is>
          <t>CUV</t>
        </is>
      </c>
      <c r="H177" s="18" t="inlineStr">
        <is>
          <t>YL</t>
        </is>
      </c>
      <c r="I177" s="19">
        <f t="array" ref="I177">TRIM(_xlfn.XLOOKUP(非皮卡压缩表[[#This Row],[BACKSIZE]],ALL尺码表[内部尺码],ALL尺码表[分类],""))</f>
        <v/>
      </c>
      <c r="J177" s="19">
        <f t="array" ref="J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" s="20">
        <f>LEN(非皮卡压缩表[[#This Row],[LONG-TYPE]])</f>
        <v/>
      </c>
      <c r="L177" s="21">
        <f t="array" ref="L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" s="22">
        <f>LEN(非皮卡压缩表[[#This Row],[TYPE]])</f>
        <v/>
      </c>
      <c r="N177" s="22">
        <f t="array" ref="N177">_xlfn.XLOOKUP(非皮卡压缩表[[#This Row],[MODEL]],MODEL缩写表[长MODEL],MODEL缩写表[短MODEL],非皮卡压缩表[[#This Row],[MODEL]])</f>
        <v/>
      </c>
      <c r="O177" s="22">
        <f>LEN(非皮卡压缩表[[#This Row],[SHORT-MODEL]])</f>
        <v/>
      </c>
      <c r="P177" s="11">
        <f t="array" ref="P177">TRIM(_xlfn.XLOOKUP(非皮卡压缩表[[#This Row],[BACKSIZE]],ALL尺码表[内部尺码],ALL尺码表[通用尺码]))</f>
        <v/>
      </c>
    </row>
    <row r="178">
      <c r="A178" s="17" t="inlineStr">
        <is>
          <t>ALL</t>
        </is>
      </c>
      <c r="B178" s="18" t="inlineStr">
        <is>
          <t>Buick Riviera</t>
        </is>
      </c>
      <c r="C178" s="18" t="inlineStr">
        <is>
          <t>Buick</t>
        </is>
      </c>
      <c r="D178" s="18" t="inlineStr">
        <is>
          <t>Riviera</t>
        </is>
      </c>
      <c r="E178" s="18" t="inlineStr">
        <is>
          <t>1963-1965</t>
        </is>
      </c>
      <c r="F178" s="18" t="inlineStr"/>
      <c r="G178" s="18" t="inlineStr">
        <is>
          <t>Coupe</t>
        </is>
      </c>
      <c r="H178" s="18" t="inlineStr">
        <is>
          <t>3XXL-0</t>
        </is>
      </c>
      <c r="I178" s="19">
        <f t="array" ref="I178">TRIM(_xlfn.XLOOKUP(非皮卡压缩表[[#This Row],[BACKSIZE]],ALL尺码表[内部尺码],ALL尺码表[分类],""))</f>
        <v/>
      </c>
      <c r="J178" s="19">
        <f t="array" ref="J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" s="20">
        <f>LEN(非皮卡压缩表[[#This Row],[LONG-TYPE]])</f>
        <v/>
      </c>
      <c r="L178" s="21">
        <f t="array" ref="L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" s="22">
        <f>LEN(非皮卡压缩表[[#This Row],[TYPE]])</f>
        <v/>
      </c>
      <c r="N178" s="22">
        <f t="array" ref="N178">_xlfn.XLOOKUP(非皮卡压缩表[[#This Row],[MODEL]],MODEL缩写表[长MODEL],MODEL缩写表[短MODEL],非皮卡压缩表[[#This Row],[MODEL]])</f>
        <v/>
      </c>
      <c r="O178" s="22">
        <f>LEN(非皮卡压缩表[[#This Row],[SHORT-MODEL]])</f>
        <v/>
      </c>
      <c r="P178" s="11">
        <f t="array" ref="P178">TRIM(_xlfn.XLOOKUP(非皮卡压缩表[[#This Row],[BACKSIZE]],ALL尺码表[内部尺码],ALL尺码表[通用尺码]))</f>
        <v/>
      </c>
    </row>
    <row r="179">
      <c r="A179" s="17" t="inlineStr">
        <is>
          <t>ALL</t>
        </is>
      </c>
      <c r="B179" s="18" t="inlineStr">
        <is>
          <t>Buick Riviera</t>
        </is>
      </c>
      <c r="C179" s="18" t="inlineStr">
        <is>
          <t>Buick</t>
        </is>
      </c>
      <c r="D179" s="18" t="inlineStr">
        <is>
          <t>Riviera</t>
        </is>
      </c>
      <c r="E179" s="18" t="inlineStr">
        <is>
          <t>1966-1971</t>
        </is>
      </c>
      <c r="F179" s="18" t="inlineStr"/>
      <c r="G179" s="18" t="inlineStr">
        <is>
          <t>Coupe</t>
        </is>
      </c>
      <c r="H179" s="18" t="inlineStr">
        <is>
          <t>3XXXL-0</t>
        </is>
      </c>
      <c r="I179" s="19">
        <f t="array" ref="I179">TRIM(_xlfn.XLOOKUP(非皮卡压缩表[[#This Row],[BACKSIZE]],ALL尺码表[内部尺码],ALL尺码表[分类],""))</f>
        <v/>
      </c>
      <c r="J179" s="19">
        <f t="array" ref="J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" s="20">
        <f>LEN(非皮卡压缩表[[#This Row],[LONG-TYPE]])</f>
        <v/>
      </c>
      <c r="L179" s="21">
        <f t="array" ref="L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" s="22">
        <f>LEN(非皮卡压缩表[[#This Row],[TYPE]])</f>
        <v/>
      </c>
      <c r="N179" s="22">
        <f t="array" ref="N179">_xlfn.XLOOKUP(非皮卡压缩表[[#This Row],[MODEL]],MODEL缩写表[长MODEL],MODEL缩写表[短MODEL],非皮卡压缩表[[#This Row],[MODEL]])</f>
        <v/>
      </c>
      <c r="O179" s="22">
        <f>LEN(非皮卡压缩表[[#This Row],[SHORT-MODEL]])</f>
        <v/>
      </c>
      <c r="P179" s="11">
        <f t="array" ref="P179">TRIM(_xlfn.XLOOKUP(非皮卡压缩表[[#This Row],[BACKSIZE]],ALL尺码表[内部尺码],ALL尺码表[通用尺码]))</f>
        <v/>
      </c>
    </row>
    <row r="180">
      <c r="A180" s="17" t="inlineStr">
        <is>
          <t>ALL</t>
        </is>
      </c>
      <c r="B180" s="18" t="inlineStr">
        <is>
          <t>Buick Riviera</t>
        </is>
      </c>
      <c r="C180" s="18" t="inlineStr">
        <is>
          <t>Buick</t>
        </is>
      </c>
      <c r="D180" s="18" t="inlineStr">
        <is>
          <t>Riviera</t>
        </is>
      </c>
      <c r="E180" s="18" t="inlineStr">
        <is>
          <t>1972-1978</t>
        </is>
      </c>
      <c r="F180" s="18" t="inlineStr"/>
      <c r="G180" s="18" t="inlineStr">
        <is>
          <t>Coupe</t>
        </is>
      </c>
      <c r="H180" s="18" t="inlineStr">
        <is>
          <t>3XXXXL-0</t>
        </is>
      </c>
      <c r="I180" s="19">
        <f t="array" ref="I180">TRIM(_xlfn.XLOOKUP(非皮卡压缩表[[#This Row],[BACKSIZE]],ALL尺码表[内部尺码],ALL尺码表[分类],""))</f>
        <v/>
      </c>
      <c r="J180" s="19">
        <f t="array" ref="J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" s="20">
        <f>LEN(非皮卡压缩表[[#This Row],[LONG-TYPE]])</f>
        <v/>
      </c>
      <c r="L180" s="21">
        <f t="array" ref="L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" s="22">
        <f>LEN(非皮卡压缩表[[#This Row],[TYPE]])</f>
        <v/>
      </c>
      <c r="N180" s="22">
        <f t="array" ref="N180">_xlfn.XLOOKUP(非皮卡压缩表[[#This Row],[MODEL]],MODEL缩写表[长MODEL],MODEL缩写表[短MODEL],非皮卡压缩表[[#This Row],[MODEL]])</f>
        <v/>
      </c>
      <c r="O180" s="22">
        <f>LEN(非皮卡压缩表[[#This Row],[SHORT-MODEL]])</f>
        <v/>
      </c>
      <c r="P180" s="11">
        <f t="array" ref="P180">TRIM(_xlfn.XLOOKUP(非皮卡压缩表[[#This Row],[BACKSIZE]],ALL尺码表[内部尺码],ALL尺码表[通用尺码]))</f>
        <v/>
      </c>
    </row>
    <row r="181">
      <c r="A181" s="17" t="inlineStr">
        <is>
          <t>ALL</t>
        </is>
      </c>
      <c r="B181" s="18" t="inlineStr">
        <is>
          <t>Buick Riviera</t>
        </is>
      </c>
      <c r="C181" s="18" t="inlineStr">
        <is>
          <t>Buick</t>
        </is>
      </c>
      <c r="D181" s="18" t="inlineStr">
        <is>
          <t>Riviera</t>
        </is>
      </c>
      <c r="E181" s="18" t="inlineStr">
        <is>
          <t>1979-1985</t>
        </is>
      </c>
      <c r="F181" s="18" t="inlineStr"/>
      <c r="G181" s="18" t="inlineStr">
        <is>
          <t>Coupe</t>
        </is>
      </c>
      <c r="H181" s="18" t="inlineStr">
        <is>
          <t>3XXL-0</t>
        </is>
      </c>
      <c r="I181" s="19">
        <f t="array" ref="I181">TRIM(_xlfn.XLOOKUP(非皮卡压缩表[[#This Row],[BACKSIZE]],ALL尺码表[内部尺码],ALL尺码表[分类],""))</f>
        <v/>
      </c>
      <c r="J181" s="19">
        <f t="array" ref="J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" s="20">
        <f>LEN(非皮卡压缩表[[#This Row],[LONG-TYPE]])</f>
        <v/>
      </c>
      <c r="L181" s="21">
        <f t="array" ref="L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" s="22">
        <f>LEN(非皮卡压缩表[[#This Row],[TYPE]])</f>
        <v/>
      </c>
      <c r="N181" s="22">
        <f t="array" ref="N181">_xlfn.XLOOKUP(非皮卡压缩表[[#This Row],[MODEL]],MODEL缩写表[长MODEL],MODEL缩写表[短MODEL],非皮卡压缩表[[#This Row],[MODEL]])</f>
        <v/>
      </c>
      <c r="O181" s="22">
        <f>LEN(非皮卡压缩表[[#This Row],[SHORT-MODEL]])</f>
        <v/>
      </c>
      <c r="P181" s="11">
        <f t="array" ref="P181">TRIM(_xlfn.XLOOKUP(非皮卡压缩表[[#This Row],[BACKSIZE]],ALL尺码表[内部尺码],ALL尺码表[通用尺码]))</f>
        <v/>
      </c>
    </row>
    <row r="182">
      <c r="A182" s="17" t="inlineStr">
        <is>
          <t>ALL</t>
        </is>
      </c>
      <c r="B182" s="18" t="inlineStr">
        <is>
          <t>Buick Riviera</t>
        </is>
      </c>
      <c r="C182" s="18" t="inlineStr">
        <is>
          <t>Buick</t>
        </is>
      </c>
      <c r="D182" s="18" t="inlineStr">
        <is>
          <t>Riviera</t>
        </is>
      </c>
      <c r="E182" s="18" t="inlineStr">
        <is>
          <t>1986-1993</t>
        </is>
      </c>
      <c r="F182" s="18" t="inlineStr"/>
      <c r="G182" s="18" t="inlineStr">
        <is>
          <t>Coupe</t>
        </is>
      </c>
      <c r="H182" s="18" t="inlineStr">
        <is>
          <t>3XL+0</t>
        </is>
      </c>
      <c r="I182" s="19">
        <f t="array" ref="I182">TRIM(_xlfn.XLOOKUP(非皮卡压缩表[[#This Row],[BACKSIZE]],ALL尺码表[内部尺码],ALL尺码表[分类],""))</f>
        <v/>
      </c>
      <c r="J182" s="19">
        <f t="array" ref="J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" s="20">
        <f>LEN(非皮卡压缩表[[#This Row],[LONG-TYPE]])</f>
        <v/>
      </c>
      <c r="L182" s="21">
        <f t="array" ref="L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" s="22">
        <f>LEN(非皮卡压缩表[[#This Row],[TYPE]])</f>
        <v/>
      </c>
      <c r="N182" s="22">
        <f t="array" ref="N182">_xlfn.XLOOKUP(非皮卡压缩表[[#This Row],[MODEL]],MODEL缩写表[长MODEL],MODEL缩写表[短MODEL],非皮卡压缩表[[#This Row],[MODEL]])</f>
        <v/>
      </c>
      <c r="O182" s="22">
        <f>LEN(非皮卡压缩表[[#This Row],[SHORT-MODEL]])</f>
        <v/>
      </c>
      <c r="P182" s="11">
        <f t="array" ref="P182">TRIM(_xlfn.XLOOKUP(非皮卡压缩表[[#This Row],[BACKSIZE]],ALL尺码表[内部尺码],ALL尺码表[通用尺码]))</f>
        <v/>
      </c>
    </row>
    <row r="183">
      <c r="A183" s="17" t="inlineStr">
        <is>
          <t>ALL</t>
        </is>
      </c>
      <c r="B183" s="18" t="inlineStr">
        <is>
          <t>Buick Riviera</t>
        </is>
      </c>
      <c r="C183" s="18" t="inlineStr">
        <is>
          <t>Buick</t>
        </is>
      </c>
      <c r="D183" s="18" t="inlineStr">
        <is>
          <t>Riviera</t>
        </is>
      </c>
      <c r="E183" s="18" t="inlineStr">
        <is>
          <t>1996-1999</t>
        </is>
      </c>
      <c r="F183" s="18" t="inlineStr"/>
      <c r="G183" s="18" t="inlineStr">
        <is>
          <t>Coupe</t>
        </is>
      </c>
      <c r="H183" s="18" t="inlineStr">
        <is>
          <t>3XXL-0</t>
        </is>
      </c>
      <c r="I183" s="19">
        <f t="array" ref="I183">TRIM(_xlfn.XLOOKUP(非皮卡压缩表[[#This Row],[BACKSIZE]],ALL尺码表[内部尺码],ALL尺码表[分类],""))</f>
        <v/>
      </c>
      <c r="J183" s="19">
        <f t="array" ref="J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" s="20">
        <f>LEN(非皮卡压缩表[[#This Row],[LONG-TYPE]])</f>
        <v/>
      </c>
      <c r="L183" s="21">
        <f t="array" ref="L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" s="22">
        <f>LEN(非皮卡压缩表[[#This Row],[TYPE]])</f>
        <v/>
      </c>
      <c r="N183" s="22">
        <f t="array" ref="N183">_xlfn.XLOOKUP(非皮卡压缩表[[#This Row],[MODEL]],MODEL缩写表[长MODEL],MODEL缩写表[短MODEL],非皮卡压缩表[[#This Row],[MODEL]])</f>
        <v/>
      </c>
      <c r="O183" s="22">
        <f>LEN(非皮卡压缩表[[#This Row],[SHORT-MODEL]])</f>
        <v/>
      </c>
      <c r="P183" s="11">
        <f t="array" ref="P183">TRIM(_xlfn.XLOOKUP(非皮卡压缩表[[#This Row],[BACKSIZE]],ALL尺码表[内部尺码],ALL尺码表[通用尺码]))</f>
        <v/>
      </c>
    </row>
    <row r="184">
      <c r="A184" s="17" t="inlineStr">
        <is>
          <t>ALL</t>
        </is>
      </c>
      <c r="B184" s="18" t="inlineStr">
        <is>
          <t>Buick Roadmaster</t>
        </is>
      </c>
      <c r="C184" s="18" t="inlineStr">
        <is>
          <t>Buick</t>
        </is>
      </c>
      <c r="D184" s="18" t="inlineStr">
        <is>
          <t>Roadmaster</t>
        </is>
      </c>
      <c r="E184" s="18" t="inlineStr">
        <is>
          <t>1936-1952</t>
        </is>
      </c>
      <c r="F184" s="18" t="inlineStr"/>
      <c r="G184" s="18" t="inlineStr">
        <is>
          <t>Sedan</t>
        </is>
      </c>
      <c r="H184" s="18" t="inlineStr">
        <is>
          <t>3XXXL</t>
        </is>
      </c>
      <c r="I184" s="19">
        <f t="array" ref="I184">TRIM(_xlfn.XLOOKUP(非皮卡压缩表[[#This Row],[BACKSIZE]],ALL尺码表[内部尺码],ALL尺码表[分类],""))</f>
        <v/>
      </c>
      <c r="J184" s="19">
        <f t="array" ref="J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" s="20">
        <f>LEN(非皮卡压缩表[[#This Row],[LONG-TYPE]])</f>
        <v/>
      </c>
      <c r="L184" s="21">
        <f t="array" ref="L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" s="22">
        <f>LEN(非皮卡压缩表[[#This Row],[TYPE]])</f>
        <v/>
      </c>
      <c r="N184" s="22">
        <f t="array" ref="N184">_xlfn.XLOOKUP(非皮卡压缩表[[#This Row],[MODEL]],MODEL缩写表[长MODEL],MODEL缩写表[短MODEL],非皮卡压缩表[[#This Row],[MODEL]])</f>
        <v/>
      </c>
      <c r="O184" s="22">
        <f>LEN(非皮卡压缩表[[#This Row],[SHORT-MODEL]])</f>
        <v/>
      </c>
      <c r="P184" s="11">
        <f t="array" ref="P184">TRIM(_xlfn.XLOOKUP(非皮卡压缩表[[#This Row],[BACKSIZE]],ALL尺码表[内部尺码],ALL尺码表[通用尺码]))</f>
        <v/>
      </c>
    </row>
    <row r="185">
      <c r="A185" s="17" t="inlineStr">
        <is>
          <t>ALL</t>
        </is>
      </c>
      <c r="B185" s="18" t="inlineStr">
        <is>
          <t>Buick Roadmaster</t>
        </is>
      </c>
      <c r="C185" s="18" t="inlineStr">
        <is>
          <t>Buick</t>
        </is>
      </c>
      <c r="D185" s="18" t="inlineStr">
        <is>
          <t>Roadmaster</t>
        </is>
      </c>
      <c r="E185" s="18" t="inlineStr">
        <is>
          <t>1936-1952</t>
        </is>
      </c>
      <c r="F185" s="18" t="inlineStr"/>
      <c r="G185" s="18" t="inlineStr">
        <is>
          <t>Convertible/Coupe</t>
        </is>
      </c>
      <c r="H185" s="18" t="inlineStr">
        <is>
          <t>3XXXL-0</t>
        </is>
      </c>
      <c r="I185" s="19">
        <f t="array" ref="I185">TRIM(_xlfn.XLOOKUP(非皮卡压缩表[[#This Row],[BACKSIZE]],ALL尺码表[内部尺码],ALL尺码表[分类],""))</f>
        <v/>
      </c>
      <c r="J185" s="19">
        <f t="array" ref="J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" s="20">
        <f>LEN(非皮卡压缩表[[#This Row],[LONG-TYPE]])</f>
        <v/>
      </c>
      <c r="L185" s="21">
        <f t="array" ref="L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" s="22">
        <f>LEN(非皮卡压缩表[[#This Row],[TYPE]])</f>
        <v/>
      </c>
      <c r="N185" s="22">
        <f t="array" ref="N185">_xlfn.XLOOKUP(非皮卡压缩表[[#This Row],[MODEL]],MODEL缩写表[长MODEL],MODEL缩写表[短MODEL],非皮卡压缩表[[#This Row],[MODEL]])</f>
        <v/>
      </c>
      <c r="O185" s="22">
        <f>LEN(非皮卡压缩表[[#This Row],[SHORT-MODEL]])</f>
        <v/>
      </c>
      <c r="P185" s="11">
        <f t="array" ref="P185">TRIM(_xlfn.XLOOKUP(非皮卡压缩表[[#This Row],[BACKSIZE]],ALL尺码表[内部尺码],ALL尺码表[通用尺码]))</f>
        <v/>
      </c>
    </row>
    <row r="186">
      <c r="A186" s="17" t="inlineStr">
        <is>
          <t>ALL</t>
        </is>
      </c>
      <c r="B186" s="18" t="inlineStr">
        <is>
          <t>Buick Roadmaster</t>
        </is>
      </c>
      <c r="C186" s="18" t="inlineStr">
        <is>
          <t>Buick</t>
        </is>
      </c>
      <c r="D186" s="18" t="inlineStr">
        <is>
          <t>Roadmaster</t>
        </is>
      </c>
      <c r="E186" s="18" t="inlineStr">
        <is>
          <t>1953</t>
        </is>
      </c>
      <c r="F186" s="18" t="inlineStr"/>
      <c r="G186" s="18" t="inlineStr">
        <is>
          <t>Sedan</t>
        </is>
      </c>
      <c r="H186" s="18" t="inlineStr">
        <is>
          <t>3XXL</t>
        </is>
      </c>
      <c r="I186" s="19">
        <f t="array" ref="I186">TRIM(_xlfn.XLOOKUP(非皮卡压缩表[[#This Row],[BACKSIZE]],ALL尺码表[内部尺码],ALL尺码表[分类],""))</f>
        <v/>
      </c>
      <c r="J186" s="19">
        <f t="array" ref="J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" s="20">
        <f>LEN(非皮卡压缩表[[#This Row],[LONG-TYPE]])</f>
        <v/>
      </c>
      <c r="L186" s="21">
        <f t="array" ref="L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" s="22">
        <f>LEN(非皮卡压缩表[[#This Row],[TYPE]])</f>
        <v/>
      </c>
      <c r="N186" s="22">
        <f t="array" ref="N186">_xlfn.XLOOKUP(非皮卡压缩表[[#This Row],[MODEL]],MODEL缩写表[长MODEL],MODEL缩写表[短MODEL],非皮卡压缩表[[#This Row],[MODEL]])</f>
        <v/>
      </c>
      <c r="O186" s="22">
        <f>LEN(非皮卡压缩表[[#This Row],[SHORT-MODEL]])</f>
        <v/>
      </c>
      <c r="P186" s="11">
        <f t="array" ref="P186">TRIM(_xlfn.XLOOKUP(非皮卡压缩表[[#This Row],[BACKSIZE]],ALL尺码表[内部尺码],ALL尺码表[通用尺码]))</f>
        <v/>
      </c>
    </row>
    <row r="187">
      <c r="A187" s="17" t="inlineStr">
        <is>
          <t>ALL</t>
        </is>
      </c>
      <c r="B187" s="18" t="inlineStr">
        <is>
          <t>Buick Roadmaster</t>
        </is>
      </c>
      <c r="C187" s="18" t="inlineStr">
        <is>
          <t>Buick</t>
        </is>
      </c>
      <c r="D187" s="18" t="inlineStr">
        <is>
          <t>Roadmaster</t>
        </is>
      </c>
      <c r="E187" s="18" t="inlineStr">
        <is>
          <t>1953</t>
        </is>
      </c>
      <c r="F187" s="18" t="inlineStr"/>
      <c r="G187" s="18" t="inlineStr">
        <is>
          <t>Convertible/Coupe</t>
        </is>
      </c>
      <c r="H187" s="18" t="inlineStr">
        <is>
          <t>3XXL-0</t>
        </is>
      </c>
      <c r="I187" s="19">
        <f t="array" ref="I187">TRIM(_xlfn.XLOOKUP(非皮卡压缩表[[#This Row],[BACKSIZE]],ALL尺码表[内部尺码],ALL尺码表[分类],""))</f>
        <v/>
      </c>
      <c r="J187" s="19">
        <f t="array" ref="J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" s="20">
        <f>LEN(非皮卡压缩表[[#This Row],[LONG-TYPE]])</f>
        <v/>
      </c>
      <c r="L187" s="21">
        <f t="array" ref="L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" s="22">
        <f>LEN(非皮卡压缩表[[#This Row],[TYPE]])</f>
        <v/>
      </c>
      <c r="N187" s="22">
        <f t="array" ref="N187">_xlfn.XLOOKUP(非皮卡压缩表[[#This Row],[MODEL]],MODEL缩写表[长MODEL],MODEL缩写表[短MODEL],非皮卡压缩表[[#This Row],[MODEL]])</f>
        <v/>
      </c>
      <c r="O187" s="22">
        <f>LEN(非皮卡压缩表[[#This Row],[SHORT-MODEL]])</f>
        <v/>
      </c>
      <c r="P187" s="11">
        <f t="array" ref="P187">TRIM(_xlfn.XLOOKUP(非皮卡压缩表[[#This Row],[BACKSIZE]],ALL尺码表[内部尺码],ALL尺码表[通用尺码]))</f>
        <v/>
      </c>
    </row>
    <row r="188">
      <c r="A188" s="17" t="inlineStr">
        <is>
          <t>ALL</t>
        </is>
      </c>
      <c r="B188" s="18" t="inlineStr">
        <is>
          <t>Buick Roadmaster</t>
        </is>
      </c>
      <c r="C188" s="18" t="inlineStr">
        <is>
          <t>Buick</t>
        </is>
      </c>
      <c r="D188" s="18" t="inlineStr">
        <is>
          <t>Roadmaster</t>
        </is>
      </c>
      <c r="E188" s="18" t="inlineStr">
        <is>
          <t>1954-1957</t>
        </is>
      </c>
      <c r="F188" s="18" t="inlineStr"/>
      <c r="G188" s="18" t="inlineStr">
        <is>
          <t>Sedan</t>
        </is>
      </c>
      <c r="H188" s="18" t="inlineStr">
        <is>
          <t>3XXXL</t>
        </is>
      </c>
      <c r="I188" s="19">
        <f t="array" ref="I188">TRIM(_xlfn.XLOOKUP(非皮卡压缩表[[#This Row],[BACKSIZE]],ALL尺码表[内部尺码],ALL尺码表[分类],""))</f>
        <v/>
      </c>
      <c r="J188" s="19">
        <f t="array" ref="J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" s="20">
        <f>LEN(非皮卡压缩表[[#This Row],[LONG-TYPE]])</f>
        <v/>
      </c>
      <c r="L188" s="21">
        <f t="array" ref="L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" s="22">
        <f>LEN(非皮卡压缩表[[#This Row],[TYPE]])</f>
        <v/>
      </c>
      <c r="N188" s="22">
        <f t="array" ref="N188">_xlfn.XLOOKUP(非皮卡压缩表[[#This Row],[MODEL]],MODEL缩写表[长MODEL],MODEL缩写表[短MODEL],非皮卡压缩表[[#This Row],[MODEL]])</f>
        <v/>
      </c>
      <c r="O188" s="22">
        <f>LEN(非皮卡压缩表[[#This Row],[SHORT-MODEL]])</f>
        <v/>
      </c>
      <c r="P188" s="11">
        <f t="array" ref="P188">TRIM(_xlfn.XLOOKUP(非皮卡压缩表[[#This Row],[BACKSIZE]],ALL尺码表[内部尺码],ALL尺码表[通用尺码]))</f>
        <v/>
      </c>
    </row>
    <row r="189">
      <c r="A189" s="17" t="inlineStr">
        <is>
          <t>ALL</t>
        </is>
      </c>
      <c r="B189" s="18" t="inlineStr">
        <is>
          <t>Buick Roadmaster</t>
        </is>
      </c>
      <c r="C189" s="18" t="inlineStr">
        <is>
          <t>Buick</t>
        </is>
      </c>
      <c r="D189" s="18" t="inlineStr">
        <is>
          <t>Roadmaster</t>
        </is>
      </c>
      <c r="E189" s="18" t="inlineStr">
        <is>
          <t>1954-1957</t>
        </is>
      </c>
      <c r="F189" s="18" t="inlineStr"/>
      <c r="G189" s="18" t="inlineStr">
        <is>
          <t>Convertible/Coupe</t>
        </is>
      </c>
      <c r="H189" s="18" t="inlineStr">
        <is>
          <t>3XXXL-0</t>
        </is>
      </c>
      <c r="I189" s="19">
        <f t="array" ref="I189">TRIM(_xlfn.XLOOKUP(非皮卡压缩表[[#This Row],[BACKSIZE]],ALL尺码表[内部尺码],ALL尺码表[分类],""))</f>
        <v/>
      </c>
      <c r="J189" s="19">
        <f t="array" ref="J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" s="20">
        <f>LEN(非皮卡压缩表[[#This Row],[LONG-TYPE]])</f>
        <v/>
      </c>
      <c r="L189" s="21">
        <f t="array" ref="L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" s="22">
        <f>LEN(非皮卡压缩表[[#This Row],[TYPE]])</f>
        <v/>
      </c>
      <c r="N189" s="22">
        <f t="array" ref="N189">_xlfn.XLOOKUP(非皮卡压缩表[[#This Row],[MODEL]],MODEL缩写表[长MODEL],MODEL缩写表[短MODEL],非皮卡压缩表[[#This Row],[MODEL]])</f>
        <v/>
      </c>
      <c r="O189" s="22">
        <f>LEN(非皮卡压缩表[[#This Row],[SHORT-MODEL]])</f>
        <v/>
      </c>
      <c r="P189" s="11">
        <f t="array" ref="P189">TRIM(_xlfn.XLOOKUP(非皮卡压缩表[[#This Row],[BACKSIZE]],ALL尺码表[内部尺码],ALL尺码表[通用尺码]))</f>
        <v/>
      </c>
    </row>
    <row r="190">
      <c r="A190" s="17" t="inlineStr">
        <is>
          <t>ALL</t>
        </is>
      </c>
      <c r="B190" s="18" t="inlineStr">
        <is>
          <t>Buick Roadmaster</t>
        </is>
      </c>
      <c r="C190" s="18" t="inlineStr">
        <is>
          <t>Buick</t>
        </is>
      </c>
      <c r="D190" s="18" t="inlineStr">
        <is>
          <t>Roadmaster</t>
        </is>
      </c>
      <c r="E190" s="18" t="inlineStr">
        <is>
          <t>1958</t>
        </is>
      </c>
      <c r="F190" s="18" t="inlineStr"/>
      <c r="G190" s="18" t="inlineStr">
        <is>
          <t>Convertible/Coupe</t>
        </is>
      </c>
      <c r="H190" s="18" t="inlineStr">
        <is>
          <t>3XXXXL-0</t>
        </is>
      </c>
      <c r="I190" s="19">
        <f t="array" ref="I190">TRIM(_xlfn.XLOOKUP(非皮卡压缩表[[#This Row],[BACKSIZE]],ALL尺码表[内部尺码],ALL尺码表[分类],""))</f>
        <v/>
      </c>
      <c r="J190" s="19">
        <f t="array" ref="J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" s="20">
        <f>LEN(非皮卡压缩表[[#This Row],[LONG-TYPE]])</f>
        <v/>
      </c>
      <c r="L190" s="21">
        <f t="array" ref="L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" s="22">
        <f>LEN(非皮卡压缩表[[#This Row],[TYPE]])</f>
        <v/>
      </c>
      <c r="N190" s="22">
        <f t="array" ref="N190">_xlfn.XLOOKUP(非皮卡压缩表[[#This Row],[MODEL]],MODEL缩写表[长MODEL],MODEL缩写表[短MODEL],非皮卡压缩表[[#This Row],[MODEL]])</f>
        <v/>
      </c>
      <c r="O190" s="22">
        <f>LEN(非皮卡压缩表[[#This Row],[SHORT-MODEL]])</f>
        <v/>
      </c>
      <c r="P190" s="11">
        <f t="array" ref="P190">TRIM(_xlfn.XLOOKUP(非皮卡压缩表[[#This Row],[BACKSIZE]],ALL尺码表[内部尺码],ALL尺码表[通用尺码]))</f>
        <v/>
      </c>
    </row>
    <row r="191">
      <c r="A191" s="17" t="inlineStr">
        <is>
          <t>ALL</t>
        </is>
      </c>
      <c r="B191" s="18" t="inlineStr">
        <is>
          <t>Buick Roadmaster</t>
        </is>
      </c>
      <c r="C191" s="18" t="inlineStr">
        <is>
          <t>Buick</t>
        </is>
      </c>
      <c r="D191" s="18" t="inlineStr">
        <is>
          <t>Roadmaster</t>
        </is>
      </c>
      <c r="E191" s="18" t="inlineStr">
        <is>
          <t>1958</t>
        </is>
      </c>
      <c r="F191" s="18" t="inlineStr"/>
      <c r="G191" s="18" t="inlineStr">
        <is>
          <t>Sedan</t>
        </is>
      </c>
      <c r="H191" s="18" t="inlineStr">
        <is>
          <t>无可用尺码</t>
        </is>
      </c>
      <c r="I191" s="19">
        <f t="array" ref="I191">TRIM(_xlfn.XLOOKUP(非皮卡压缩表[[#This Row],[BACKSIZE]],ALL尺码表[内部尺码],ALL尺码表[分类],""))</f>
        <v/>
      </c>
      <c r="J191" s="19">
        <f t="array" ref="J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" s="20">
        <f>LEN(非皮卡压缩表[[#This Row],[LONG-TYPE]])</f>
        <v/>
      </c>
      <c r="L191" s="21">
        <f t="array" ref="L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" s="22">
        <f>LEN(非皮卡压缩表[[#This Row],[TYPE]])</f>
        <v/>
      </c>
      <c r="N191" s="22">
        <f t="array" ref="N191">_xlfn.XLOOKUP(非皮卡压缩表[[#This Row],[MODEL]],MODEL缩写表[长MODEL],MODEL缩写表[短MODEL],非皮卡压缩表[[#This Row],[MODEL]])</f>
        <v/>
      </c>
      <c r="O191" s="22">
        <f>LEN(非皮卡压缩表[[#This Row],[SHORT-MODEL]])</f>
        <v/>
      </c>
      <c r="P191" s="11">
        <f t="array" ref="P191">TRIM(_xlfn.XLOOKUP(非皮卡压缩表[[#This Row],[BACKSIZE]],ALL尺码表[内部尺码],ALL尺码表[通用尺码]))</f>
        <v/>
      </c>
    </row>
    <row r="192">
      <c r="A192" s="17" t="inlineStr">
        <is>
          <t>ALL</t>
        </is>
      </c>
      <c r="B192" s="18" t="inlineStr">
        <is>
          <t>Buick Roadmaster</t>
        </is>
      </c>
      <c r="C192" s="18" t="inlineStr">
        <is>
          <t>Buick</t>
        </is>
      </c>
      <c r="D192" s="18" t="inlineStr">
        <is>
          <t>Roadmaster</t>
        </is>
      </c>
      <c r="E192" s="18" t="inlineStr">
        <is>
          <t>1991-1996</t>
        </is>
      </c>
      <c r="F192" s="18" t="inlineStr"/>
      <c r="G192" s="18" t="inlineStr">
        <is>
          <t>Wagon</t>
        </is>
      </c>
      <c r="H192" s="18" t="inlineStr">
        <is>
          <t>无可用尺码</t>
        </is>
      </c>
      <c r="I192" s="19">
        <f t="array" ref="I192">TRIM(_xlfn.XLOOKUP(非皮卡压缩表[[#This Row],[BACKSIZE]],ALL尺码表[内部尺码],ALL尺码表[分类],""))</f>
        <v/>
      </c>
      <c r="J192" s="19">
        <f t="array" ref="J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" s="20">
        <f>LEN(非皮卡压缩表[[#This Row],[LONG-TYPE]])</f>
        <v/>
      </c>
      <c r="L192" s="21">
        <f t="array" ref="L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" s="22">
        <f>LEN(非皮卡压缩表[[#This Row],[TYPE]])</f>
        <v/>
      </c>
      <c r="N192" s="22">
        <f t="array" ref="N192">_xlfn.XLOOKUP(非皮卡压缩表[[#This Row],[MODEL]],MODEL缩写表[长MODEL],MODEL缩写表[短MODEL],非皮卡压缩表[[#This Row],[MODEL]])</f>
        <v/>
      </c>
      <c r="O192" s="22">
        <f>LEN(非皮卡压缩表[[#This Row],[SHORT-MODEL]])</f>
        <v/>
      </c>
      <c r="P192" s="11">
        <f t="array" ref="P192">TRIM(_xlfn.XLOOKUP(非皮卡压缩表[[#This Row],[BACKSIZE]],ALL尺码表[内部尺码],ALL尺码表[通用尺码]))</f>
        <v/>
      </c>
    </row>
    <row r="193">
      <c r="A193" s="17" t="inlineStr">
        <is>
          <t>ALL</t>
        </is>
      </c>
      <c r="B193" s="18" t="inlineStr">
        <is>
          <t>Buick Roadmaster</t>
        </is>
      </c>
      <c r="C193" s="18" t="inlineStr">
        <is>
          <t>Buick</t>
        </is>
      </c>
      <c r="D193" s="18" t="inlineStr">
        <is>
          <t>Roadmaster</t>
        </is>
      </c>
      <c r="E193" s="18" t="inlineStr">
        <is>
          <t>1992-1996</t>
        </is>
      </c>
      <c r="F193" s="18" t="inlineStr"/>
      <c r="G193" s="18" t="inlineStr">
        <is>
          <t>Sedan</t>
        </is>
      </c>
      <c r="H193" s="18" t="inlineStr">
        <is>
          <t>3XXXL</t>
        </is>
      </c>
      <c r="I193" s="19">
        <f t="array" ref="I193">TRIM(_xlfn.XLOOKUP(非皮卡压缩表[[#This Row],[BACKSIZE]],ALL尺码表[内部尺码],ALL尺码表[分类],""))</f>
        <v/>
      </c>
      <c r="J193" s="19">
        <f t="array" ref="J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" s="20">
        <f>LEN(非皮卡压缩表[[#This Row],[LONG-TYPE]])</f>
        <v/>
      </c>
      <c r="L193" s="21">
        <f t="array" ref="L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" s="22">
        <f>LEN(非皮卡压缩表[[#This Row],[TYPE]])</f>
        <v/>
      </c>
      <c r="N193" s="22">
        <f t="array" ref="N193">_xlfn.XLOOKUP(非皮卡压缩表[[#This Row],[MODEL]],MODEL缩写表[长MODEL],MODEL缩写表[短MODEL],非皮卡压缩表[[#This Row],[MODEL]])</f>
        <v/>
      </c>
      <c r="O193" s="22">
        <f>LEN(非皮卡压缩表[[#This Row],[SHORT-MODEL]])</f>
        <v/>
      </c>
      <c r="P193" s="11">
        <f t="array" ref="P193">TRIM(_xlfn.XLOOKUP(非皮卡压缩表[[#This Row],[BACKSIZE]],ALL尺码表[内部尺码],ALL尺码表[通用尺码]))</f>
        <v/>
      </c>
    </row>
    <row r="194">
      <c r="A194" s="17" t="inlineStr">
        <is>
          <t>ALL</t>
        </is>
      </c>
      <c r="B194" s="18" t="inlineStr">
        <is>
          <t>Buick Skylark</t>
        </is>
      </c>
      <c r="C194" s="18" t="inlineStr">
        <is>
          <t>Buick</t>
        </is>
      </c>
      <c r="D194" s="18" t="inlineStr">
        <is>
          <t>Skylark</t>
        </is>
      </c>
      <c r="E194" s="18" t="inlineStr">
        <is>
          <t>1953-1972</t>
        </is>
      </c>
      <c r="F194" s="18" t="inlineStr"/>
      <c r="G194" s="18" t="inlineStr">
        <is>
          <t>Convertible/Coupe</t>
        </is>
      </c>
      <c r="H194" s="18" t="inlineStr">
        <is>
          <t>3XXL-0</t>
        </is>
      </c>
      <c r="I194" s="19">
        <f t="array" ref="I194">TRIM(_xlfn.XLOOKUP(非皮卡压缩表[[#This Row],[BACKSIZE]],ALL尺码表[内部尺码],ALL尺码表[分类],""))</f>
        <v/>
      </c>
      <c r="J194" s="19">
        <f t="array" ref="J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" s="20">
        <f>LEN(非皮卡压缩表[[#This Row],[LONG-TYPE]])</f>
        <v/>
      </c>
      <c r="L194" s="21">
        <f t="array" ref="L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" s="22">
        <f>LEN(非皮卡压缩表[[#This Row],[TYPE]])</f>
        <v/>
      </c>
      <c r="N194" s="22">
        <f t="array" ref="N194">_xlfn.XLOOKUP(非皮卡压缩表[[#This Row],[MODEL]],MODEL缩写表[长MODEL],MODEL缩写表[短MODEL],非皮卡压缩表[[#This Row],[MODEL]])</f>
        <v/>
      </c>
      <c r="O194" s="22">
        <f>LEN(非皮卡压缩表[[#This Row],[SHORT-MODEL]])</f>
        <v/>
      </c>
      <c r="P194" s="11">
        <f t="array" ref="P194">TRIM(_xlfn.XLOOKUP(非皮卡压缩表[[#This Row],[BACKSIZE]],ALL尺码表[内部尺码],ALL尺码表[通用尺码]))</f>
        <v/>
      </c>
    </row>
    <row r="195">
      <c r="A195" s="17" t="inlineStr">
        <is>
          <t>ALL</t>
        </is>
      </c>
      <c r="B195" s="18" t="inlineStr">
        <is>
          <t>Buick Skylark</t>
        </is>
      </c>
      <c r="C195" s="18" t="inlineStr">
        <is>
          <t>Buick</t>
        </is>
      </c>
      <c r="D195" s="18" t="inlineStr">
        <is>
          <t>Skylark</t>
        </is>
      </c>
      <c r="E195" s="18" t="inlineStr">
        <is>
          <t>1965-1979</t>
        </is>
      </c>
      <c r="F195" s="18" t="inlineStr"/>
      <c r="G195" s="18" t="inlineStr">
        <is>
          <t>Sedan</t>
        </is>
      </c>
      <c r="H195" s="18" t="inlineStr">
        <is>
          <t>3XXL</t>
        </is>
      </c>
      <c r="I195" s="19">
        <f t="array" ref="I195">TRIM(_xlfn.XLOOKUP(非皮卡压缩表[[#This Row],[BACKSIZE]],ALL尺码表[内部尺码],ALL尺码表[分类],""))</f>
        <v/>
      </c>
      <c r="J195" s="19">
        <f t="array" ref="J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" s="20">
        <f>LEN(非皮卡压缩表[[#This Row],[LONG-TYPE]])</f>
        <v/>
      </c>
      <c r="L195" s="21">
        <f t="array" ref="L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" s="22">
        <f>LEN(非皮卡压缩表[[#This Row],[TYPE]])</f>
        <v/>
      </c>
      <c r="N195" s="22">
        <f t="array" ref="N195">_xlfn.XLOOKUP(非皮卡压缩表[[#This Row],[MODEL]],MODEL缩写表[长MODEL],MODEL缩写表[短MODEL],非皮卡压缩表[[#This Row],[MODEL]])</f>
        <v/>
      </c>
      <c r="O195" s="22">
        <f>LEN(非皮卡压缩表[[#This Row],[SHORT-MODEL]])</f>
        <v/>
      </c>
      <c r="P195" s="11">
        <f t="array" ref="P195">TRIM(_xlfn.XLOOKUP(非皮卡压缩表[[#This Row],[BACKSIZE]],ALL尺码表[内部尺码],ALL尺码表[通用尺码]))</f>
        <v/>
      </c>
    </row>
    <row r="196">
      <c r="A196" s="17" t="inlineStr">
        <is>
          <t>ALL</t>
        </is>
      </c>
      <c r="B196" s="18" t="inlineStr">
        <is>
          <t>Buick Skylark</t>
        </is>
      </c>
      <c r="C196" s="18" t="inlineStr">
        <is>
          <t>Buick</t>
        </is>
      </c>
      <c r="D196" s="18" t="inlineStr">
        <is>
          <t>Skylark</t>
        </is>
      </c>
      <c r="E196" s="18" t="inlineStr">
        <is>
          <t>1969-1972</t>
        </is>
      </c>
      <c r="F196" s="18" t="inlineStr"/>
      <c r="G196" s="18" t="inlineStr">
        <is>
          <t>Hatchback</t>
        </is>
      </c>
      <c r="H196" s="18" t="inlineStr">
        <is>
          <t>无可用尺码</t>
        </is>
      </c>
      <c r="I196" s="19">
        <f t="array" ref="I196">TRIM(_xlfn.XLOOKUP(非皮卡压缩表[[#This Row],[BACKSIZE]],ALL尺码表[内部尺码],ALL尺码表[分类],""))</f>
        <v/>
      </c>
      <c r="J196" s="19">
        <f t="array" ref="J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" s="20">
        <f>LEN(非皮卡压缩表[[#This Row],[LONG-TYPE]])</f>
        <v/>
      </c>
      <c r="L196" s="21">
        <f t="array" ref="L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" s="22">
        <f>LEN(非皮卡压缩表[[#This Row],[TYPE]])</f>
        <v/>
      </c>
      <c r="N196" s="22">
        <f t="array" ref="N196">_xlfn.XLOOKUP(非皮卡压缩表[[#This Row],[MODEL]],MODEL缩写表[长MODEL],MODEL缩写表[短MODEL],非皮卡压缩表[[#This Row],[MODEL]])</f>
        <v/>
      </c>
      <c r="O196" s="22">
        <f>LEN(非皮卡压缩表[[#This Row],[SHORT-MODEL]])</f>
        <v/>
      </c>
      <c r="P196" s="11">
        <f t="array" ref="P196">TRIM(_xlfn.XLOOKUP(非皮卡压缩表[[#This Row],[BACKSIZE]],ALL尺码表[内部尺码],ALL尺码表[通用尺码]))</f>
        <v/>
      </c>
    </row>
    <row r="197">
      <c r="A197" s="17" t="inlineStr">
        <is>
          <t>ALL</t>
        </is>
      </c>
      <c r="B197" s="18" t="inlineStr">
        <is>
          <t>Buick Skylark</t>
        </is>
      </c>
      <c r="C197" s="18" t="inlineStr">
        <is>
          <t>Buick</t>
        </is>
      </c>
      <c r="D197" s="18" t="inlineStr">
        <is>
          <t>Skylark</t>
        </is>
      </c>
      <c r="E197" s="18" t="inlineStr">
        <is>
          <t>1975-1979</t>
        </is>
      </c>
      <c r="F197" s="18" t="inlineStr"/>
      <c r="G197" s="18" t="inlineStr">
        <is>
          <t>Hatchback</t>
        </is>
      </c>
      <c r="H197" s="18" t="inlineStr">
        <is>
          <t>2XXL</t>
        </is>
      </c>
      <c r="I197" s="19">
        <f t="array" ref="I197">TRIM(_xlfn.XLOOKUP(非皮卡压缩表[[#This Row],[BACKSIZE]],ALL尺码表[内部尺码],ALL尺码表[分类],""))</f>
        <v/>
      </c>
      <c r="J197" s="19">
        <f t="array" ref="J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" s="20">
        <f>LEN(非皮卡压缩表[[#This Row],[LONG-TYPE]])</f>
        <v/>
      </c>
      <c r="L197" s="21">
        <f t="array" ref="L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" s="22">
        <f>LEN(非皮卡压缩表[[#This Row],[TYPE]])</f>
        <v/>
      </c>
      <c r="N197" s="22">
        <f t="array" ref="N197">_xlfn.XLOOKUP(非皮卡压缩表[[#This Row],[MODEL]],MODEL缩写表[长MODEL],MODEL缩写表[短MODEL],非皮卡压缩表[[#This Row],[MODEL]])</f>
        <v/>
      </c>
      <c r="O197" s="22">
        <f>LEN(非皮卡压缩表[[#This Row],[SHORT-MODEL]])</f>
        <v/>
      </c>
      <c r="P197" s="11">
        <f t="array" ref="P197">TRIM(_xlfn.XLOOKUP(非皮卡压缩表[[#This Row],[BACKSIZE]],ALL尺码表[内部尺码],ALL尺码表[通用尺码]))</f>
        <v/>
      </c>
    </row>
    <row r="198">
      <c r="A198" s="17" t="inlineStr">
        <is>
          <t>ALL</t>
        </is>
      </c>
      <c r="B198" s="18" t="inlineStr">
        <is>
          <t>Buick Skylark</t>
        </is>
      </c>
      <c r="C198" s="18" t="inlineStr">
        <is>
          <t>Buick</t>
        </is>
      </c>
      <c r="D198" s="18" t="inlineStr">
        <is>
          <t>Skylark</t>
        </is>
      </c>
      <c r="E198" s="18" t="inlineStr">
        <is>
          <t>1975-1979</t>
        </is>
      </c>
      <c r="F198" s="18" t="inlineStr"/>
      <c r="G198" s="18" t="inlineStr">
        <is>
          <t>Coupe</t>
        </is>
      </c>
      <c r="H198" s="18" t="inlineStr">
        <is>
          <t>3XL+0</t>
        </is>
      </c>
      <c r="I198" s="19">
        <f t="array" ref="I198">TRIM(_xlfn.XLOOKUP(非皮卡压缩表[[#This Row],[BACKSIZE]],ALL尺码表[内部尺码],ALL尺码表[分类],""))</f>
        <v/>
      </c>
      <c r="J198" s="19">
        <f t="array" ref="J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" s="20">
        <f>LEN(非皮卡压缩表[[#This Row],[LONG-TYPE]])</f>
        <v/>
      </c>
      <c r="L198" s="21">
        <f t="array" ref="L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" s="22">
        <f>LEN(非皮卡压缩表[[#This Row],[TYPE]])</f>
        <v/>
      </c>
      <c r="N198" s="22">
        <f t="array" ref="N198">_xlfn.XLOOKUP(非皮卡压缩表[[#This Row],[MODEL]],MODEL缩写表[长MODEL],MODEL缩写表[短MODEL],非皮卡压缩表[[#This Row],[MODEL]])</f>
        <v/>
      </c>
      <c r="O198" s="22">
        <f>LEN(非皮卡压缩表[[#This Row],[SHORT-MODEL]])</f>
        <v/>
      </c>
      <c r="P198" s="11">
        <f t="array" ref="P198">TRIM(_xlfn.XLOOKUP(非皮卡压缩表[[#This Row],[BACKSIZE]],ALL尺码表[内部尺码],ALL尺码表[通用尺码]))</f>
        <v/>
      </c>
    </row>
    <row r="199">
      <c r="A199" s="17" t="inlineStr">
        <is>
          <t>ALL</t>
        </is>
      </c>
      <c r="B199" s="18" t="inlineStr">
        <is>
          <t>Buick Skylark</t>
        </is>
      </c>
      <c r="C199" s="18" t="inlineStr">
        <is>
          <t>Buick</t>
        </is>
      </c>
      <c r="D199" s="18" t="inlineStr">
        <is>
          <t>Skylark</t>
        </is>
      </c>
      <c r="E199" s="18" t="inlineStr">
        <is>
          <t>1980-1991</t>
        </is>
      </c>
      <c r="F199" s="18" t="inlineStr"/>
      <c r="G199" s="18" t="inlineStr">
        <is>
          <t>Sedan</t>
        </is>
      </c>
      <c r="H199" s="18" t="inlineStr">
        <is>
          <t>3L</t>
        </is>
      </c>
      <c r="I199" s="19">
        <f t="array" ref="I199">TRIM(_xlfn.XLOOKUP(非皮卡压缩表[[#This Row],[BACKSIZE]],ALL尺码表[内部尺码],ALL尺码表[分类],""))</f>
        <v/>
      </c>
      <c r="J199" s="19">
        <f t="array" ref="J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" s="20">
        <f>LEN(非皮卡压缩表[[#This Row],[LONG-TYPE]])</f>
        <v/>
      </c>
      <c r="L199" s="21">
        <f t="array" ref="L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" s="22">
        <f>LEN(非皮卡压缩表[[#This Row],[TYPE]])</f>
        <v/>
      </c>
      <c r="N199" s="22">
        <f t="array" ref="N199">_xlfn.XLOOKUP(非皮卡压缩表[[#This Row],[MODEL]],MODEL缩写表[长MODEL],MODEL缩写表[短MODEL],非皮卡压缩表[[#This Row],[MODEL]])</f>
        <v/>
      </c>
      <c r="O199" s="22">
        <f>LEN(非皮卡压缩表[[#This Row],[SHORT-MODEL]])</f>
        <v/>
      </c>
      <c r="P199" s="11">
        <f t="array" ref="P199">TRIM(_xlfn.XLOOKUP(非皮卡压缩表[[#This Row],[BACKSIZE]],ALL尺码表[内部尺码],ALL尺码表[通用尺码]))</f>
        <v/>
      </c>
    </row>
    <row r="200">
      <c r="A200" s="17" t="inlineStr">
        <is>
          <t>ALL</t>
        </is>
      </c>
      <c r="B200" s="18" t="inlineStr">
        <is>
          <t>Buick Skylark</t>
        </is>
      </c>
      <c r="C200" s="18" t="inlineStr">
        <is>
          <t>Buick</t>
        </is>
      </c>
      <c r="D200" s="18" t="inlineStr">
        <is>
          <t>Skylark</t>
        </is>
      </c>
      <c r="E200" s="18" t="inlineStr">
        <is>
          <t>1980-1991</t>
        </is>
      </c>
      <c r="F200" s="18" t="inlineStr"/>
      <c r="G200" s="18" t="inlineStr">
        <is>
          <t>Coupe</t>
        </is>
      </c>
      <c r="H200" s="18" t="inlineStr">
        <is>
          <t>3L-0</t>
        </is>
      </c>
      <c r="I200" s="19">
        <f t="array" ref="I200">TRIM(_xlfn.XLOOKUP(非皮卡压缩表[[#This Row],[BACKSIZE]],ALL尺码表[内部尺码],ALL尺码表[分类],""))</f>
        <v/>
      </c>
      <c r="J200" s="19">
        <f t="array" ref="J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" s="20">
        <f>LEN(非皮卡压缩表[[#This Row],[LONG-TYPE]])</f>
        <v/>
      </c>
      <c r="L200" s="21">
        <f t="array" ref="L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" s="22">
        <f>LEN(非皮卡压缩表[[#This Row],[TYPE]])</f>
        <v/>
      </c>
      <c r="N200" s="22">
        <f t="array" ref="N200">_xlfn.XLOOKUP(非皮卡压缩表[[#This Row],[MODEL]],MODEL缩写表[长MODEL],MODEL缩写表[短MODEL],非皮卡压缩表[[#This Row],[MODEL]])</f>
        <v/>
      </c>
      <c r="O200" s="22">
        <f>LEN(非皮卡压缩表[[#This Row],[SHORT-MODEL]])</f>
        <v/>
      </c>
      <c r="P200" s="11">
        <f t="array" ref="P200">TRIM(_xlfn.XLOOKUP(非皮卡压缩表[[#This Row],[BACKSIZE]],ALL尺码表[内部尺码],ALL尺码表[通用尺码]))</f>
        <v/>
      </c>
    </row>
    <row r="201">
      <c r="A201" s="17" t="inlineStr">
        <is>
          <t>ALL</t>
        </is>
      </c>
      <c r="B201" s="18" t="inlineStr">
        <is>
          <t>Buick Skylark</t>
        </is>
      </c>
      <c r="C201" s="18" t="inlineStr">
        <is>
          <t>Buick</t>
        </is>
      </c>
      <c r="D201" s="18" t="inlineStr">
        <is>
          <t>Skylark</t>
        </is>
      </c>
      <c r="E201" s="18" t="inlineStr">
        <is>
          <t>1992-1993</t>
        </is>
      </c>
      <c r="F201" s="18" t="inlineStr"/>
      <c r="G201" s="18" t="inlineStr">
        <is>
          <t>Sedan</t>
        </is>
      </c>
      <c r="H201" s="18" t="inlineStr">
        <is>
          <t>3XL</t>
        </is>
      </c>
      <c r="I201" s="19">
        <f t="array" ref="I201">TRIM(_xlfn.XLOOKUP(非皮卡压缩表[[#This Row],[BACKSIZE]],ALL尺码表[内部尺码],ALL尺码表[分类],""))</f>
        <v/>
      </c>
      <c r="J201" s="19">
        <f t="array" ref="J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" s="20">
        <f>LEN(非皮卡压缩表[[#This Row],[LONG-TYPE]])</f>
        <v/>
      </c>
      <c r="L201" s="21">
        <f t="array" ref="L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" s="22">
        <f>LEN(非皮卡压缩表[[#This Row],[TYPE]])</f>
        <v/>
      </c>
      <c r="N201" s="22">
        <f t="array" ref="N201">_xlfn.XLOOKUP(非皮卡压缩表[[#This Row],[MODEL]],MODEL缩写表[长MODEL],MODEL缩写表[短MODEL],非皮卡压缩表[[#This Row],[MODEL]])</f>
        <v/>
      </c>
      <c r="O201" s="22">
        <f>LEN(非皮卡压缩表[[#This Row],[SHORT-MODEL]])</f>
        <v/>
      </c>
      <c r="P201" s="11">
        <f t="array" ref="P201">TRIM(_xlfn.XLOOKUP(非皮卡压缩表[[#This Row],[BACKSIZE]],ALL尺码表[内部尺码],ALL尺码表[通用尺码]))</f>
        <v/>
      </c>
    </row>
    <row r="202">
      <c r="A202" s="17" t="inlineStr">
        <is>
          <t>ALL</t>
        </is>
      </c>
      <c r="B202" s="18" t="inlineStr">
        <is>
          <t>Buick Skylark</t>
        </is>
      </c>
      <c r="C202" s="18" t="inlineStr">
        <is>
          <t>Buick</t>
        </is>
      </c>
      <c r="D202" s="18" t="inlineStr">
        <is>
          <t>Skylark</t>
        </is>
      </c>
      <c r="E202" s="18" t="inlineStr">
        <is>
          <t>1992-1993</t>
        </is>
      </c>
      <c r="F202" s="18" t="inlineStr"/>
      <c r="G202" s="18" t="inlineStr">
        <is>
          <t>Coupe</t>
        </is>
      </c>
      <c r="H202" s="18" t="inlineStr">
        <is>
          <t>3XL-0</t>
        </is>
      </c>
      <c r="I202" s="19">
        <f t="array" ref="I202">TRIM(_xlfn.XLOOKUP(非皮卡压缩表[[#This Row],[BACKSIZE]],ALL尺码表[内部尺码],ALL尺码表[分类],""))</f>
        <v/>
      </c>
      <c r="J202" s="19">
        <f t="array" ref="J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" s="20">
        <f>LEN(非皮卡压缩表[[#This Row],[LONG-TYPE]])</f>
        <v/>
      </c>
      <c r="L202" s="21">
        <f t="array" ref="L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" s="22">
        <f>LEN(非皮卡压缩表[[#This Row],[TYPE]])</f>
        <v/>
      </c>
      <c r="N202" s="22">
        <f t="array" ref="N202">_xlfn.XLOOKUP(非皮卡压缩表[[#This Row],[MODEL]],MODEL缩写表[长MODEL],MODEL缩写表[短MODEL],非皮卡压缩表[[#This Row],[MODEL]])</f>
        <v/>
      </c>
      <c r="O202" s="22">
        <f>LEN(非皮卡压缩表[[#This Row],[SHORT-MODEL]])</f>
        <v/>
      </c>
      <c r="P202" s="11">
        <f t="array" ref="P202">TRIM(_xlfn.XLOOKUP(非皮卡压缩表[[#This Row],[BACKSIZE]],ALL尺码表[内部尺码],ALL尺码表[通用尺码]))</f>
        <v/>
      </c>
    </row>
    <row r="203">
      <c r="A203" s="17" t="inlineStr">
        <is>
          <t>ALL</t>
        </is>
      </c>
      <c r="B203" s="18" t="inlineStr">
        <is>
          <t>Buick Skylark</t>
        </is>
      </c>
      <c r="C203" s="18" t="inlineStr">
        <is>
          <t>Buick</t>
        </is>
      </c>
      <c r="D203" s="18" t="inlineStr">
        <is>
          <t>Skylark</t>
        </is>
      </c>
      <c r="E203" s="18" t="inlineStr">
        <is>
          <t>1994</t>
        </is>
      </c>
      <c r="F203" s="18" t="inlineStr"/>
      <c r="G203" s="18" t="inlineStr">
        <is>
          <t>Coupe</t>
        </is>
      </c>
      <c r="H203" s="18" t="inlineStr">
        <is>
          <t>3XL+0</t>
        </is>
      </c>
      <c r="I203" s="19">
        <f t="array" ref="I203">TRIM(_xlfn.XLOOKUP(非皮卡压缩表[[#This Row],[BACKSIZE]],ALL尺码表[内部尺码],ALL尺码表[分类],""))</f>
        <v/>
      </c>
      <c r="J203" s="19">
        <f t="array" ref="J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" s="20">
        <f>LEN(非皮卡压缩表[[#This Row],[LONG-TYPE]])</f>
        <v/>
      </c>
      <c r="L203" s="21">
        <f t="array" ref="L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" s="22">
        <f>LEN(非皮卡压缩表[[#This Row],[TYPE]])</f>
        <v/>
      </c>
      <c r="N203" s="22">
        <f t="array" ref="N203">_xlfn.XLOOKUP(非皮卡压缩表[[#This Row],[MODEL]],MODEL缩写表[长MODEL],MODEL缩写表[短MODEL],非皮卡压缩表[[#This Row],[MODEL]])</f>
        <v/>
      </c>
      <c r="O203" s="22">
        <f>LEN(非皮卡压缩表[[#This Row],[SHORT-MODEL]])</f>
        <v/>
      </c>
      <c r="P203" s="11">
        <f t="array" ref="P203">TRIM(_xlfn.XLOOKUP(非皮卡压缩表[[#This Row],[BACKSIZE]],ALL尺码表[内部尺码],ALL尺码表[通用尺码]))</f>
        <v/>
      </c>
    </row>
    <row r="204">
      <c r="A204" s="17" t="inlineStr">
        <is>
          <t>ALL</t>
        </is>
      </c>
      <c r="B204" s="18" t="inlineStr">
        <is>
          <t>Buick Skylark</t>
        </is>
      </c>
      <c r="C204" s="18" t="inlineStr">
        <is>
          <t>Buick</t>
        </is>
      </c>
      <c r="D204" s="18" t="inlineStr">
        <is>
          <t>Skylark</t>
        </is>
      </c>
      <c r="E204" s="18" t="inlineStr">
        <is>
          <t>1994</t>
        </is>
      </c>
      <c r="F204" s="18" t="inlineStr"/>
      <c r="G204" s="18" t="inlineStr">
        <is>
          <t>Sedan</t>
        </is>
      </c>
      <c r="H204" s="18" t="inlineStr">
        <is>
          <t>3XXL</t>
        </is>
      </c>
      <c r="I204" s="19">
        <f t="array" ref="I204">TRIM(_xlfn.XLOOKUP(非皮卡压缩表[[#This Row],[BACKSIZE]],ALL尺码表[内部尺码],ALL尺码表[分类],""))</f>
        <v/>
      </c>
      <c r="J204" s="19">
        <f t="array" ref="J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" s="20">
        <f>LEN(非皮卡压缩表[[#This Row],[LONG-TYPE]])</f>
        <v/>
      </c>
      <c r="L204" s="21">
        <f t="array" ref="L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" s="22">
        <f>LEN(非皮卡压缩表[[#This Row],[TYPE]])</f>
        <v/>
      </c>
      <c r="N204" s="22">
        <f t="array" ref="N204">_xlfn.XLOOKUP(非皮卡压缩表[[#This Row],[MODEL]],MODEL缩写表[长MODEL],MODEL缩写表[短MODEL],非皮卡压缩表[[#This Row],[MODEL]])</f>
        <v/>
      </c>
      <c r="O204" s="22">
        <f>LEN(非皮卡压缩表[[#This Row],[SHORT-MODEL]])</f>
        <v/>
      </c>
      <c r="P204" s="11">
        <f t="array" ref="P204">TRIM(_xlfn.XLOOKUP(非皮卡压缩表[[#This Row],[BACKSIZE]],ALL尺码表[内部尺码],ALL尺码表[通用尺码]))</f>
        <v/>
      </c>
    </row>
    <row r="205">
      <c r="A205" s="17" t="inlineStr">
        <is>
          <t>ALL</t>
        </is>
      </c>
      <c r="B205" s="18" t="inlineStr">
        <is>
          <t>Buick Skylark</t>
        </is>
      </c>
      <c r="C205" s="18" t="inlineStr">
        <is>
          <t>Buick</t>
        </is>
      </c>
      <c r="D205" s="18" t="inlineStr">
        <is>
          <t>Skylark</t>
        </is>
      </c>
      <c r="E205" s="18" t="inlineStr">
        <is>
          <t>1995-1998</t>
        </is>
      </c>
      <c r="F205" s="18" t="inlineStr"/>
      <c r="G205" s="18" t="inlineStr">
        <is>
          <t>Sedan</t>
        </is>
      </c>
      <c r="H205" s="18" t="inlineStr">
        <is>
          <t>3XL</t>
        </is>
      </c>
      <c r="I205" s="19">
        <f t="array" ref="I205">TRIM(_xlfn.XLOOKUP(非皮卡压缩表[[#This Row],[BACKSIZE]],ALL尺码表[内部尺码],ALL尺码表[分类],""))</f>
        <v/>
      </c>
      <c r="J205" s="19">
        <f t="array" ref="J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" s="20">
        <f>LEN(非皮卡压缩表[[#This Row],[LONG-TYPE]])</f>
        <v/>
      </c>
      <c r="L205" s="21">
        <f t="array" ref="L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" s="22">
        <f>LEN(非皮卡压缩表[[#This Row],[TYPE]])</f>
        <v/>
      </c>
      <c r="N205" s="22">
        <f t="array" ref="N205">_xlfn.XLOOKUP(非皮卡压缩表[[#This Row],[MODEL]],MODEL缩写表[长MODEL],MODEL缩写表[短MODEL],非皮卡压缩表[[#This Row],[MODEL]])</f>
        <v/>
      </c>
      <c r="O205" s="22">
        <f>LEN(非皮卡压缩表[[#This Row],[SHORT-MODEL]])</f>
        <v/>
      </c>
      <c r="P205" s="11">
        <f t="array" ref="P205">TRIM(_xlfn.XLOOKUP(非皮卡压缩表[[#This Row],[BACKSIZE]],ALL尺码表[内部尺码],ALL尺码表[通用尺码]))</f>
        <v/>
      </c>
    </row>
    <row r="206">
      <c r="A206" s="17" t="inlineStr">
        <is>
          <t>ALL</t>
        </is>
      </c>
      <c r="B206" s="18" t="inlineStr">
        <is>
          <t>Buick Skylark</t>
        </is>
      </c>
      <c r="C206" s="18" t="inlineStr">
        <is>
          <t>Buick</t>
        </is>
      </c>
      <c r="D206" s="18" t="inlineStr">
        <is>
          <t>Skylark</t>
        </is>
      </c>
      <c r="E206" s="18" t="inlineStr">
        <is>
          <t>1995-1997</t>
        </is>
      </c>
      <c r="F206" s="18" t="inlineStr"/>
      <c r="G206" s="18" t="inlineStr">
        <is>
          <t>Coupe</t>
        </is>
      </c>
      <c r="H206" s="18" t="inlineStr">
        <is>
          <t>3XL-0</t>
        </is>
      </c>
      <c r="I206" s="19">
        <f t="array" ref="I206">TRIM(_xlfn.XLOOKUP(非皮卡压缩表[[#This Row],[BACKSIZE]],ALL尺码表[内部尺码],ALL尺码表[分类],""))</f>
        <v/>
      </c>
      <c r="J206" s="19">
        <f t="array" ref="J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" s="20">
        <f>LEN(非皮卡压缩表[[#This Row],[LONG-TYPE]])</f>
        <v/>
      </c>
      <c r="L206" s="21">
        <f t="array" ref="L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" s="22">
        <f>LEN(非皮卡压缩表[[#This Row],[TYPE]])</f>
        <v/>
      </c>
      <c r="N206" s="22">
        <f t="array" ref="N206">_xlfn.XLOOKUP(非皮卡压缩表[[#This Row],[MODEL]],MODEL缩写表[长MODEL],MODEL缩写表[短MODEL],非皮卡压缩表[[#This Row],[MODEL]])</f>
        <v/>
      </c>
      <c r="O206" s="22">
        <f>LEN(非皮卡压缩表[[#This Row],[SHORT-MODEL]])</f>
        <v/>
      </c>
      <c r="P206" s="11">
        <f t="array" ref="P206">TRIM(_xlfn.XLOOKUP(非皮卡压缩表[[#This Row],[BACKSIZE]],ALL尺码表[内部尺码],ALL尺码表[通用尺码]))</f>
        <v/>
      </c>
    </row>
    <row r="207">
      <c r="A207" s="17" t="inlineStr">
        <is>
          <t>ALL</t>
        </is>
      </c>
      <c r="B207" s="18" t="inlineStr">
        <is>
          <t>Buick Verano</t>
        </is>
      </c>
      <c r="C207" s="18" t="inlineStr">
        <is>
          <t>Buick</t>
        </is>
      </c>
      <c r="D207" s="18" t="inlineStr">
        <is>
          <t>Verano</t>
        </is>
      </c>
      <c r="E207" s="18" t="inlineStr">
        <is>
          <t>2012-2017</t>
        </is>
      </c>
      <c r="F207" s="18" t="inlineStr"/>
      <c r="G207" s="18" t="inlineStr">
        <is>
          <t>Sedan</t>
        </is>
      </c>
      <c r="H207" s="18" t="inlineStr">
        <is>
          <t>3L</t>
        </is>
      </c>
      <c r="I207" s="19">
        <f t="array" ref="I207">TRIM(_xlfn.XLOOKUP(非皮卡压缩表[[#This Row],[BACKSIZE]],ALL尺码表[内部尺码],ALL尺码表[分类],""))</f>
        <v/>
      </c>
      <c r="J207" s="19">
        <f t="array" ref="J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" s="20">
        <f>LEN(非皮卡压缩表[[#This Row],[LONG-TYPE]])</f>
        <v/>
      </c>
      <c r="L207" s="21">
        <f t="array" ref="L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" s="22">
        <f>LEN(非皮卡压缩表[[#This Row],[TYPE]])</f>
        <v/>
      </c>
      <c r="N207" s="22">
        <f t="array" ref="N207">_xlfn.XLOOKUP(非皮卡压缩表[[#This Row],[MODEL]],MODEL缩写表[长MODEL],MODEL缩写表[短MODEL],非皮卡压缩表[[#This Row],[MODEL]])</f>
        <v/>
      </c>
      <c r="O207" s="22">
        <f>LEN(非皮卡压缩表[[#This Row],[SHORT-MODEL]])</f>
        <v/>
      </c>
      <c r="P207" s="11">
        <f t="array" ref="P207">TRIM(_xlfn.XLOOKUP(非皮卡压缩表[[#This Row],[BACKSIZE]],ALL尺码表[内部尺码],ALL尺码表[通用尺码]))</f>
        <v/>
      </c>
    </row>
    <row r="208">
      <c r="A208" s="17" t="inlineStr">
        <is>
          <t>ALL</t>
        </is>
      </c>
      <c r="B208" s="18" t="inlineStr">
        <is>
          <t>Cadillac ATS</t>
        </is>
      </c>
      <c r="C208" s="18" t="inlineStr">
        <is>
          <t>Cadillac</t>
        </is>
      </c>
      <c r="D208" s="18" t="inlineStr">
        <is>
          <t>ATS</t>
        </is>
      </c>
      <c r="E208" s="18" t="inlineStr">
        <is>
          <t>2013-2019</t>
        </is>
      </c>
      <c r="F208" s="18" t="inlineStr"/>
      <c r="G208" s="18" t="inlineStr">
        <is>
          <t>Sedan</t>
        </is>
      </c>
      <c r="H208" s="18" t="inlineStr">
        <is>
          <t>3L</t>
        </is>
      </c>
      <c r="I208" s="19">
        <f t="array" ref="I208">TRIM(_xlfn.XLOOKUP(非皮卡压缩表[[#This Row],[BACKSIZE]],ALL尺码表[内部尺码],ALL尺码表[分类],""))</f>
        <v/>
      </c>
      <c r="J208" s="19">
        <f t="array" ref="J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" s="20">
        <f>LEN(非皮卡压缩表[[#This Row],[LONG-TYPE]])</f>
        <v/>
      </c>
      <c r="L208" s="21">
        <f t="array" ref="L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" s="22">
        <f>LEN(非皮卡压缩表[[#This Row],[TYPE]])</f>
        <v/>
      </c>
      <c r="N208" s="22">
        <f t="array" ref="N208">_xlfn.XLOOKUP(非皮卡压缩表[[#This Row],[MODEL]],MODEL缩写表[长MODEL],MODEL缩写表[短MODEL],非皮卡压缩表[[#This Row],[MODEL]])</f>
        <v/>
      </c>
      <c r="O208" s="22">
        <f>LEN(非皮卡压缩表[[#This Row],[SHORT-MODEL]])</f>
        <v/>
      </c>
      <c r="P208" s="11">
        <f t="array" ref="P208">TRIM(_xlfn.XLOOKUP(非皮卡压缩表[[#This Row],[BACKSIZE]],ALL尺码表[内部尺码],ALL尺码表[通用尺码]))</f>
        <v/>
      </c>
    </row>
    <row r="209">
      <c r="A209" s="17" t="inlineStr">
        <is>
          <t>ALL</t>
        </is>
      </c>
      <c r="B209" s="18" t="inlineStr">
        <is>
          <t>Cadillac ATS</t>
        </is>
      </c>
      <c r="C209" s="18" t="inlineStr">
        <is>
          <t>Cadillac</t>
        </is>
      </c>
      <c r="D209" s="18" t="inlineStr">
        <is>
          <t>ATS</t>
        </is>
      </c>
      <c r="E209" s="18" t="inlineStr">
        <is>
          <t>2015-2019</t>
        </is>
      </c>
      <c r="F209" s="18" t="inlineStr"/>
      <c r="G209" s="18" t="inlineStr">
        <is>
          <t>Coupe</t>
        </is>
      </c>
      <c r="H209" s="18" t="inlineStr">
        <is>
          <t>3L-0</t>
        </is>
      </c>
      <c r="I209" s="19">
        <f t="array" ref="I209">TRIM(_xlfn.XLOOKUP(非皮卡压缩表[[#This Row],[BACKSIZE]],ALL尺码表[内部尺码],ALL尺码表[分类],""))</f>
        <v/>
      </c>
      <c r="J209" s="19">
        <f t="array" ref="J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" s="20">
        <f>LEN(非皮卡压缩表[[#This Row],[LONG-TYPE]])</f>
        <v/>
      </c>
      <c r="L209" s="21">
        <f t="array" ref="L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" s="22">
        <f>LEN(非皮卡压缩表[[#This Row],[TYPE]])</f>
        <v/>
      </c>
      <c r="N209" s="22">
        <f t="array" ref="N209">_xlfn.XLOOKUP(非皮卡压缩表[[#This Row],[MODEL]],MODEL缩写表[长MODEL],MODEL缩写表[短MODEL],非皮卡压缩表[[#This Row],[MODEL]])</f>
        <v/>
      </c>
      <c r="O209" s="22">
        <f>LEN(非皮卡压缩表[[#This Row],[SHORT-MODEL]])</f>
        <v/>
      </c>
      <c r="P209" s="11">
        <f t="array" ref="P209">TRIM(_xlfn.XLOOKUP(非皮卡压缩表[[#This Row],[BACKSIZE]],ALL尺码表[内部尺码],ALL尺码表[通用尺码]))</f>
        <v/>
      </c>
    </row>
    <row r="210">
      <c r="A210" s="17" t="inlineStr">
        <is>
          <t>ALL</t>
        </is>
      </c>
      <c r="B210" s="18" t="inlineStr">
        <is>
          <t>Cadillac CT4</t>
        </is>
      </c>
      <c r="C210" s="18" t="inlineStr">
        <is>
          <t>Cadillac</t>
        </is>
      </c>
      <c r="D210" s="18" t="inlineStr">
        <is>
          <t>CT4</t>
        </is>
      </c>
      <c r="E210" s="18" t="inlineStr">
        <is>
          <t>2020-2026</t>
        </is>
      </c>
      <c r="F210" s="18" t="inlineStr"/>
      <c r="G210" s="18" t="inlineStr">
        <is>
          <t>Sedan</t>
        </is>
      </c>
      <c r="H210" s="18" t="inlineStr">
        <is>
          <t>3XL</t>
        </is>
      </c>
      <c r="I210" s="19">
        <f t="array" ref="I210">TRIM(_xlfn.XLOOKUP(非皮卡压缩表[[#This Row],[BACKSIZE]],ALL尺码表[内部尺码],ALL尺码表[分类],""))</f>
        <v/>
      </c>
      <c r="J210" s="19">
        <f t="array" ref="J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" s="20">
        <f>LEN(非皮卡压缩表[[#This Row],[LONG-TYPE]])</f>
        <v/>
      </c>
      <c r="L210" s="21">
        <f t="array" ref="L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" s="22">
        <f>LEN(非皮卡压缩表[[#This Row],[TYPE]])</f>
        <v/>
      </c>
      <c r="N210" s="22">
        <f t="array" ref="N210">_xlfn.XLOOKUP(非皮卡压缩表[[#This Row],[MODEL]],MODEL缩写表[长MODEL],MODEL缩写表[短MODEL],非皮卡压缩表[[#This Row],[MODEL]])</f>
        <v/>
      </c>
      <c r="O210" s="22">
        <f>LEN(非皮卡压缩表[[#This Row],[SHORT-MODEL]])</f>
        <v/>
      </c>
      <c r="P210" s="11">
        <f t="array" ref="P210">TRIM(_xlfn.XLOOKUP(非皮卡压缩表[[#This Row],[BACKSIZE]],ALL尺码表[内部尺码],ALL尺码表[通用尺码]))</f>
        <v/>
      </c>
    </row>
    <row r="211">
      <c r="A211" s="17" t="inlineStr">
        <is>
          <t>ALL</t>
        </is>
      </c>
      <c r="B211" s="18" t="inlineStr">
        <is>
          <t>Cadillac CT5</t>
        </is>
      </c>
      <c r="C211" s="18" t="inlineStr">
        <is>
          <t>Cadillac</t>
        </is>
      </c>
      <c r="D211" s="18" t="inlineStr">
        <is>
          <t>CT5</t>
        </is>
      </c>
      <c r="E211" s="18" t="inlineStr">
        <is>
          <t>2020-2026</t>
        </is>
      </c>
      <c r="F211" s="18" t="inlineStr">
        <is>
          <t>Incl: Blackwing</t>
        </is>
      </c>
      <c r="G211" s="18" t="inlineStr">
        <is>
          <t>Sedan</t>
        </is>
      </c>
      <c r="H211" s="18" t="inlineStr">
        <is>
          <t>3XXL</t>
        </is>
      </c>
      <c r="I211" s="19">
        <f t="array" ref="I211">TRIM(_xlfn.XLOOKUP(非皮卡压缩表[[#This Row],[BACKSIZE]],ALL尺码表[内部尺码],ALL尺码表[分类],""))</f>
        <v/>
      </c>
      <c r="J211" s="19">
        <f t="array" ref="J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" s="20">
        <f>LEN(非皮卡压缩表[[#This Row],[LONG-TYPE]])</f>
        <v/>
      </c>
      <c r="L211" s="21">
        <f t="array" ref="L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" s="22">
        <f>LEN(非皮卡压缩表[[#This Row],[TYPE]])</f>
        <v/>
      </c>
      <c r="N211" s="22">
        <f t="array" ref="N211">_xlfn.XLOOKUP(非皮卡压缩表[[#This Row],[MODEL]],MODEL缩写表[长MODEL],MODEL缩写表[短MODEL],非皮卡压缩表[[#This Row],[MODEL]])</f>
        <v/>
      </c>
      <c r="O211" s="22">
        <f>LEN(非皮卡压缩表[[#This Row],[SHORT-MODEL]])</f>
        <v/>
      </c>
      <c r="P211" s="11">
        <f t="array" ref="P211">TRIM(_xlfn.XLOOKUP(非皮卡压缩表[[#This Row],[BACKSIZE]],ALL尺码表[内部尺码],ALL尺码表[通用尺码]))</f>
        <v/>
      </c>
    </row>
    <row r="212">
      <c r="A212" s="17" t="inlineStr">
        <is>
          <t>ALL</t>
        </is>
      </c>
      <c r="B212" s="18" t="inlineStr">
        <is>
          <t>Cadillac CT6</t>
        </is>
      </c>
      <c r="C212" s="18" t="inlineStr">
        <is>
          <t>Cadillac</t>
        </is>
      </c>
      <c r="D212" s="18" t="inlineStr">
        <is>
          <t>CT6</t>
        </is>
      </c>
      <c r="E212" s="18" t="inlineStr">
        <is>
          <t>2016-2020</t>
        </is>
      </c>
      <c r="F212" s="18" t="inlineStr">
        <is>
          <t>Incl: Blackwing/PHEV</t>
        </is>
      </c>
      <c r="G212" s="18" t="inlineStr">
        <is>
          <t>Sedan</t>
        </is>
      </c>
      <c r="H212" s="18" t="inlineStr">
        <is>
          <t>3XXL</t>
        </is>
      </c>
      <c r="I212" s="19">
        <f t="array" ref="I212">TRIM(_xlfn.XLOOKUP(非皮卡压缩表[[#This Row],[BACKSIZE]],ALL尺码表[内部尺码],ALL尺码表[分类],""))</f>
        <v/>
      </c>
      <c r="J212" s="19">
        <f t="array" ref="J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" s="20">
        <f>LEN(非皮卡压缩表[[#This Row],[LONG-TYPE]])</f>
        <v/>
      </c>
      <c r="L212" s="21">
        <f t="array" ref="L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" s="22">
        <f>LEN(非皮卡压缩表[[#This Row],[TYPE]])</f>
        <v/>
      </c>
      <c r="N212" s="22">
        <f t="array" ref="N212">_xlfn.XLOOKUP(非皮卡压缩表[[#This Row],[MODEL]],MODEL缩写表[长MODEL],MODEL缩写表[短MODEL],非皮卡压缩表[[#This Row],[MODEL]])</f>
        <v/>
      </c>
      <c r="O212" s="22">
        <f>LEN(非皮卡压缩表[[#This Row],[SHORT-MODEL]])</f>
        <v/>
      </c>
      <c r="P212" s="11">
        <f t="array" ref="P212">TRIM(_xlfn.XLOOKUP(非皮卡压缩表[[#This Row],[BACKSIZE]],ALL尺码表[内部尺码],ALL尺码表[通用尺码]))</f>
        <v/>
      </c>
    </row>
    <row r="213">
      <c r="A213" s="17" t="inlineStr">
        <is>
          <t>ALL</t>
        </is>
      </c>
      <c r="B213" s="18" t="inlineStr">
        <is>
          <t>Cadillac CTS</t>
        </is>
      </c>
      <c r="C213" s="18" t="inlineStr">
        <is>
          <t>Cadillac</t>
        </is>
      </c>
      <c r="D213" s="18" t="inlineStr">
        <is>
          <t>CTS</t>
        </is>
      </c>
      <c r="E213" s="18" t="inlineStr">
        <is>
          <t>2003-2013</t>
        </is>
      </c>
      <c r="F213" s="18" t="inlineStr">
        <is>
          <t>Incl: CTS-V</t>
        </is>
      </c>
      <c r="G213" s="18" t="inlineStr">
        <is>
          <t>Sedan</t>
        </is>
      </c>
      <c r="H213" s="18" t="inlineStr">
        <is>
          <t>3XL</t>
        </is>
      </c>
      <c r="I213" s="19">
        <f t="array" ref="I213">TRIM(_xlfn.XLOOKUP(非皮卡压缩表[[#This Row],[BACKSIZE]],ALL尺码表[内部尺码],ALL尺码表[分类],""))</f>
        <v/>
      </c>
      <c r="J213" s="19">
        <f t="array" ref="J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" s="20">
        <f>LEN(非皮卡压缩表[[#This Row],[LONG-TYPE]])</f>
        <v/>
      </c>
      <c r="L213" s="21">
        <f t="array" ref="L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" s="22">
        <f>LEN(非皮卡压缩表[[#This Row],[TYPE]])</f>
        <v/>
      </c>
      <c r="N213" s="22">
        <f t="array" ref="N213">_xlfn.XLOOKUP(非皮卡压缩表[[#This Row],[MODEL]],MODEL缩写表[长MODEL],MODEL缩写表[短MODEL],非皮卡压缩表[[#This Row],[MODEL]])</f>
        <v/>
      </c>
      <c r="O213" s="22">
        <f>LEN(非皮卡压缩表[[#This Row],[SHORT-MODEL]])</f>
        <v/>
      </c>
      <c r="P213" s="11">
        <f t="array" ref="P213">TRIM(_xlfn.XLOOKUP(非皮卡压缩表[[#This Row],[BACKSIZE]],ALL尺码表[内部尺码],ALL尺码表[通用尺码]))</f>
        <v/>
      </c>
    </row>
    <row r="214">
      <c r="A214" s="17" t="inlineStr">
        <is>
          <t>ALL</t>
        </is>
      </c>
      <c r="B214" s="18" t="inlineStr">
        <is>
          <t>Cadillac CTS</t>
        </is>
      </c>
      <c r="C214" s="18" t="inlineStr">
        <is>
          <t>Cadillac</t>
        </is>
      </c>
      <c r="D214" s="18" t="inlineStr">
        <is>
          <t>CTS</t>
        </is>
      </c>
      <c r="E214" s="18" t="inlineStr">
        <is>
          <t>2010-2014</t>
        </is>
      </c>
      <c r="F214" s="18" t="inlineStr"/>
      <c r="G214" s="18" t="inlineStr">
        <is>
          <t>Wagon</t>
        </is>
      </c>
      <c r="H214" s="18" t="inlineStr">
        <is>
          <t>2XL+</t>
        </is>
      </c>
      <c r="I214" s="19">
        <f t="array" ref="I214">TRIM(_xlfn.XLOOKUP(非皮卡压缩表[[#This Row],[BACKSIZE]],ALL尺码表[内部尺码],ALL尺码表[分类],""))</f>
        <v/>
      </c>
      <c r="J214" s="19">
        <f t="array" ref="J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" s="20">
        <f>LEN(非皮卡压缩表[[#This Row],[LONG-TYPE]])</f>
        <v/>
      </c>
      <c r="L214" s="21">
        <f t="array" ref="L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" s="22">
        <f>LEN(非皮卡压缩表[[#This Row],[TYPE]])</f>
        <v/>
      </c>
      <c r="N214" s="22">
        <f t="array" ref="N214">_xlfn.XLOOKUP(非皮卡压缩表[[#This Row],[MODEL]],MODEL缩写表[长MODEL],MODEL缩写表[短MODEL],非皮卡压缩表[[#This Row],[MODEL]])</f>
        <v/>
      </c>
      <c r="O214" s="22">
        <f>LEN(非皮卡压缩表[[#This Row],[SHORT-MODEL]])</f>
        <v/>
      </c>
      <c r="P214" s="11">
        <f t="array" ref="P214">TRIM(_xlfn.XLOOKUP(非皮卡压缩表[[#This Row],[BACKSIZE]],ALL尺码表[内部尺码],ALL尺码表[通用尺码]))</f>
        <v/>
      </c>
    </row>
    <row r="215">
      <c r="A215" s="17" t="inlineStr">
        <is>
          <t>ALL</t>
        </is>
      </c>
      <c r="B215" s="18" t="inlineStr">
        <is>
          <t>Cadillac CTS</t>
        </is>
      </c>
      <c r="C215" s="18" t="inlineStr">
        <is>
          <t>Cadillac</t>
        </is>
      </c>
      <c r="D215" s="18" t="inlineStr">
        <is>
          <t>CTS</t>
        </is>
      </c>
      <c r="E215" s="18" t="inlineStr">
        <is>
          <t>2011-2015</t>
        </is>
      </c>
      <c r="F215" s="18" t="inlineStr"/>
      <c r="G215" s="18" t="inlineStr">
        <is>
          <t>Coupe</t>
        </is>
      </c>
      <c r="H215" s="18" t="inlineStr">
        <is>
          <t>3XL-0</t>
        </is>
      </c>
      <c r="I215" s="19">
        <f t="array" ref="I215">TRIM(_xlfn.XLOOKUP(非皮卡压缩表[[#This Row],[BACKSIZE]],ALL尺码表[内部尺码],ALL尺码表[分类],""))</f>
        <v/>
      </c>
      <c r="J215" s="19">
        <f t="array" ref="J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" s="20">
        <f>LEN(非皮卡压缩表[[#This Row],[LONG-TYPE]])</f>
        <v/>
      </c>
      <c r="L215" s="21">
        <f t="array" ref="L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" s="22">
        <f>LEN(非皮卡压缩表[[#This Row],[TYPE]])</f>
        <v/>
      </c>
      <c r="N215" s="22">
        <f t="array" ref="N215">_xlfn.XLOOKUP(非皮卡压缩表[[#This Row],[MODEL]],MODEL缩写表[长MODEL],MODEL缩写表[短MODEL],非皮卡压缩表[[#This Row],[MODEL]])</f>
        <v/>
      </c>
      <c r="O215" s="22">
        <f>LEN(非皮卡压缩表[[#This Row],[SHORT-MODEL]])</f>
        <v/>
      </c>
      <c r="P215" s="11">
        <f t="array" ref="P215">TRIM(_xlfn.XLOOKUP(非皮卡压缩表[[#This Row],[BACKSIZE]],ALL尺码表[内部尺码],ALL尺码表[通用尺码]))</f>
        <v/>
      </c>
    </row>
    <row r="216">
      <c r="A216" s="17" t="inlineStr">
        <is>
          <t>ALL</t>
        </is>
      </c>
      <c r="B216" s="18" t="inlineStr">
        <is>
          <t>Cadillac CTS</t>
        </is>
      </c>
      <c r="C216" s="18" t="inlineStr">
        <is>
          <t>Cadillac</t>
        </is>
      </c>
      <c r="D216" s="18" t="inlineStr">
        <is>
          <t>CTS</t>
        </is>
      </c>
      <c r="E216" s="18" t="inlineStr">
        <is>
          <t>2014-2019</t>
        </is>
      </c>
      <c r="F216" s="18" t="inlineStr"/>
      <c r="G216" s="18" t="inlineStr">
        <is>
          <t>Sedan</t>
        </is>
      </c>
      <c r="H216" s="18" t="inlineStr">
        <is>
          <t>3XXL</t>
        </is>
      </c>
      <c r="I216" s="19">
        <f t="array" ref="I216">TRIM(_xlfn.XLOOKUP(非皮卡压缩表[[#This Row],[BACKSIZE]],ALL尺码表[内部尺码],ALL尺码表[分类],""))</f>
        <v/>
      </c>
      <c r="J216" s="19">
        <f t="array" ref="J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" s="20">
        <f>LEN(非皮卡压缩表[[#This Row],[LONG-TYPE]])</f>
        <v/>
      </c>
      <c r="L216" s="21">
        <f t="array" ref="L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" s="22">
        <f>LEN(非皮卡压缩表[[#This Row],[TYPE]])</f>
        <v/>
      </c>
      <c r="N216" s="22">
        <f t="array" ref="N216">_xlfn.XLOOKUP(非皮卡压缩表[[#This Row],[MODEL]],MODEL缩写表[长MODEL],MODEL缩写表[短MODEL],非皮卡压缩表[[#This Row],[MODEL]])</f>
        <v/>
      </c>
      <c r="O216" s="22">
        <f>LEN(非皮卡压缩表[[#This Row],[SHORT-MODEL]])</f>
        <v/>
      </c>
      <c r="P216" s="11">
        <f t="array" ref="P216">TRIM(_xlfn.XLOOKUP(非皮卡压缩表[[#This Row],[BACKSIZE]],ALL尺码表[内部尺码],ALL尺码表[通用尺码]))</f>
        <v/>
      </c>
    </row>
    <row r="217">
      <c r="A217" s="17" t="inlineStr">
        <is>
          <t>ALL</t>
        </is>
      </c>
      <c r="B217" s="18" t="inlineStr">
        <is>
          <t>Cadillac Catera</t>
        </is>
      </c>
      <c r="C217" s="18" t="inlineStr">
        <is>
          <t>Cadillac</t>
        </is>
      </c>
      <c r="D217" s="18" t="inlineStr">
        <is>
          <t>Catera</t>
        </is>
      </c>
      <c r="E217" s="18" t="inlineStr">
        <is>
          <t>1997-2001</t>
        </is>
      </c>
      <c r="F217" s="18" t="inlineStr"/>
      <c r="G217" s="18" t="inlineStr">
        <is>
          <t>Sedan</t>
        </is>
      </c>
      <c r="H217" s="18" t="inlineStr">
        <is>
          <t>3XXL</t>
        </is>
      </c>
      <c r="I217" s="19">
        <f t="array" ref="I217">TRIM(_xlfn.XLOOKUP(非皮卡压缩表[[#This Row],[BACKSIZE]],ALL尺码表[内部尺码],ALL尺码表[分类],""))</f>
        <v/>
      </c>
      <c r="J217" s="19">
        <f t="array" ref="J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" s="20">
        <f>LEN(非皮卡压缩表[[#This Row],[LONG-TYPE]])</f>
        <v/>
      </c>
      <c r="L217" s="21">
        <f t="array" ref="L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" s="22">
        <f>LEN(非皮卡压缩表[[#This Row],[TYPE]])</f>
        <v/>
      </c>
      <c r="N217" s="22">
        <f t="array" ref="N217">_xlfn.XLOOKUP(非皮卡压缩表[[#This Row],[MODEL]],MODEL缩写表[长MODEL],MODEL缩写表[短MODEL],非皮卡压缩表[[#This Row],[MODEL]])</f>
        <v/>
      </c>
      <c r="O217" s="22">
        <f>LEN(非皮卡压缩表[[#This Row],[SHORT-MODEL]])</f>
        <v/>
      </c>
      <c r="P217" s="11">
        <f t="array" ref="P217">TRIM(_xlfn.XLOOKUP(非皮卡压缩表[[#This Row],[BACKSIZE]],ALL尺码表[内部尺码],ALL尺码表[通用尺码]))</f>
        <v/>
      </c>
    </row>
    <row r="218">
      <c r="A218" s="17" t="inlineStr">
        <is>
          <t>ALL</t>
        </is>
      </c>
      <c r="B218" s="18" t="inlineStr">
        <is>
          <t>Cadillac DTS</t>
        </is>
      </c>
      <c r="C218" s="18" t="inlineStr">
        <is>
          <t>Cadillac</t>
        </is>
      </c>
      <c r="D218" s="18" t="inlineStr">
        <is>
          <t>DTS</t>
        </is>
      </c>
      <c r="E218" s="18" t="inlineStr">
        <is>
          <t>2006-2011</t>
        </is>
      </c>
      <c r="F218" s="18" t="inlineStr"/>
      <c r="G218" s="18" t="inlineStr">
        <is>
          <t>Sedan</t>
        </is>
      </c>
      <c r="H218" s="18" t="inlineStr">
        <is>
          <t>3XXL</t>
        </is>
      </c>
      <c r="I218" s="19">
        <f t="array" ref="I218">TRIM(_xlfn.XLOOKUP(非皮卡压缩表[[#This Row],[BACKSIZE]],ALL尺码表[内部尺码],ALL尺码表[分类],""))</f>
        <v/>
      </c>
      <c r="J218" s="19">
        <f t="array" ref="J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" s="20">
        <f>LEN(非皮卡压缩表[[#This Row],[LONG-TYPE]])</f>
        <v/>
      </c>
      <c r="L218" s="21">
        <f t="array" ref="L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" s="22">
        <f>LEN(非皮卡压缩表[[#This Row],[TYPE]])</f>
        <v/>
      </c>
      <c r="N218" s="22">
        <f t="array" ref="N218">_xlfn.XLOOKUP(非皮卡压缩表[[#This Row],[MODEL]],MODEL缩写表[长MODEL],MODEL缩写表[短MODEL],非皮卡压缩表[[#This Row],[MODEL]])</f>
        <v/>
      </c>
      <c r="O218" s="22">
        <f>LEN(非皮卡压缩表[[#This Row],[SHORT-MODEL]])</f>
        <v/>
      </c>
      <c r="P218" s="11">
        <f t="array" ref="P218">TRIM(_xlfn.XLOOKUP(非皮卡压缩表[[#This Row],[BACKSIZE]],ALL尺码表[内部尺码],ALL尺码表[通用尺码]))</f>
        <v/>
      </c>
    </row>
    <row r="219">
      <c r="A219" s="17" t="inlineStr">
        <is>
          <t>ALL</t>
        </is>
      </c>
      <c r="B219" s="18" t="inlineStr">
        <is>
          <t>Cadillac DTS-L</t>
        </is>
      </c>
      <c r="C219" s="18" t="inlineStr">
        <is>
          <t>Cadillac</t>
        </is>
      </c>
      <c r="D219" s="18" t="inlineStr">
        <is>
          <t>DTS-L</t>
        </is>
      </c>
      <c r="E219" s="18" t="inlineStr">
        <is>
          <t>2007-2011</t>
        </is>
      </c>
      <c r="F219" s="18" t="inlineStr"/>
      <c r="G219" s="18" t="inlineStr">
        <is>
          <t>Sedan</t>
        </is>
      </c>
      <c r="H219" s="18" t="inlineStr">
        <is>
          <t>3XXXL</t>
        </is>
      </c>
      <c r="I219" s="19">
        <f t="array" ref="I219">TRIM(_xlfn.XLOOKUP(非皮卡压缩表[[#This Row],[BACKSIZE]],ALL尺码表[内部尺码],ALL尺码表[分类],""))</f>
        <v/>
      </c>
      <c r="J219" s="19">
        <f t="array" ref="J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" s="20">
        <f>LEN(非皮卡压缩表[[#This Row],[LONG-TYPE]])</f>
        <v/>
      </c>
      <c r="L219" s="21">
        <f t="array" ref="L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" s="22">
        <f>LEN(非皮卡压缩表[[#This Row],[TYPE]])</f>
        <v/>
      </c>
      <c r="N219" s="22">
        <f t="array" ref="N219">_xlfn.XLOOKUP(非皮卡压缩表[[#This Row],[MODEL]],MODEL缩写表[长MODEL],MODEL缩写表[短MODEL],非皮卡压缩表[[#This Row],[MODEL]])</f>
        <v/>
      </c>
      <c r="O219" s="22">
        <f>LEN(非皮卡压缩表[[#This Row],[SHORT-MODEL]])</f>
        <v/>
      </c>
      <c r="P219" s="11">
        <f t="array" ref="P219">TRIM(_xlfn.XLOOKUP(非皮卡压缩表[[#This Row],[BACKSIZE]],ALL尺码表[内部尺码],ALL尺码表[通用尺码]))</f>
        <v/>
      </c>
    </row>
    <row r="220">
      <c r="A220" s="17" t="inlineStr">
        <is>
          <t>ALL</t>
        </is>
      </c>
      <c r="B220" s="18" t="inlineStr">
        <is>
          <t>Cadillac DeVille</t>
        </is>
      </c>
      <c r="C220" s="18" t="inlineStr">
        <is>
          <t>Cadillac</t>
        </is>
      </c>
      <c r="D220" s="18" t="inlineStr">
        <is>
          <t>DeVille</t>
        </is>
      </c>
      <c r="E220" s="18" t="inlineStr">
        <is>
          <t>1949-1950</t>
        </is>
      </c>
      <c r="F220" s="18" t="inlineStr"/>
      <c r="G220" s="18" t="inlineStr">
        <is>
          <t>Coupe</t>
        </is>
      </c>
      <c r="H220" s="18" t="inlineStr">
        <is>
          <t>3XXXL-0</t>
        </is>
      </c>
      <c r="I220" s="19">
        <f t="array" ref="I220">TRIM(_xlfn.XLOOKUP(非皮卡压缩表[[#This Row],[BACKSIZE]],ALL尺码表[内部尺码],ALL尺码表[分类],""))</f>
        <v/>
      </c>
      <c r="J220" s="19">
        <f t="array" ref="J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" s="20">
        <f>LEN(非皮卡压缩表[[#This Row],[LONG-TYPE]])</f>
        <v/>
      </c>
      <c r="L220" s="21">
        <f t="array" ref="L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" s="22">
        <f>LEN(非皮卡压缩表[[#This Row],[TYPE]])</f>
        <v/>
      </c>
      <c r="N220" s="22">
        <f t="array" ref="N220">_xlfn.XLOOKUP(非皮卡压缩表[[#This Row],[MODEL]],MODEL缩写表[长MODEL],MODEL缩写表[短MODEL],非皮卡压缩表[[#This Row],[MODEL]])</f>
        <v/>
      </c>
      <c r="O220" s="22">
        <f>LEN(非皮卡压缩表[[#This Row],[SHORT-MODEL]])</f>
        <v/>
      </c>
      <c r="P220" s="11">
        <f t="array" ref="P220">TRIM(_xlfn.XLOOKUP(非皮卡压缩表[[#This Row],[BACKSIZE]],ALL尺码表[内部尺码],ALL尺码表[通用尺码]))</f>
        <v/>
      </c>
    </row>
    <row r="221">
      <c r="A221" s="17" t="inlineStr">
        <is>
          <t>ALL</t>
        </is>
      </c>
      <c r="B221" s="18" t="inlineStr">
        <is>
          <t>Cadillac DeVille</t>
        </is>
      </c>
      <c r="C221" s="18" t="inlineStr">
        <is>
          <t>Cadillac</t>
        </is>
      </c>
      <c r="D221" s="18" t="inlineStr">
        <is>
          <t>DeVille</t>
        </is>
      </c>
      <c r="E221" s="18" t="inlineStr">
        <is>
          <t>1951-1956</t>
        </is>
      </c>
      <c r="F221" s="18" t="inlineStr"/>
      <c r="G221" s="18" t="inlineStr">
        <is>
          <t>Coupe</t>
        </is>
      </c>
      <c r="H221" s="18" t="inlineStr">
        <is>
          <t>3XXXXL-0</t>
        </is>
      </c>
      <c r="I221" s="19">
        <f t="array" ref="I221">TRIM(_xlfn.XLOOKUP(非皮卡压缩表[[#This Row],[BACKSIZE]],ALL尺码表[内部尺码],ALL尺码表[分类],""))</f>
        <v/>
      </c>
      <c r="J221" s="19">
        <f t="array" ref="J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" s="20">
        <f>LEN(非皮卡压缩表[[#This Row],[LONG-TYPE]])</f>
        <v/>
      </c>
      <c r="L221" s="21">
        <f t="array" ref="L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" s="22">
        <f>LEN(非皮卡压缩表[[#This Row],[TYPE]])</f>
        <v/>
      </c>
      <c r="N221" s="22">
        <f t="array" ref="N221">_xlfn.XLOOKUP(非皮卡压缩表[[#This Row],[MODEL]],MODEL缩写表[长MODEL],MODEL缩写表[短MODEL],非皮卡压缩表[[#This Row],[MODEL]])</f>
        <v/>
      </c>
      <c r="O221" s="22">
        <f>LEN(非皮卡压缩表[[#This Row],[SHORT-MODEL]])</f>
        <v/>
      </c>
      <c r="P221" s="11">
        <f t="array" ref="P221">TRIM(_xlfn.XLOOKUP(非皮卡压缩表[[#This Row],[BACKSIZE]],ALL尺码表[内部尺码],ALL尺码表[通用尺码]))</f>
        <v/>
      </c>
    </row>
    <row r="222">
      <c r="A222" s="17" t="inlineStr">
        <is>
          <t>ALL</t>
        </is>
      </c>
      <c r="B222" s="18" t="inlineStr">
        <is>
          <t>Cadillac DeVille</t>
        </is>
      </c>
      <c r="C222" s="18" t="inlineStr">
        <is>
          <t>Cadillac</t>
        </is>
      </c>
      <c r="D222" s="18" t="inlineStr">
        <is>
          <t>DeVille</t>
        </is>
      </c>
      <c r="E222" s="18" t="inlineStr">
        <is>
          <t>1956-1984</t>
        </is>
      </c>
      <c r="F222" s="18" t="inlineStr"/>
      <c r="G222" s="18" t="inlineStr">
        <is>
          <t>Sedan</t>
        </is>
      </c>
      <c r="H222" s="18" t="inlineStr">
        <is>
          <t>无可用尺码</t>
        </is>
      </c>
      <c r="I222" s="19">
        <f t="array" ref="I222">TRIM(_xlfn.XLOOKUP(非皮卡压缩表[[#This Row],[BACKSIZE]],ALL尺码表[内部尺码],ALL尺码表[分类],""))</f>
        <v/>
      </c>
      <c r="J222" s="19">
        <f t="array" ref="J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" s="20">
        <f>LEN(非皮卡压缩表[[#This Row],[LONG-TYPE]])</f>
        <v/>
      </c>
      <c r="L222" s="21">
        <f t="array" ref="L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" s="22">
        <f>LEN(非皮卡压缩表[[#This Row],[TYPE]])</f>
        <v/>
      </c>
      <c r="N222" s="22">
        <f t="array" ref="N222">_xlfn.XLOOKUP(非皮卡压缩表[[#This Row],[MODEL]],MODEL缩写表[长MODEL],MODEL缩写表[短MODEL],非皮卡压缩表[[#This Row],[MODEL]])</f>
        <v/>
      </c>
      <c r="O222" s="22">
        <f>LEN(非皮卡压缩表[[#This Row],[SHORT-MODEL]])</f>
        <v/>
      </c>
      <c r="P222" s="11">
        <f t="array" ref="P222">TRIM(_xlfn.XLOOKUP(非皮卡压缩表[[#This Row],[BACKSIZE]],ALL尺码表[内部尺码],ALL尺码表[通用尺码]))</f>
        <v/>
      </c>
    </row>
    <row r="223">
      <c r="A223" s="17" t="inlineStr">
        <is>
          <t>ALL</t>
        </is>
      </c>
      <c r="B223" s="18" t="inlineStr">
        <is>
          <t>Cadillac DeVille</t>
        </is>
      </c>
      <c r="C223" s="18" t="inlineStr">
        <is>
          <t>Cadillac</t>
        </is>
      </c>
      <c r="D223" s="18" t="inlineStr">
        <is>
          <t>DeVille</t>
        </is>
      </c>
      <c r="E223" s="18" t="inlineStr">
        <is>
          <t>1957</t>
        </is>
      </c>
      <c r="F223" s="18" t="inlineStr"/>
      <c r="G223" s="18" t="inlineStr">
        <is>
          <t>Coupe</t>
        </is>
      </c>
      <c r="H223" s="18" t="inlineStr">
        <is>
          <t>3XXXL-0</t>
        </is>
      </c>
      <c r="I223" s="19">
        <f t="array" ref="I223">TRIM(_xlfn.XLOOKUP(非皮卡压缩表[[#This Row],[BACKSIZE]],ALL尺码表[内部尺码],ALL尺码表[分类],""))</f>
        <v/>
      </c>
      <c r="J223" s="19">
        <f t="array" ref="J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" s="20">
        <f>LEN(非皮卡压缩表[[#This Row],[LONG-TYPE]])</f>
        <v/>
      </c>
      <c r="L223" s="21">
        <f t="array" ref="L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" s="22">
        <f>LEN(非皮卡压缩表[[#This Row],[TYPE]])</f>
        <v/>
      </c>
      <c r="N223" s="22">
        <f t="array" ref="N223">_xlfn.XLOOKUP(非皮卡压缩表[[#This Row],[MODEL]],MODEL缩写表[长MODEL],MODEL缩写表[短MODEL],非皮卡压缩表[[#This Row],[MODEL]])</f>
        <v/>
      </c>
      <c r="O223" s="22">
        <f>LEN(非皮卡压缩表[[#This Row],[SHORT-MODEL]])</f>
        <v/>
      </c>
      <c r="P223" s="11">
        <f t="array" ref="P223">TRIM(_xlfn.XLOOKUP(非皮卡压缩表[[#This Row],[BACKSIZE]],ALL尺码表[内部尺码],ALL尺码表[通用尺码]))</f>
        <v/>
      </c>
    </row>
    <row r="224">
      <c r="A224" s="17" t="inlineStr">
        <is>
          <t>ALL</t>
        </is>
      </c>
      <c r="B224" s="18" t="inlineStr">
        <is>
          <t>Cadillac DeVille</t>
        </is>
      </c>
      <c r="C224" s="18" t="inlineStr">
        <is>
          <t>Cadillac</t>
        </is>
      </c>
      <c r="D224" s="18" t="inlineStr">
        <is>
          <t>DeVille</t>
        </is>
      </c>
      <c r="E224" s="18" t="inlineStr">
        <is>
          <t>1958-1984</t>
        </is>
      </c>
      <c r="F224" s="18" t="inlineStr"/>
      <c r="G224" s="18" t="inlineStr">
        <is>
          <t>Convertible/Coupe</t>
        </is>
      </c>
      <c r="H224" s="18" t="inlineStr">
        <is>
          <t>3XXXXL-0</t>
        </is>
      </c>
      <c r="I224" s="19">
        <f t="array" ref="I224">TRIM(_xlfn.XLOOKUP(非皮卡压缩表[[#This Row],[BACKSIZE]],ALL尺码表[内部尺码],ALL尺码表[分类],""))</f>
        <v/>
      </c>
      <c r="J224" s="19">
        <f t="array" ref="J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" s="20">
        <f>LEN(非皮卡压缩表[[#This Row],[LONG-TYPE]])</f>
        <v/>
      </c>
      <c r="L224" s="21">
        <f t="array" ref="L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" s="22">
        <f>LEN(非皮卡压缩表[[#This Row],[TYPE]])</f>
        <v/>
      </c>
      <c r="N224" s="22">
        <f t="array" ref="N224">_xlfn.XLOOKUP(非皮卡压缩表[[#This Row],[MODEL]],MODEL缩写表[长MODEL],MODEL缩写表[短MODEL],非皮卡压缩表[[#This Row],[MODEL]])</f>
        <v/>
      </c>
      <c r="O224" s="22">
        <f>LEN(非皮卡压缩表[[#This Row],[SHORT-MODEL]])</f>
        <v/>
      </c>
      <c r="P224" s="11">
        <f t="array" ref="P224">TRIM(_xlfn.XLOOKUP(非皮卡压缩表[[#This Row],[BACKSIZE]],ALL尺码表[内部尺码],ALL尺码表[通用尺码]))</f>
        <v/>
      </c>
    </row>
    <row r="225">
      <c r="A225" s="17" t="inlineStr">
        <is>
          <t>ALL</t>
        </is>
      </c>
      <c r="B225" s="18" t="inlineStr">
        <is>
          <t>Cadillac DeVille</t>
        </is>
      </c>
      <c r="C225" s="18" t="inlineStr">
        <is>
          <t>Cadillac</t>
        </is>
      </c>
      <c r="D225" s="18" t="inlineStr">
        <is>
          <t>DeVille</t>
        </is>
      </c>
      <c r="E225" s="18" t="inlineStr">
        <is>
          <t>1985-1988</t>
        </is>
      </c>
      <c r="F225" s="18" t="inlineStr"/>
      <c r="G225" s="18" t="inlineStr">
        <is>
          <t>Coupe</t>
        </is>
      </c>
      <c r="H225" s="18" t="inlineStr">
        <is>
          <t>3XL+0</t>
        </is>
      </c>
      <c r="I225" s="19">
        <f t="array" ref="I225">TRIM(_xlfn.XLOOKUP(非皮卡压缩表[[#This Row],[BACKSIZE]],ALL尺码表[内部尺码],ALL尺码表[分类],""))</f>
        <v/>
      </c>
      <c r="J225" s="19">
        <f t="array" ref="J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" s="20">
        <f>LEN(非皮卡压缩表[[#This Row],[LONG-TYPE]])</f>
        <v/>
      </c>
      <c r="L225" s="21">
        <f t="array" ref="L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" s="22">
        <f>LEN(非皮卡压缩表[[#This Row],[TYPE]])</f>
        <v/>
      </c>
      <c r="N225" s="22">
        <f t="array" ref="N225">_xlfn.XLOOKUP(非皮卡压缩表[[#This Row],[MODEL]],MODEL缩写表[长MODEL],MODEL缩写表[短MODEL],非皮卡压缩表[[#This Row],[MODEL]])</f>
        <v/>
      </c>
      <c r="O225" s="22">
        <f>LEN(非皮卡压缩表[[#This Row],[SHORT-MODEL]])</f>
        <v/>
      </c>
      <c r="P225" s="11">
        <f t="array" ref="P225">TRIM(_xlfn.XLOOKUP(非皮卡压缩表[[#This Row],[BACKSIZE]],ALL尺码表[内部尺码],ALL尺码表[通用尺码]))</f>
        <v/>
      </c>
    </row>
    <row r="226">
      <c r="A226" s="17" t="inlineStr">
        <is>
          <t>ALL</t>
        </is>
      </c>
      <c r="B226" s="18" t="inlineStr">
        <is>
          <t>Cadillac DeVille</t>
        </is>
      </c>
      <c r="C226" s="18" t="inlineStr">
        <is>
          <t>Cadillac</t>
        </is>
      </c>
      <c r="D226" s="18" t="inlineStr">
        <is>
          <t>DeVille</t>
        </is>
      </c>
      <c r="E226" s="18" t="inlineStr">
        <is>
          <t>1985-1993</t>
        </is>
      </c>
      <c r="F226" s="18" t="inlineStr"/>
      <c r="G226" s="18" t="inlineStr">
        <is>
          <t>Sedan</t>
        </is>
      </c>
      <c r="H226" s="18" t="inlineStr">
        <is>
          <t>3XXL</t>
        </is>
      </c>
      <c r="I226" s="19">
        <f t="array" ref="I226">TRIM(_xlfn.XLOOKUP(非皮卡压缩表[[#This Row],[BACKSIZE]],ALL尺码表[内部尺码],ALL尺码表[分类],""))</f>
        <v/>
      </c>
      <c r="J226" s="19">
        <f t="array" ref="J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" s="20">
        <f>LEN(非皮卡压缩表[[#This Row],[LONG-TYPE]])</f>
        <v/>
      </c>
      <c r="L226" s="21">
        <f t="array" ref="L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" s="22">
        <f>LEN(非皮卡压缩表[[#This Row],[TYPE]])</f>
        <v/>
      </c>
      <c r="N226" s="22">
        <f t="array" ref="N226">_xlfn.XLOOKUP(非皮卡压缩表[[#This Row],[MODEL]],MODEL缩写表[长MODEL],MODEL缩写表[短MODEL],非皮卡压缩表[[#This Row],[MODEL]])</f>
        <v/>
      </c>
      <c r="O226" s="22">
        <f>LEN(非皮卡压缩表[[#This Row],[SHORT-MODEL]])</f>
        <v/>
      </c>
      <c r="P226" s="11">
        <f t="array" ref="P226">TRIM(_xlfn.XLOOKUP(非皮卡压缩表[[#This Row],[BACKSIZE]],ALL尺码表[内部尺码],ALL尺码表[通用尺码]))</f>
        <v/>
      </c>
    </row>
    <row r="227">
      <c r="A227" s="17" t="inlineStr">
        <is>
          <t>ALL</t>
        </is>
      </c>
      <c r="B227" s="18" t="inlineStr">
        <is>
          <t>Cadillac DeVille</t>
        </is>
      </c>
      <c r="C227" s="18" t="inlineStr">
        <is>
          <t>Cadillac</t>
        </is>
      </c>
      <c r="D227" s="18" t="inlineStr">
        <is>
          <t>DeVille</t>
        </is>
      </c>
      <c r="E227" s="18" t="inlineStr">
        <is>
          <t>1989</t>
        </is>
      </c>
      <c r="F227" s="18" t="inlineStr"/>
      <c r="G227" s="18" t="inlineStr">
        <is>
          <t>Coupe</t>
        </is>
      </c>
      <c r="H227" s="18" t="inlineStr">
        <is>
          <t>3XXL-0</t>
        </is>
      </c>
      <c r="I227" s="19">
        <f t="array" ref="I227">TRIM(_xlfn.XLOOKUP(非皮卡压缩表[[#This Row],[BACKSIZE]],ALL尺码表[内部尺码],ALL尺码表[分类],""))</f>
        <v/>
      </c>
      <c r="J227" s="19">
        <f t="array" ref="J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" s="20">
        <f>LEN(非皮卡压缩表[[#This Row],[LONG-TYPE]])</f>
        <v/>
      </c>
      <c r="L227" s="21">
        <f t="array" ref="L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" s="22">
        <f>LEN(非皮卡压缩表[[#This Row],[TYPE]])</f>
        <v/>
      </c>
      <c r="N227" s="22">
        <f t="array" ref="N227">_xlfn.XLOOKUP(非皮卡压缩表[[#This Row],[MODEL]],MODEL缩写表[长MODEL],MODEL缩写表[短MODEL],非皮卡压缩表[[#This Row],[MODEL]])</f>
        <v/>
      </c>
      <c r="O227" s="22">
        <f>LEN(非皮卡压缩表[[#This Row],[SHORT-MODEL]])</f>
        <v/>
      </c>
      <c r="P227" s="11">
        <f t="array" ref="P227">TRIM(_xlfn.XLOOKUP(非皮卡压缩表[[#This Row],[BACKSIZE]],ALL尺码表[内部尺码],ALL尺码表[通用尺码]))</f>
        <v/>
      </c>
    </row>
    <row r="228">
      <c r="A228" s="17" t="inlineStr">
        <is>
          <t>ALL</t>
        </is>
      </c>
      <c r="B228" s="18" t="inlineStr">
        <is>
          <t>Cadillac DeVille</t>
        </is>
      </c>
      <c r="C228" s="18" t="inlineStr">
        <is>
          <t>Cadillac</t>
        </is>
      </c>
      <c r="D228" s="18" t="inlineStr">
        <is>
          <t>DeVille</t>
        </is>
      </c>
      <c r="E228" s="18" t="inlineStr">
        <is>
          <t>1994-1999</t>
        </is>
      </c>
      <c r="F228" s="18" t="inlineStr"/>
      <c r="G228" s="18" t="inlineStr">
        <is>
          <t>Sedan</t>
        </is>
      </c>
      <c r="H228" s="18" t="inlineStr">
        <is>
          <t>3XXXL</t>
        </is>
      </c>
      <c r="I228" s="19">
        <f t="array" ref="I228">TRIM(_xlfn.XLOOKUP(非皮卡压缩表[[#This Row],[BACKSIZE]],ALL尺码表[内部尺码],ALL尺码表[分类],""))</f>
        <v/>
      </c>
      <c r="J228" s="19">
        <f t="array" ref="J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" s="20">
        <f>LEN(非皮卡压缩表[[#This Row],[LONG-TYPE]])</f>
        <v/>
      </c>
      <c r="L228" s="21">
        <f t="array" ref="L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" s="22">
        <f>LEN(非皮卡压缩表[[#This Row],[TYPE]])</f>
        <v/>
      </c>
      <c r="N228" s="22">
        <f t="array" ref="N228">_xlfn.XLOOKUP(非皮卡压缩表[[#This Row],[MODEL]],MODEL缩写表[长MODEL],MODEL缩写表[短MODEL],非皮卡压缩表[[#This Row],[MODEL]])</f>
        <v/>
      </c>
      <c r="O228" s="22">
        <f>LEN(非皮卡压缩表[[#This Row],[SHORT-MODEL]])</f>
        <v/>
      </c>
      <c r="P228" s="11">
        <f t="array" ref="P228">TRIM(_xlfn.XLOOKUP(非皮卡压缩表[[#This Row],[BACKSIZE]],ALL尺码表[内部尺码],ALL尺码表[通用尺码]))</f>
        <v/>
      </c>
    </row>
    <row r="229">
      <c r="A229" s="17" t="inlineStr">
        <is>
          <t>ALL</t>
        </is>
      </c>
      <c r="B229" s="18" t="inlineStr">
        <is>
          <t>Cadillac DeVille</t>
        </is>
      </c>
      <c r="C229" s="18" t="inlineStr">
        <is>
          <t>Cadillac</t>
        </is>
      </c>
      <c r="D229" s="18" t="inlineStr">
        <is>
          <t>DeVille</t>
        </is>
      </c>
      <c r="E229" s="18" t="inlineStr">
        <is>
          <t>2000-2005</t>
        </is>
      </c>
      <c r="F229" s="18" t="inlineStr"/>
      <c r="G229" s="18" t="inlineStr">
        <is>
          <t>Sedan</t>
        </is>
      </c>
      <c r="H229" s="18" t="inlineStr">
        <is>
          <t>3XXL</t>
        </is>
      </c>
      <c r="I229" s="19">
        <f t="array" ref="I229">TRIM(_xlfn.XLOOKUP(非皮卡压缩表[[#This Row],[BACKSIZE]],ALL尺码表[内部尺码],ALL尺码表[分类],""))</f>
        <v/>
      </c>
      <c r="J229" s="19">
        <f t="array" ref="J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" s="20">
        <f>LEN(非皮卡压缩表[[#This Row],[LONG-TYPE]])</f>
        <v/>
      </c>
      <c r="L229" s="21">
        <f t="array" ref="L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" s="22">
        <f>LEN(非皮卡压缩表[[#This Row],[TYPE]])</f>
        <v/>
      </c>
      <c r="N229" s="22">
        <f t="array" ref="N229">_xlfn.XLOOKUP(非皮卡压缩表[[#This Row],[MODEL]],MODEL缩写表[长MODEL],MODEL缩写表[短MODEL],非皮卡压缩表[[#This Row],[MODEL]])</f>
        <v/>
      </c>
      <c r="O229" s="22">
        <f>LEN(非皮卡压缩表[[#This Row],[SHORT-MODEL]])</f>
        <v/>
      </c>
      <c r="P229" s="11">
        <f t="array" ref="P229">TRIM(_xlfn.XLOOKUP(非皮卡压缩表[[#This Row],[BACKSIZE]],ALL尺码表[内部尺码],ALL尺码表[通用尺码]))</f>
        <v/>
      </c>
    </row>
    <row r="230">
      <c r="A230" s="17" t="inlineStr">
        <is>
          <t>ALL</t>
        </is>
      </c>
      <c r="B230" s="18" t="inlineStr">
        <is>
          <t>Cadillac ELR</t>
        </is>
      </c>
      <c r="C230" s="18" t="inlineStr">
        <is>
          <t>Cadillac</t>
        </is>
      </c>
      <c r="D230" s="18" t="inlineStr">
        <is>
          <t>ELR</t>
        </is>
      </c>
      <c r="E230" s="18" t="inlineStr">
        <is>
          <t>2014-2016</t>
        </is>
      </c>
      <c r="F230" s="18" t="inlineStr"/>
      <c r="G230" s="18" t="inlineStr">
        <is>
          <t>Coupe</t>
        </is>
      </c>
      <c r="H230" s="18" t="inlineStr">
        <is>
          <t>3XL-0</t>
        </is>
      </c>
      <c r="I230" s="19">
        <f t="array" ref="I230">TRIM(_xlfn.XLOOKUP(非皮卡压缩表[[#This Row],[BACKSIZE]],ALL尺码表[内部尺码],ALL尺码表[分类],""))</f>
        <v/>
      </c>
      <c r="J230" s="19">
        <f t="array" ref="J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" s="20">
        <f>LEN(非皮卡压缩表[[#This Row],[LONG-TYPE]])</f>
        <v/>
      </c>
      <c r="L230" s="21">
        <f t="array" ref="L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" s="22">
        <f>LEN(非皮卡压缩表[[#This Row],[TYPE]])</f>
        <v/>
      </c>
      <c r="N230" s="22">
        <f t="array" ref="N230">_xlfn.XLOOKUP(非皮卡压缩表[[#This Row],[MODEL]],MODEL缩写表[长MODEL],MODEL缩写表[短MODEL],非皮卡压缩表[[#This Row],[MODEL]])</f>
        <v/>
      </c>
      <c r="O230" s="22">
        <f>LEN(非皮卡压缩表[[#This Row],[SHORT-MODEL]])</f>
        <v/>
      </c>
      <c r="P230" s="11">
        <f t="array" ref="P230">TRIM(_xlfn.XLOOKUP(非皮卡压缩表[[#This Row],[BACKSIZE]],ALL尺码表[内部尺码],ALL尺码表[通用尺码]))</f>
        <v/>
      </c>
    </row>
    <row r="231">
      <c r="A231" s="17" t="inlineStr">
        <is>
          <t>ALL</t>
        </is>
      </c>
      <c r="B231" s="18" t="inlineStr">
        <is>
          <t>Cadillac Eldorado</t>
        </is>
      </c>
      <c r="C231" s="18" t="inlineStr">
        <is>
          <t>Cadillac</t>
        </is>
      </c>
      <c r="D231" s="18" t="inlineStr">
        <is>
          <t>Eldorado</t>
        </is>
      </c>
      <c r="E231" s="18" t="inlineStr">
        <is>
          <t>1953-1954</t>
        </is>
      </c>
      <c r="F231" s="18" t="inlineStr"/>
      <c r="G231" s="18" t="inlineStr">
        <is>
          <t>Convertible</t>
        </is>
      </c>
      <c r="H231" s="18" t="inlineStr">
        <is>
          <t>3XXXXL-0</t>
        </is>
      </c>
      <c r="I231" s="19">
        <f t="array" ref="I231">TRIM(_xlfn.XLOOKUP(非皮卡压缩表[[#This Row],[BACKSIZE]],ALL尺码表[内部尺码],ALL尺码表[分类],""))</f>
        <v/>
      </c>
      <c r="J231" s="19">
        <f t="array" ref="J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" s="20">
        <f>LEN(非皮卡压缩表[[#This Row],[LONG-TYPE]])</f>
        <v/>
      </c>
      <c r="L231" s="21">
        <f t="array" ref="L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" s="22">
        <f>LEN(非皮卡压缩表[[#This Row],[TYPE]])</f>
        <v/>
      </c>
      <c r="N231" s="22">
        <f t="array" ref="N231">_xlfn.XLOOKUP(非皮卡压缩表[[#This Row],[MODEL]],MODEL缩写表[长MODEL],MODEL缩写表[短MODEL],非皮卡压缩表[[#This Row],[MODEL]])</f>
        <v/>
      </c>
      <c r="O231" s="22">
        <f>LEN(非皮卡压缩表[[#This Row],[SHORT-MODEL]])</f>
        <v/>
      </c>
      <c r="P231" s="11">
        <f t="array" ref="P231">TRIM(_xlfn.XLOOKUP(非皮卡压缩表[[#This Row],[BACKSIZE]],ALL尺码表[内部尺码],ALL尺码表[通用尺码]))</f>
        <v/>
      </c>
    </row>
    <row r="232">
      <c r="A232" s="17" t="inlineStr">
        <is>
          <t>ALL</t>
        </is>
      </c>
      <c r="B232" s="18" t="inlineStr">
        <is>
          <t>Cadillac Eldorado</t>
        </is>
      </c>
      <c r="C232" s="18" t="inlineStr">
        <is>
          <t>Cadillac</t>
        </is>
      </c>
      <c r="D232" s="18" t="inlineStr">
        <is>
          <t>Eldorado</t>
        </is>
      </c>
      <c r="E232" s="18" t="inlineStr">
        <is>
          <t>1955</t>
        </is>
      </c>
      <c r="F232" s="18" t="inlineStr"/>
      <c r="G232" s="18" t="inlineStr">
        <is>
          <t>Convertible/Coupe</t>
        </is>
      </c>
      <c r="H232" s="18" t="inlineStr">
        <is>
          <t>3XXXL-0</t>
        </is>
      </c>
      <c r="I232" s="19">
        <f t="array" ref="I232">TRIM(_xlfn.XLOOKUP(非皮卡压缩表[[#This Row],[BACKSIZE]],ALL尺码表[内部尺码],ALL尺码表[分类],""))</f>
        <v/>
      </c>
      <c r="J232" s="19">
        <f t="array" ref="J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" s="20">
        <f>LEN(非皮卡压缩表[[#This Row],[LONG-TYPE]])</f>
        <v/>
      </c>
      <c r="L232" s="21">
        <f t="array" ref="L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" s="22">
        <f>LEN(非皮卡压缩表[[#This Row],[TYPE]])</f>
        <v/>
      </c>
      <c r="N232" s="22">
        <f t="array" ref="N232">_xlfn.XLOOKUP(非皮卡压缩表[[#This Row],[MODEL]],MODEL缩写表[长MODEL],MODEL缩写表[短MODEL],非皮卡压缩表[[#This Row],[MODEL]])</f>
        <v/>
      </c>
      <c r="O232" s="22">
        <f>LEN(非皮卡压缩表[[#This Row],[SHORT-MODEL]])</f>
        <v/>
      </c>
      <c r="P232" s="11">
        <f t="array" ref="P232">TRIM(_xlfn.XLOOKUP(非皮卡压缩表[[#This Row],[BACKSIZE]],ALL尺码表[内部尺码],ALL尺码表[通用尺码]))</f>
        <v/>
      </c>
    </row>
    <row r="233">
      <c r="A233" s="17" t="inlineStr">
        <is>
          <t>ALL</t>
        </is>
      </c>
      <c r="B233" s="18" t="inlineStr">
        <is>
          <t>Cadillac Eldorado</t>
        </is>
      </c>
      <c r="C233" s="18" t="inlineStr">
        <is>
          <t>Cadillac</t>
        </is>
      </c>
      <c r="D233" s="18" t="inlineStr">
        <is>
          <t>Eldorado</t>
        </is>
      </c>
      <c r="E233" s="18" t="inlineStr">
        <is>
          <t>1956-1978</t>
        </is>
      </c>
      <c r="F233" s="18" t="inlineStr"/>
      <c r="G233" s="18" t="inlineStr">
        <is>
          <t>Convertible/Coupe</t>
        </is>
      </c>
      <c r="H233" s="18" t="inlineStr">
        <is>
          <t>3XXXXL-0</t>
        </is>
      </c>
      <c r="I233" s="19">
        <f t="array" ref="I233">TRIM(_xlfn.XLOOKUP(非皮卡压缩表[[#This Row],[BACKSIZE]],ALL尺码表[内部尺码],ALL尺码表[分类],""))</f>
        <v/>
      </c>
      <c r="J233" s="19">
        <f t="array" ref="J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" s="20">
        <f>LEN(非皮卡压缩表[[#This Row],[LONG-TYPE]])</f>
        <v/>
      </c>
      <c r="L233" s="21">
        <f t="array" ref="L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" s="22">
        <f>LEN(非皮卡压缩表[[#This Row],[TYPE]])</f>
        <v/>
      </c>
      <c r="N233" s="22">
        <f t="array" ref="N233">_xlfn.XLOOKUP(非皮卡压缩表[[#This Row],[MODEL]],MODEL缩写表[长MODEL],MODEL缩写表[短MODEL],非皮卡压缩表[[#This Row],[MODEL]])</f>
        <v/>
      </c>
      <c r="O233" s="22">
        <f>LEN(非皮卡压缩表[[#This Row],[SHORT-MODEL]])</f>
        <v/>
      </c>
      <c r="P233" s="11">
        <f t="array" ref="P233">TRIM(_xlfn.XLOOKUP(非皮卡压缩表[[#This Row],[BACKSIZE]],ALL尺码表[内部尺码],ALL尺码表[通用尺码]))</f>
        <v/>
      </c>
    </row>
    <row r="234">
      <c r="A234" s="17" t="inlineStr">
        <is>
          <t>ALL</t>
        </is>
      </c>
      <c r="B234" s="18" t="inlineStr">
        <is>
          <t>Cadillac Eldorado</t>
        </is>
      </c>
      <c r="C234" s="18" t="inlineStr">
        <is>
          <t>Cadillac</t>
        </is>
      </c>
      <c r="D234" s="18" t="inlineStr">
        <is>
          <t>Eldorado</t>
        </is>
      </c>
      <c r="E234" s="18" t="inlineStr">
        <is>
          <t>1979-1985</t>
        </is>
      </c>
      <c r="F234" s="18" t="inlineStr"/>
      <c r="G234" s="18" t="inlineStr">
        <is>
          <t>Convertible/Coupe</t>
        </is>
      </c>
      <c r="H234" s="18" t="inlineStr">
        <is>
          <t>3XXL-0</t>
        </is>
      </c>
      <c r="I234" s="19">
        <f t="array" ref="I234">TRIM(_xlfn.XLOOKUP(非皮卡压缩表[[#This Row],[BACKSIZE]],ALL尺码表[内部尺码],ALL尺码表[分类],""))</f>
        <v/>
      </c>
      <c r="J234" s="19">
        <f t="array" ref="J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" s="20">
        <f>LEN(非皮卡压缩表[[#This Row],[LONG-TYPE]])</f>
        <v/>
      </c>
      <c r="L234" s="21">
        <f t="array" ref="L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" s="22">
        <f>LEN(非皮卡压缩表[[#This Row],[TYPE]])</f>
        <v/>
      </c>
      <c r="N234" s="22">
        <f t="array" ref="N234">_xlfn.XLOOKUP(非皮卡压缩表[[#This Row],[MODEL]],MODEL缩写表[长MODEL],MODEL缩写表[短MODEL],非皮卡压缩表[[#This Row],[MODEL]])</f>
        <v/>
      </c>
      <c r="O234" s="22">
        <f>LEN(非皮卡压缩表[[#This Row],[SHORT-MODEL]])</f>
        <v/>
      </c>
      <c r="P234" s="11">
        <f t="array" ref="P234">TRIM(_xlfn.XLOOKUP(非皮卡压缩表[[#This Row],[BACKSIZE]],ALL尺码表[内部尺码],ALL尺码表[通用尺码]))</f>
        <v/>
      </c>
    </row>
    <row r="235">
      <c r="A235" s="17" t="inlineStr">
        <is>
          <t>ALL</t>
        </is>
      </c>
      <c r="B235" s="18" t="inlineStr">
        <is>
          <t>Cadillac Eldorado</t>
        </is>
      </c>
      <c r="C235" s="18" t="inlineStr">
        <is>
          <t>Cadillac</t>
        </is>
      </c>
      <c r="D235" s="18" t="inlineStr">
        <is>
          <t>Eldorado</t>
        </is>
      </c>
      <c r="E235" s="18" t="inlineStr">
        <is>
          <t>1986-1991</t>
        </is>
      </c>
      <c r="F235" s="18" t="inlineStr"/>
      <c r="G235" s="18" t="inlineStr">
        <is>
          <t>Coupe</t>
        </is>
      </c>
      <c r="H235" s="18" t="inlineStr">
        <is>
          <t>3XL-0</t>
        </is>
      </c>
      <c r="I235" s="19">
        <f t="array" ref="I235">TRIM(_xlfn.XLOOKUP(非皮卡压缩表[[#This Row],[BACKSIZE]],ALL尺码表[内部尺码],ALL尺码表[分类],""))</f>
        <v/>
      </c>
      <c r="J235" s="19">
        <f t="array" ref="J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" s="20">
        <f>LEN(非皮卡压缩表[[#This Row],[LONG-TYPE]])</f>
        <v/>
      </c>
      <c r="L235" s="21">
        <f t="array" ref="L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" s="22">
        <f>LEN(非皮卡压缩表[[#This Row],[TYPE]])</f>
        <v/>
      </c>
      <c r="N235" s="22">
        <f t="array" ref="N235">_xlfn.XLOOKUP(非皮卡压缩表[[#This Row],[MODEL]],MODEL缩写表[长MODEL],MODEL缩写表[短MODEL],非皮卡压缩表[[#This Row],[MODEL]])</f>
        <v/>
      </c>
      <c r="O235" s="22">
        <f>LEN(非皮卡压缩表[[#This Row],[SHORT-MODEL]])</f>
        <v/>
      </c>
      <c r="P235" s="11">
        <f t="array" ref="P235">TRIM(_xlfn.XLOOKUP(非皮卡压缩表[[#This Row],[BACKSIZE]],ALL尺码表[内部尺码],ALL尺码表[通用尺码]))</f>
        <v/>
      </c>
    </row>
    <row r="236">
      <c r="A236" s="17" t="inlineStr">
        <is>
          <t>ALL</t>
        </is>
      </c>
      <c r="B236" s="18" t="inlineStr">
        <is>
          <t>Cadillac Eldorado</t>
        </is>
      </c>
      <c r="C236" s="18" t="inlineStr">
        <is>
          <t>Cadillac</t>
        </is>
      </c>
      <c r="D236" s="18" t="inlineStr">
        <is>
          <t>Eldorado</t>
        </is>
      </c>
      <c r="E236" s="18" t="inlineStr">
        <is>
          <t>1992-2002</t>
        </is>
      </c>
      <c r="F236" s="18" t="inlineStr"/>
      <c r="G236" s="18" t="inlineStr">
        <is>
          <t>Coupe</t>
        </is>
      </c>
      <c r="H236" s="18" t="inlineStr">
        <is>
          <t>3XL+0</t>
        </is>
      </c>
      <c r="I236" s="19">
        <f t="array" ref="I236">TRIM(_xlfn.XLOOKUP(非皮卡压缩表[[#This Row],[BACKSIZE]],ALL尺码表[内部尺码],ALL尺码表[分类],""))</f>
        <v/>
      </c>
      <c r="J236" s="19">
        <f t="array" ref="J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" s="20">
        <f>LEN(非皮卡压缩表[[#This Row],[LONG-TYPE]])</f>
        <v/>
      </c>
      <c r="L236" s="21">
        <f t="array" ref="L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" s="22">
        <f>LEN(非皮卡压缩表[[#This Row],[TYPE]])</f>
        <v/>
      </c>
      <c r="N236" s="22">
        <f t="array" ref="N236">_xlfn.XLOOKUP(非皮卡压缩表[[#This Row],[MODEL]],MODEL缩写表[长MODEL],MODEL缩写表[短MODEL],非皮卡压缩表[[#This Row],[MODEL]])</f>
        <v/>
      </c>
      <c r="O236" s="22">
        <f>LEN(非皮卡压缩表[[#This Row],[SHORT-MODEL]])</f>
        <v/>
      </c>
      <c r="P236" s="11">
        <f t="array" ref="P236">TRIM(_xlfn.XLOOKUP(非皮卡压缩表[[#This Row],[BACKSIZE]],ALL尺码表[内部尺码],ALL尺码表[通用尺码]))</f>
        <v/>
      </c>
    </row>
    <row r="237">
      <c r="A237" s="17" t="inlineStr">
        <is>
          <t>ALL</t>
        </is>
      </c>
      <c r="B237" s="18" t="inlineStr">
        <is>
          <t>Cadillac Escalade</t>
        </is>
      </c>
      <c r="C237" s="18" t="inlineStr">
        <is>
          <t>Cadillac</t>
        </is>
      </c>
      <c r="D237" s="18" t="inlineStr">
        <is>
          <t>Escalade</t>
        </is>
      </c>
      <c r="E237" s="18" t="inlineStr">
        <is>
          <t>1999-2000</t>
        </is>
      </c>
      <c r="F237" s="18" t="inlineStr"/>
      <c r="G237" s="18" t="inlineStr">
        <is>
          <t>SUV</t>
        </is>
      </c>
      <c r="H237" s="18" t="inlineStr">
        <is>
          <t>YXXL</t>
        </is>
      </c>
      <c r="I237" s="19">
        <f t="array" ref="I237">TRIM(_xlfn.XLOOKUP(非皮卡压缩表[[#This Row],[BACKSIZE]],ALL尺码表[内部尺码],ALL尺码表[分类],""))</f>
        <v/>
      </c>
      <c r="J237" s="19">
        <f t="array" ref="J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" s="20">
        <f>LEN(非皮卡压缩表[[#This Row],[LONG-TYPE]])</f>
        <v/>
      </c>
      <c r="L237" s="21">
        <f t="array" ref="L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" s="22">
        <f>LEN(非皮卡压缩表[[#This Row],[TYPE]])</f>
        <v/>
      </c>
      <c r="N237" s="22">
        <f t="array" ref="N237">_xlfn.XLOOKUP(非皮卡压缩表[[#This Row],[MODEL]],MODEL缩写表[长MODEL],MODEL缩写表[短MODEL],非皮卡压缩表[[#This Row],[MODEL]])</f>
        <v/>
      </c>
      <c r="O237" s="22">
        <f>LEN(非皮卡压缩表[[#This Row],[SHORT-MODEL]])</f>
        <v/>
      </c>
      <c r="P237" s="11">
        <f t="array" ref="P237">TRIM(_xlfn.XLOOKUP(非皮卡压缩表[[#This Row],[BACKSIZE]],ALL尺码表[内部尺码],ALL尺码表[通用尺码]))</f>
        <v/>
      </c>
    </row>
    <row r="238">
      <c r="A238" s="17" t="inlineStr">
        <is>
          <t>ALL</t>
        </is>
      </c>
      <c r="B238" s="18" t="inlineStr">
        <is>
          <t>Cadillac Escalade</t>
        </is>
      </c>
      <c r="C238" s="18" t="inlineStr">
        <is>
          <t>Cadillac</t>
        </is>
      </c>
      <c r="D238" s="18" t="inlineStr">
        <is>
          <t>Escalade</t>
        </is>
      </c>
      <c r="E238" s="18" t="inlineStr">
        <is>
          <t>2002-2006</t>
        </is>
      </c>
      <c r="F238" s="18" t="inlineStr"/>
      <c r="G238" s="18" t="inlineStr">
        <is>
          <t>SUV</t>
        </is>
      </c>
      <c r="H238" s="18" t="inlineStr">
        <is>
          <t>YXL</t>
        </is>
      </c>
      <c r="I238" s="19">
        <f t="array" ref="I238">TRIM(_xlfn.XLOOKUP(非皮卡压缩表[[#This Row],[BACKSIZE]],ALL尺码表[内部尺码],ALL尺码表[分类],""))</f>
        <v/>
      </c>
      <c r="J238" s="19">
        <f t="array" ref="J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" s="20">
        <f>LEN(非皮卡压缩表[[#This Row],[LONG-TYPE]])</f>
        <v/>
      </c>
      <c r="L238" s="21">
        <f t="array" ref="L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" s="22">
        <f>LEN(非皮卡压缩表[[#This Row],[TYPE]])</f>
        <v/>
      </c>
      <c r="N238" s="22">
        <f t="array" ref="N238">_xlfn.XLOOKUP(非皮卡压缩表[[#This Row],[MODEL]],MODEL缩写表[长MODEL],MODEL缩写表[短MODEL],非皮卡压缩表[[#This Row],[MODEL]])</f>
        <v/>
      </c>
      <c r="O238" s="22">
        <f>LEN(非皮卡压缩表[[#This Row],[SHORT-MODEL]])</f>
        <v/>
      </c>
      <c r="P238" s="11">
        <f t="array" ref="P238">TRIM(_xlfn.XLOOKUP(非皮卡压缩表[[#This Row],[BACKSIZE]],ALL尺码表[内部尺码],ALL尺码表[通用尺码]))</f>
        <v/>
      </c>
    </row>
    <row r="239">
      <c r="A239" s="17" t="inlineStr">
        <is>
          <t>ALL</t>
        </is>
      </c>
      <c r="B239" s="18" t="inlineStr">
        <is>
          <t>Cadillac Escalade</t>
        </is>
      </c>
      <c r="C239" s="18" t="inlineStr">
        <is>
          <t>Cadillac</t>
        </is>
      </c>
      <c r="D239" s="18" t="inlineStr">
        <is>
          <t>Escalade</t>
        </is>
      </c>
      <c r="E239" s="18" t="inlineStr">
        <is>
          <t>2003-2026</t>
        </is>
      </c>
      <c r="F239" s="18" t="inlineStr">
        <is>
          <t>ESV</t>
        </is>
      </c>
      <c r="G239" s="18" t="inlineStr">
        <is>
          <t>SUV</t>
        </is>
      </c>
      <c r="H239" s="18" t="inlineStr">
        <is>
          <t>YXXL-585</t>
        </is>
      </c>
      <c r="I239" s="19">
        <f t="array" ref="I239">TRIM(_xlfn.XLOOKUP(非皮卡压缩表[[#This Row],[BACKSIZE]],ALL尺码表[内部尺码],ALL尺码表[分类],""))</f>
        <v/>
      </c>
      <c r="J239" s="19">
        <f t="array" ref="J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" s="20">
        <f>LEN(非皮卡压缩表[[#This Row],[LONG-TYPE]])</f>
        <v/>
      </c>
      <c r="L239" s="21">
        <f t="array" ref="L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" s="22">
        <f>LEN(非皮卡压缩表[[#This Row],[TYPE]])</f>
        <v/>
      </c>
      <c r="N239" s="22">
        <f t="array" ref="N239">_xlfn.XLOOKUP(非皮卡压缩表[[#This Row],[MODEL]],MODEL缩写表[长MODEL],MODEL缩写表[短MODEL],非皮卡压缩表[[#This Row],[MODEL]])</f>
        <v/>
      </c>
      <c r="O239" s="22">
        <f>LEN(非皮卡压缩表[[#This Row],[SHORT-MODEL]])</f>
        <v/>
      </c>
      <c r="P239" s="11">
        <f t="array" ref="P239">TRIM(_xlfn.XLOOKUP(非皮卡压缩表[[#This Row],[BACKSIZE]],ALL尺码表[内部尺码],ALL尺码表[通用尺码]))</f>
        <v/>
      </c>
    </row>
    <row r="240">
      <c r="A240" s="17" t="inlineStr">
        <is>
          <t>ALL</t>
        </is>
      </c>
      <c r="B240" s="18" t="inlineStr">
        <is>
          <t>Cadillac Escalade</t>
        </is>
      </c>
      <c r="C240" s="18" t="inlineStr">
        <is>
          <t>Cadillac</t>
        </is>
      </c>
      <c r="D240" s="18" t="inlineStr">
        <is>
          <t>Escalade</t>
        </is>
      </c>
      <c r="E240" s="18" t="inlineStr">
        <is>
          <t>2007-2020</t>
        </is>
      </c>
      <c r="F240" s="18" t="inlineStr"/>
      <c r="G240" s="18" t="inlineStr">
        <is>
          <t>SUV</t>
        </is>
      </c>
      <c r="H240" s="18" t="inlineStr">
        <is>
          <t>YXXL</t>
        </is>
      </c>
      <c r="I240" s="19">
        <f t="array" ref="I240">TRIM(_xlfn.XLOOKUP(非皮卡压缩表[[#This Row],[BACKSIZE]],ALL尺码表[内部尺码],ALL尺码表[分类],""))</f>
        <v/>
      </c>
      <c r="J240" s="19">
        <f t="array" ref="J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" s="20">
        <f>LEN(非皮卡压缩表[[#This Row],[LONG-TYPE]])</f>
        <v/>
      </c>
      <c r="L240" s="21">
        <f t="array" ref="L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" s="22">
        <f>LEN(非皮卡压缩表[[#This Row],[TYPE]])</f>
        <v/>
      </c>
      <c r="N240" s="22">
        <f t="array" ref="N240">_xlfn.XLOOKUP(非皮卡压缩表[[#This Row],[MODEL]],MODEL缩写表[长MODEL],MODEL缩写表[短MODEL],非皮卡压缩表[[#This Row],[MODEL]])</f>
        <v/>
      </c>
      <c r="O240" s="22">
        <f>LEN(非皮卡压缩表[[#This Row],[SHORT-MODEL]])</f>
        <v/>
      </c>
      <c r="P240" s="11">
        <f t="array" ref="P240">TRIM(_xlfn.XLOOKUP(非皮卡压缩表[[#This Row],[BACKSIZE]],ALL尺码表[内部尺码],ALL尺码表[通用尺码]))</f>
        <v/>
      </c>
    </row>
    <row r="241">
      <c r="A241" s="17" t="inlineStr">
        <is>
          <t>ALL</t>
        </is>
      </c>
      <c r="B241" s="18" t="inlineStr">
        <is>
          <t>Cadillac Escalade</t>
        </is>
      </c>
      <c r="C241" s="18" t="inlineStr">
        <is>
          <t>Cadillac</t>
        </is>
      </c>
      <c r="D241" s="18" t="inlineStr">
        <is>
          <t>Escalade</t>
        </is>
      </c>
      <c r="E241" s="18" t="inlineStr">
        <is>
          <t>2021-2026</t>
        </is>
      </c>
      <c r="F241" s="18" t="inlineStr"/>
      <c r="G241" s="18" t="inlineStr">
        <is>
          <t>SUV</t>
        </is>
      </c>
      <c r="H241" s="18" t="inlineStr">
        <is>
          <t>YXXL-545</t>
        </is>
      </c>
      <c r="I241" s="19">
        <f t="array" ref="I241">TRIM(_xlfn.XLOOKUP(非皮卡压缩表[[#This Row],[BACKSIZE]],ALL尺码表[内部尺码],ALL尺码表[分类],""))</f>
        <v/>
      </c>
      <c r="J241" s="19">
        <f t="array" ref="J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" s="20">
        <f>LEN(非皮卡压缩表[[#This Row],[LONG-TYPE]])</f>
        <v/>
      </c>
      <c r="L241" s="21">
        <f t="array" ref="L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" s="22">
        <f>LEN(非皮卡压缩表[[#This Row],[TYPE]])</f>
        <v/>
      </c>
      <c r="N241" s="22">
        <f t="array" ref="N241">_xlfn.XLOOKUP(非皮卡压缩表[[#This Row],[MODEL]],MODEL缩写表[长MODEL],MODEL缩写表[短MODEL],非皮卡压缩表[[#This Row],[MODEL]])</f>
        <v/>
      </c>
      <c r="O241" s="22">
        <f>LEN(非皮卡压缩表[[#This Row],[SHORT-MODEL]])</f>
        <v/>
      </c>
      <c r="P241" s="11">
        <f t="array" ref="P241">TRIM(_xlfn.XLOOKUP(非皮卡压缩表[[#This Row],[BACKSIZE]],ALL尺码表[内部尺码],ALL尺码表[通用尺码]))</f>
        <v/>
      </c>
    </row>
    <row r="242">
      <c r="A242" s="17" t="inlineStr">
        <is>
          <t>ALL</t>
        </is>
      </c>
      <c r="B242" s="18" t="inlineStr">
        <is>
          <t>Cadillac Lyriq</t>
        </is>
      </c>
      <c r="C242" s="18" t="inlineStr">
        <is>
          <t>Cadillac</t>
        </is>
      </c>
      <c r="D242" s="18" t="inlineStr">
        <is>
          <t>Lyriq</t>
        </is>
      </c>
      <c r="E242" s="18" t="inlineStr">
        <is>
          <t>2023-2026</t>
        </is>
      </c>
      <c r="F242" s="18" t="inlineStr">
        <is>
          <t>Incl: Lyriq-V</t>
        </is>
      </c>
      <c r="G242" s="18" t="inlineStr">
        <is>
          <t>SUV</t>
        </is>
      </c>
      <c r="H242" s="18" t="inlineStr">
        <is>
          <t>YXL</t>
        </is>
      </c>
      <c r="I242" s="19">
        <f t="array" ref="I242">TRIM(_xlfn.XLOOKUP(非皮卡压缩表[[#This Row],[BACKSIZE]],ALL尺码表[内部尺码],ALL尺码表[分类],""))</f>
        <v/>
      </c>
      <c r="J242" s="19">
        <f t="array" ref="J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" s="20">
        <f>LEN(非皮卡压缩表[[#This Row],[LONG-TYPE]])</f>
        <v/>
      </c>
      <c r="L242" s="21">
        <f t="array" ref="L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" s="22">
        <f>LEN(非皮卡压缩表[[#This Row],[TYPE]])</f>
        <v/>
      </c>
      <c r="N242" s="22">
        <f t="array" ref="N242">_xlfn.XLOOKUP(非皮卡压缩表[[#This Row],[MODEL]],MODEL缩写表[长MODEL],MODEL缩写表[短MODEL],非皮卡压缩表[[#This Row],[MODEL]])</f>
        <v/>
      </c>
      <c r="O242" s="22">
        <f>LEN(非皮卡压缩表[[#This Row],[SHORT-MODEL]])</f>
        <v/>
      </c>
      <c r="P242" s="11">
        <f t="array" ref="P242">TRIM(_xlfn.XLOOKUP(非皮卡压缩表[[#This Row],[BACKSIZE]],ALL尺码表[内部尺码],ALL尺码表[通用尺码]))</f>
        <v/>
      </c>
    </row>
    <row r="243">
      <c r="A243" s="17" t="inlineStr">
        <is>
          <t>ALL</t>
        </is>
      </c>
      <c r="B243" s="18" t="inlineStr">
        <is>
          <t>Cadillac Optiq</t>
        </is>
      </c>
      <c r="C243" s="18" t="inlineStr">
        <is>
          <t>Cadillac</t>
        </is>
      </c>
      <c r="D243" s="18" t="inlineStr">
        <is>
          <t>Optiq</t>
        </is>
      </c>
      <c r="E243" s="18" t="inlineStr">
        <is>
          <t>2025-2026</t>
        </is>
      </c>
      <c r="F243" s="18" t="inlineStr"/>
      <c r="G243" s="18" t="inlineStr">
        <is>
          <t>SUV</t>
        </is>
      </c>
      <c r="H243" s="18" t="inlineStr">
        <is>
          <t>YL</t>
        </is>
      </c>
      <c r="I243" s="19">
        <f t="array" ref="I243">TRIM(_xlfn.XLOOKUP(非皮卡压缩表[[#This Row],[BACKSIZE]],ALL尺码表[内部尺码],ALL尺码表[分类],""))</f>
        <v/>
      </c>
      <c r="J243" s="19">
        <f t="array" ref="J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" s="20">
        <f>LEN(非皮卡压缩表[[#This Row],[LONG-TYPE]])</f>
        <v/>
      </c>
      <c r="L243" s="21">
        <f t="array" ref="L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" s="22">
        <f>LEN(非皮卡压缩表[[#This Row],[TYPE]])</f>
        <v/>
      </c>
      <c r="N243" s="22">
        <f t="array" ref="N243">_xlfn.XLOOKUP(非皮卡压缩表[[#This Row],[MODEL]],MODEL缩写表[长MODEL],MODEL缩写表[短MODEL],非皮卡压缩表[[#This Row],[MODEL]])</f>
        <v/>
      </c>
      <c r="O243" s="22">
        <f>LEN(非皮卡压缩表[[#This Row],[SHORT-MODEL]])</f>
        <v/>
      </c>
      <c r="P243" s="11">
        <f t="array" ref="P243">TRIM(_xlfn.XLOOKUP(非皮卡压缩表[[#This Row],[BACKSIZE]],ALL尺码表[内部尺码],ALL尺码表[通用尺码]))</f>
        <v/>
      </c>
    </row>
    <row r="244">
      <c r="A244" s="17" t="inlineStr">
        <is>
          <t>ALL</t>
        </is>
      </c>
      <c r="B244" s="18" t="inlineStr">
        <is>
          <t>Cadillac SRX</t>
        </is>
      </c>
      <c r="C244" s="18" t="inlineStr">
        <is>
          <t>Cadillac</t>
        </is>
      </c>
      <c r="D244" s="18" t="inlineStr">
        <is>
          <t>SRX</t>
        </is>
      </c>
      <c r="E244" s="18" t="inlineStr">
        <is>
          <t>2004-2009</t>
        </is>
      </c>
      <c r="F244" s="18" t="inlineStr"/>
      <c r="G244" s="18" t="inlineStr">
        <is>
          <t>Wagon</t>
        </is>
      </c>
      <c r="H244" s="18" t="inlineStr">
        <is>
          <t>2XL+</t>
        </is>
      </c>
      <c r="I244" s="19">
        <f t="array" ref="I244">TRIM(_xlfn.XLOOKUP(非皮卡压缩表[[#This Row],[BACKSIZE]],ALL尺码表[内部尺码],ALL尺码表[分类],""))</f>
        <v/>
      </c>
      <c r="J244" s="19">
        <f t="array" ref="J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" s="20">
        <f>LEN(非皮卡压缩表[[#This Row],[LONG-TYPE]])</f>
        <v/>
      </c>
      <c r="L244" s="21">
        <f t="array" ref="L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" s="22">
        <f>LEN(非皮卡压缩表[[#This Row],[TYPE]])</f>
        <v/>
      </c>
      <c r="N244" s="22">
        <f t="array" ref="N244">_xlfn.XLOOKUP(非皮卡压缩表[[#This Row],[MODEL]],MODEL缩写表[长MODEL],MODEL缩写表[短MODEL],非皮卡压缩表[[#This Row],[MODEL]])</f>
        <v/>
      </c>
      <c r="O244" s="22">
        <f>LEN(非皮卡压缩表[[#This Row],[SHORT-MODEL]])</f>
        <v/>
      </c>
      <c r="P244" s="11">
        <f t="array" ref="P244">TRIM(_xlfn.XLOOKUP(非皮卡压缩表[[#This Row],[BACKSIZE]],ALL尺码表[内部尺码],ALL尺码表[通用尺码]))</f>
        <v/>
      </c>
    </row>
    <row r="245">
      <c r="A245" s="17" t="inlineStr">
        <is>
          <t>ALL</t>
        </is>
      </c>
      <c r="B245" s="18" t="inlineStr">
        <is>
          <t>Cadillac SRX</t>
        </is>
      </c>
      <c r="C245" s="18" t="inlineStr">
        <is>
          <t>Cadillac</t>
        </is>
      </c>
      <c r="D245" s="18" t="inlineStr">
        <is>
          <t>SRX</t>
        </is>
      </c>
      <c r="E245" s="18" t="inlineStr">
        <is>
          <t>2010-2016</t>
        </is>
      </c>
      <c r="F245" s="18" t="inlineStr"/>
      <c r="G245" s="18" t="inlineStr">
        <is>
          <t>SUV</t>
        </is>
      </c>
      <c r="H245" s="18" t="inlineStr">
        <is>
          <t>YXL</t>
        </is>
      </c>
      <c r="I245" s="19">
        <f t="array" ref="I245">TRIM(_xlfn.XLOOKUP(非皮卡压缩表[[#This Row],[BACKSIZE]],ALL尺码表[内部尺码],ALL尺码表[分类],""))</f>
        <v/>
      </c>
      <c r="J245" s="19">
        <f t="array" ref="J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" s="20">
        <f>LEN(非皮卡压缩表[[#This Row],[LONG-TYPE]])</f>
        <v/>
      </c>
      <c r="L245" s="21">
        <f t="array" ref="L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" s="22">
        <f>LEN(非皮卡压缩表[[#This Row],[TYPE]])</f>
        <v/>
      </c>
      <c r="N245" s="22">
        <f t="array" ref="N245">_xlfn.XLOOKUP(非皮卡压缩表[[#This Row],[MODEL]],MODEL缩写表[长MODEL],MODEL缩写表[短MODEL],非皮卡压缩表[[#This Row],[MODEL]])</f>
        <v/>
      </c>
      <c r="O245" s="22">
        <f>LEN(非皮卡压缩表[[#This Row],[SHORT-MODEL]])</f>
        <v/>
      </c>
      <c r="P245" s="11">
        <f t="array" ref="P245">TRIM(_xlfn.XLOOKUP(非皮卡压缩表[[#This Row],[BACKSIZE]],ALL尺码表[内部尺码],ALL尺码表[通用尺码]))</f>
        <v/>
      </c>
    </row>
    <row r="246">
      <c r="A246" s="17" t="inlineStr">
        <is>
          <t>ALL</t>
        </is>
      </c>
      <c r="B246" s="18" t="inlineStr">
        <is>
          <t>Cadillac STS</t>
        </is>
      </c>
      <c r="C246" s="18" t="inlineStr">
        <is>
          <t>Cadillac</t>
        </is>
      </c>
      <c r="D246" s="18" t="inlineStr">
        <is>
          <t>STS</t>
        </is>
      </c>
      <c r="E246" s="18" t="inlineStr">
        <is>
          <t>2005-2011</t>
        </is>
      </c>
      <c r="F246" s="18" t="inlineStr">
        <is>
          <t>Incl: STS-V</t>
        </is>
      </c>
      <c r="G246" s="18" t="inlineStr">
        <is>
          <t>Sedan</t>
        </is>
      </c>
      <c r="H246" s="18" t="inlineStr">
        <is>
          <t>3XXL</t>
        </is>
      </c>
      <c r="I246" s="19">
        <f t="array" ref="I246">TRIM(_xlfn.XLOOKUP(非皮卡压缩表[[#This Row],[BACKSIZE]],ALL尺码表[内部尺码],ALL尺码表[分类],""))</f>
        <v/>
      </c>
      <c r="J246" s="19">
        <f t="array" ref="J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" s="20">
        <f>LEN(非皮卡压缩表[[#This Row],[LONG-TYPE]])</f>
        <v/>
      </c>
      <c r="L246" s="21">
        <f t="array" ref="L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" s="22">
        <f>LEN(非皮卡压缩表[[#This Row],[TYPE]])</f>
        <v/>
      </c>
      <c r="N246" s="22">
        <f t="array" ref="N246">_xlfn.XLOOKUP(非皮卡压缩表[[#This Row],[MODEL]],MODEL缩写表[长MODEL],MODEL缩写表[短MODEL],非皮卡压缩表[[#This Row],[MODEL]])</f>
        <v/>
      </c>
      <c r="O246" s="22">
        <f>LEN(非皮卡压缩表[[#This Row],[SHORT-MODEL]])</f>
        <v/>
      </c>
      <c r="P246" s="11">
        <f t="array" ref="P246">TRIM(_xlfn.XLOOKUP(非皮卡压缩表[[#This Row],[BACKSIZE]],ALL尺码表[内部尺码],ALL尺码表[通用尺码]))</f>
        <v/>
      </c>
    </row>
    <row r="247">
      <c r="A247" s="17" t="inlineStr">
        <is>
          <t>ALL</t>
        </is>
      </c>
      <c r="B247" s="18" t="inlineStr">
        <is>
          <t>Cadillac Seville</t>
        </is>
      </c>
      <c r="C247" s="18" t="inlineStr">
        <is>
          <t>Cadillac</t>
        </is>
      </c>
      <c r="D247" s="18" t="inlineStr">
        <is>
          <t>Seville</t>
        </is>
      </c>
      <c r="E247" s="18" t="inlineStr">
        <is>
          <t>1976-1985</t>
        </is>
      </c>
      <c r="F247" s="18" t="inlineStr"/>
      <c r="G247" s="18" t="inlineStr">
        <is>
          <t>Sedan</t>
        </is>
      </c>
      <c r="H247" s="18" t="inlineStr">
        <is>
          <t>3XXL</t>
        </is>
      </c>
      <c r="I247" s="19">
        <f t="array" ref="I247">TRIM(_xlfn.XLOOKUP(非皮卡压缩表[[#This Row],[BACKSIZE]],ALL尺码表[内部尺码],ALL尺码表[分类],""))</f>
        <v/>
      </c>
      <c r="J247" s="19">
        <f t="array" ref="J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" s="20">
        <f>LEN(非皮卡压缩表[[#This Row],[LONG-TYPE]])</f>
        <v/>
      </c>
      <c r="L247" s="21">
        <f t="array" ref="L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" s="22">
        <f>LEN(非皮卡压缩表[[#This Row],[TYPE]])</f>
        <v/>
      </c>
      <c r="N247" s="22">
        <f t="array" ref="N247">_xlfn.XLOOKUP(非皮卡压缩表[[#This Row],[MODEL]],MODEL缩写表[长MODEL],MODEL缩写表[短MODEL],非皮卡压缩表[[#This Row],[MODEL]])</f>
        <v/>
      </c>
      <c r="O247" s="22">
        <f>LEN(非皮卡压缩表[[#This Row],[SHORT-MODEL]])</f>
        <v/>
      </c>
      <c r="P247" s="11">
        <f t="array" ref="P247">TRIM(_xlfn.XLOOKUP(非皮卡压缩表[[#This Row],[BACKSIZE]],ALL尺码表[内部尺码],ALL尺码表[通用尺码]))</f>
        <v/>
      </c>
    </row>
    <row r="248">
      <c r="A248" s="17" t="inlineStr">
        <is>
          <t>ALL</t>
        </is>
      </c>
      <c r="B248" s="18" t="inlineStr">
        <is>
          <t>Cadillac Seville</t>
        </is>
      </c>
      <c r="C248" s="18" t="inlineStr">
        <is>
          <t>Cadillac</t>
        </is>
      </c>
      <c r="D248" s="18" t="inlineStr">
        <is>
          <t>Seville</t>
        </is>
      </c>
      <c r="E248" s="18" t="inlineStr">
        <is>
          <t>1986-1991</t>
        </is>
      </c>
      <c r="F248" s="18" t="inlineStr">
        <is>
          <t>Incl: STS</t>
        </is>
      </c>
      <c r="G248" s="18" t="inlineStr">
        <is>
          <t>Sedan</t>
        </is>
      </c>
      <c r="H248" s="18" t="inlineStr">
        <is>
          <t>3XL</t>
        </is>
      </c>
      <c r="I248" s="19">
        <f t="array" ref="I248">TRIM(_xlfn.XLOOKUP(非皮卡压缩表[[#This Row],[BACKSIZE]],ALL尺码表[内部尺码],ALL尺码表[分类],""))</f>
        <v/>
      </c>
      <c r="J248" s="19">
        <f t="array" ref="J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" s="20">
        <f>LEN(非皮卡压缩表[[#This Row],[LONG-TYPE]])</f>
        <v/>
      </c>
      <c r="L248" s="21">
        <f t="array" ref="L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" s="22">
        <f>LEN(非皮卡压缩表[[#This Row],[TYPE]])</f>
        <v/>
      </c>
      <c r="N248" s="22">
        <f t="array" ref="N248">_xlfn.XLOOKUP(非皮卡压缩表[[#This Row],[MODEL]],MODEL缩写表[长MODEL],MODEL缩写表[短MODEL],非皮卡压缩表[[#This Row],[MODEL]])</f>
        <v/>
      </c>
      <c r="O248" s="22">
        <f>LEN(非皮卡压缩表[[#This Row],[SHORT-MODEL]])</f>
        <v/>
      </c>
      <c r="P248" s="11">
        <f t="array" ref="P248">TRIM(_xlfn.XLOOKUP(非皮卡压缩表[[#This Row],[BACKSIZE]],ALL尺码表[内部尺码],ALL尺码表[通用尺码]))</f>
        <v/>
      </c>
    </row>
    <row r="249">
      <c r="A249" s="17" t="inlineStr">
        <is>
          <t>ALL</t>
        </is>
      </c>
      <c r="B249" s="18" t="inlineStr">
        <is>
          <t>Cadillac Seville</t>
        </is>
      </c>
      <c r="C249" s="18" t="inlineStr">
        <is>
          <t>Cadillac</t>
        </is>
      </c>
      <c r="D249" s="18" t="inlineStr">
        <is>
          <t>Seville</t>
        </is>
      </c>
      <c r="E249" s="18" t="inlineStr">
        <is>
          <t>1992-2004</t>
        </is>
      </c>
      <c r="F249" s="18" t="inlineStr">
        <is>
          <t>Incl: SLS/STS</t>
        </is>
      </c>
      <c r="G249" s="18" t="inlineStr">
        <is>
          <t>Sedan</t>
        </is>
      </c>
      <c r="H249" s="18" t="inlineStr">
        <is>
          <t>3XXL</t>
        </is>
      </c>
      <c r="I249" s="19">
        <f t="array" ref="I249">TRIM(_xlfn.XLOOKUP(非皮卡压缩表[[#This Row],[BACKSIZE]],ALL尺码表[内部尺码],ALL尺码表[分类],""))</f>
        <v/>
      </c>
      <c r="J249" s="19">
        <f t="array" ref="J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" s="20">
        <f>LEN(非皮卡压缩表[[#This Row],[LONG-TYPE]])</f>
        <v/>
      </c>
      <c r="L249" s="21">
        <f t="array" ref="L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" s="22">
        <f>LEN(非皮卡压缩表[[#This Row],[TYPE]])</f>
        <v/>
      </c>
      <c r="N249" s="22">
        <f t="array" ref="N249">_xlfn.XLOOKUP(非皮卡压缩表[[#This Row],[MODEL]],MODEL缩写表[长MODEL],MODEL缩写表[短MODEL],非皮卡压缩表[[#This Row],[MODEL]])</f>
        <v/>
      </c>
      <c r="O249" s="22">
        <f>LEN(非皮卡压缩表[[#This Row],[SHORT-MODEL]])</f>
        <v/>
      </c>
      <c r="P249" s="11">
        <f t="array" ref="P249">TRIM(_xlfn.XLOOKUP(非皮卡压缩表[[#This Row],[BACKSIZE]],ALL尺码表[内部尺码],ALL尺码表[通用尺码]))</f>
        <v/>
      </c>
    </row>
    <row r="250">
      <c r="A250" s="17" t="inlineStr">
        <is>
          <t>ALL</t>
        </is>
      </c>
      <c r="B250" s="18" t="inlineStr">
        <is>
          <t>Cadillac Vistiq</t>
        </is>
      </c>
      <c r="C250" s="18" t="inlineStr">
        <is>
          <t>Cadillac</t>
        </is>
      </c>
      <c r="D250" s="18" t="inlineStr">
        <is>
          <t>Vistiq</t>
        </is>
      </c>
      <c r="E250" s="18" t="inlineStr">
        <is>
          <t>2026</t>
        </is>
      </c>
      <c r="F250" s="18" t="inlineStr"/>
      <c r="G250" s="18" t="inlineStr">
        <is>
          <t>SUV</t>
        </is>
      </c>
      <c r="H250" s="18" t="inlineStr">
        <is>
          <t>YXXL</t>
        </is>
      </c>
      <c r="I250" s="19">
        <f t="array" ref="I250">TRIM(_xlfn.XLOOKUP(非皮卡压缩表[[#This Row],[BACKSIZE]],ALL尺码表[内部尺码],ALL尺码表[分类],""))</f>
        <v/>
      </c>
      <c r="J250" s="19">
        <f t="array" ref="J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" s="20">
        <f>LEN(非皮卡压缩表[[#This Row],[LONG-TYPE]])</f>
        <v/>
      </c>
      <c r="L250" s="21">
        <f t="array" ref="L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" s="22">
        <f>LEN(非皮卡压缩表[[#This Row],[TYPE]])</f>
        <v/>
      </c>
      <c r="N250" s="22">
        <f t="array" ref="N250">_xlfn.XLOOKUP(非皮卡压缩表[[#This Row],[MODEL]],MODEL缩写表[长MODEL],MODEL缩写表[短MODEL],非皮卡压缩表[[#This Row],[MODEL]])</f>
        <v/>
      </c>
      <c r="O250" s="22">
        <f>LEN(非皮卡压缩表[[#This Row],[SHORT-MODEL]])</f>
        <v/>
      </c>
      <c r="P250" s="11">
        <f t="array" ref="P250">TRIM(_xlfn.XLOOKUP(非皮卡压缩表[[#This Row],[BACKSIZE]],ALL尺码表[内部尺码],ALL尺码表[通用尺码]))</f>
        <v/>
      </c>
    </row>
    <row r="251">
      <c r="A251" s="17" t="inlineStr">
        <is>
          <t>ALL</t>
        </is>
      </c>
      <c r="B251" s="18" t="inlineStr">
        <is>
          <t>Cadillac XLR</t>
        </is>
      </c>
      <c r="C251" s="18" t="inlineStr">
        <is>
          <t>Cadillac</t>
        </is>
      </c>
      <c r="D251" s="18" t="inlineStr">
        <is>
          <t>XLR</t>
        </is>
      </c>
      <c r="E251" s="18" t="inlineStr">
        <is>
          <t>2004-2009</t>
        </is>
      </c>
      <c r="F251" s="18" t="inlineStr">
        <is>
          <t>Incl: XLR-V</t>
        </is>
      </c>
      <c r="G251" s="18" t="inlineStr">
        <is>
          <t>Convertible/Roadster</t>
        </is>
      </c>
      <c r="H251" s="18" t="inlineStr">
        <is>
          <t>3M-0</t>
        </is>
      </c>
      <c r="I251" s="19">
        <f t="array" ref="I251">TRIM(_xlfn.XLOOKUP(非皮卡压缩表[[#This Row],[BACKSIZE]],ALL尺码表[内部尺码],ALL尺码表[分类],""))</f>
        <v/>
      </c>
      <c r="J251" s="19">
        <f t="array" ref="J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" s="20">
        <f>LEN(非皮卡压缩表[[#This Row],[LONG-TYPE]])</f>
        <v/>
      </c>
      <c r="L251" s="21">
        <f t="array" ref="L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" s="22">
        <f>LEN(非皮卡压缩表[[#This Row],[TYPE]])</f>
        <v/>
      </c>
      <c r="N251" s="22">
        <f t="array" ref="N251">_xlfn.XLOOKUP(非皮卡压缩表[[#This Row],[MODEL]],MODEL缩写表[长MODEL],MODEL缩写表[短MODEL],非皮卡压缩表[[#This Row],[MODEL]])</f>
        <v/>
      </c>
      <c r="O251" s="22">
        <f>LEN(非皮卡压缩表[[#This Row],[SHORT-MODEL]])</f>
        <v/>
      </c>
      <c r="P251" s="11">
        <f t="array" ref="P251">TRIM(_xlfn.XLOOKUP(非皮卡压缩表[[#This Row],[BACKSIZE]],ALL尺码表[内部尺码],ALL尺码表[通用尺码]))</f>
        <v/>
      </c>
    </row>
    <row r="252">
      <c r="A252" s="17" t="inlineStr">
        <is>
          <t>ALL</t>
        </is>
      </c>
      <c r="B252" s="18" t="inlineStr">
        <is>
          <t>Cadillac XT4</t>
        </is>
      </c>
      <c r="C252" s="18" t="inlineStr">
        <is>
          <t>Cadillac</t>
        </is>
      </c>
      <c r="D252" s="18" t="inlineStr">
        <is>
          <t>XT4</t>
        </is>
      </c>
      <c r="E252" s="18" t="inlineStr">
        <is>
          <t>2019-2023</t>
        </is>
      </c>
      <c r="F252" s="18" t="inlineStr"/>
      <c r="G252" s="18" t="inlineStr">
        <is>
          <t>SUV</t>
        </is>
      </c>
      <c r="H252" s="18" t="inlineStr">
        <is>
          <t>YL</t>
        </is>
      </c>
      <c r="I252" s="19">
        <f t="array" ref="I252">TRIM(_xlfn.XLOOKUP(非皮卡压缩表[[#This Row],[BACKSIZE]],ALL尺码表[内部尺码],ALL尺码表[分类],""))</f>
        <v/>
      </c>
      <c r="J252" s="19">
        <f t="array" ref="J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" s="20">
        <f>LEN(非皮卡压缩表[[#This Row],[LONG-TYPE]])</f>
        <v/>
      </c>
      <c r="L252" s="21">
        <f t="array" ref="L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" s="22">
        <f>LEN(非皮卡压缩表[[#This Row],[TYPE]])</f>
        <v/>
      </c>
      <c r="N252" s="22">
        <f t="array" ref="N252">_xlfn.XLOOKUP(非皮卡压缩表[[#This Row],[MODEL]],MODEL缩写表[长MODEL],MODEL缩写表[短MODEL],非皮卡压缩表[[#This Row],[MODEL]])</f>
        <v/>
      </c>
      <c r="O252" s="22">
        <f>LEN(非皮卡压缩表[[#This Row],[SHORT-MODEL]])</f>
        <v/>
      </c>
      <c r="P252" s="11">
        <f t="array" ref="P252">TRIM(_xlfn.XLOOKUP(非皮卡压缩表[[#This Row],[BACKSIZE]],ALL尺码表[内部尺码],ALL尺码表[通用尺码]))</f>
        <v/>
      </c>
    </row>
    <row r="253">
      <c r="A253" s="17" t="inlineStr">
        <is>
          <t>ALL</t>
        </is>
      </c>
      <c r="B253" s="18" t="inlineStr">
        <is>
          <t>Cadillac XT4</t>
        </is>
      </c>
      <c r="C253" s="18" t="inlineStr">
        <is>
          <t>Cadillac</t>
        </is>
      </c>
      <c r="D253" s="18" t="inlineStr">
        <is>
          <t>XT4</t>
        </is>
      </c>
      <c r="E253" s="18" t="inlineStr">
        <is>
          <t>2024-2025</t>
        </is>
      </c>
      <c r="F253" s="18" t="inlineStr"/>
      <c r="G253" s="18" t="inlineStr">
        <is>
          <t>SUV</t>
        </is>
      </c>
      <c r="H253" s="18" t="inlineStr">
        <is>
          <t>YM+</t>
        </is>
      </c>
      <c r="I253" s="19">
        <f t="array" ref="I253">TRIM(_xlfn.XLOOKUP(非皮卡压缩表[[#This Row],[BACKSIZE]],ALL尺码表[内部尺码],ALL尺码表[分类],""))</f>
        <v/>
      </c>
      <c r="J253" s="19">
        <f t="array" ref="J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" s="20">
        <f>LEN(非皮卡压缩表[[#This Row],[LONG-TYPE]])</f>
        <v/>
      </c>
      <c r="L253" s="21">
        <f t="array" ref="L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" s="22">
        <f>LEN(非皮卡压缩表[[#This Row],[TYPE]])</f>
        <v/>
      </c>
      <c r="N253" s="22">
        <f t="array" ref="N253">_xlfn.XLOOKUP(非皮卡压缩表[[#This Row],[MODEL]],MODEL缩写表[长MODEL],MODEL缩写表[短MODEL],非皮卡压缩表[[#This Row],[MODEL]])</f>
        <v/>
      </c>
      <c r="O253" s="22">
        <f>LEN(非皮卡压缩表[[#This Row],[SHORT-MODEL]])</f>
        <v/>
      </c>
      <c r="P253" s="11">
        <f t="array" ref="P253">TRIM(_xlfn.XLOOKUP(非皮卡压缩表[[#This Row],[BACKSIZE]],ALL尺码表[内部尺码],ALL尺码表[通用尺码]))</f>
        <v/>
      </c>
    </row>
    <row r="254">
      <c r="A254" s="17" t="inlineStr">
        <is>
          <t>ALL</t>
        </is>
      </c>
      <c r="B254" s="18" t="inlineStr">
        <is>
          <t>Cadillac XT5</t>
        </is>
      </c>
      <c r="C254" s="18" t="inlineStr">
        <is>
          <t>Cadillac</t>
        </is>
      </c>
      <c r="D254" s="18" t="inlineStr">
        <is>
          <t>XT5</t>
        </is>
      </c>
      <c r="E254" s="18" t="inlineStr">
        <is>
          <t>2017-2026</t>
        </is>
      </c>
      <c r="F254" s="18" t="inlineStr"/>
      <c r="G254" s="18" t="inlineStr">
        <is>
          <t>SUV</t>
        </is>
      </c>
      <c r="H254" s="18" t="inlineStr">
        <is>
          <t>YL</t>
        </is>
      </c>
      <c r="I254" s="19">
        <f t="array" ref="I254">TRIM(_xlfn.XLOOKUP(非皮卡压缩表[[#This Row],[BACKSIZE]],ALL尺码表[内部尺码],ALL尺码表[分类],""))</f>
        <v/>
      </c>
      <c r="J254" s="19">
        <f t="array" ref="J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" s="20">
        <f>LEN(非皮卡压缩表[[#This Row],[LONG-TYPE]])</f>
        <v/>
      </c>
      <c r="L254" s="21">
        <f t="array" ref="L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" s="22">
        <f>LEN(非皮卡压缩表[[#This Row],[TYPE]])</f>
        <v/>
      </c>
      <c r="N254" s="22">
        <f t="array" ref="N254">_xlfn.XLOOKUP(非皮卡压缩表[[#This Row],[MODEL]],MODEL缩写表[长MODEL],MODEL缩写表[短MODEL],非皮卡压缩表[[#This Row],[MODEL]])</f>
        <v/>
      </c>
      <c r="O254" s="22">
        <f>LEN(非皮卡压缩表[[#This Row],[SHORT-MODEL]])</f>
        <v/>
      </c>
      <c r="P254" s="11">
        <f t="array" ref="P254">TRIM(_xlfn.XLOOKUP(非皮卡压缩表[[#This Row],[BACKSIZE]],ALL尺码表[内部尺码],ALL尺码表[通用尺码]))</f>
        <v/>
      </c>
    </row>
    <row r="255">
      <c r="A255" s="17" t="inlineStr">
        <is>
          <t>ALL</t>
        </is>
      </c>
      <c r="B255" s="18" t="inlineStr">
        <is>
          <t>Cadillac XT6</t>
        </is>
      </c>
      <c r="C255" s="18" t="inlineStr">
        <is>
          <t>Cadillac</t>
        </is>
      </c>
      <c r="D255" s="18" t="inlineStr">
        <is>
          <t>XT6</t>
        </is>
      </c>
      <c r="E255" s="18" t="inlineStr">
        <is>
          <t>2020-2025</t>
        </is>
      </c>
      <c r="F255" s="18" t="inlineStr"/>
      <c r="G255" s="18" t="inlineStr">
        <is>
          <t>SUV</t>
        </is>
      </c>
      <c r="H255" s="18" t="inlineStr">
        <is>
          <t>YXL</t>
        </is>
      </c>
      <c r="I255" s="19">
        <f t="array" ref="I255">TRIM(_xlfn.XLOOKUP(非皮卡压缩表[[#This Row],[BACKSIZE]],ALL尺码表[内部尺码],ALL尺码表[分类],""))</f>
        <v/>
      </c>
      <c r="J255" s="19">
        <f t="array" ref="J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" s="20">
        <f>LEN(非皮卡压缩表[[#This Row],[LONG-TYPE]])</f>
        <v/>
      </c>
      <c r="L255" s="21">
        <f t="array" ref="L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" s="22">
        <f>LEN(非皮卡压缩表[[#This Row],[TYPE]])</f>
        <v/>
      </c>
      <c r="N255" s="22">
        <f t="array" ref="N255">_xlfn.XLOOKUP(非皮卡压缩表[[#This Row],[MODEL]],MODEL缩写表[长MODEL],MODEL缩写表[短MODEL],非皮卡压缩表[[#This Row],[MODEL]])</f>
        <v/>
      </c>
      <c r="O255" s="22">
        <f>LEN(非皮卡压缩表[[#This Row],[SHORT-MODEL]])</f>
        <v/>
      </c>
      <c r="P255" s="11">
        <f t="array" ref="P255">TRIM(_xlfn.XLOOKUP(非皮卡压缩表[[#This Row],[BACKSIZE]],ALL尺码表[内部尺码],ALL尺码表[通用尺码]))</f>
        <v/>
      </c>
    </row>
    <row r="256">
      <c r="A256" s="17" t="inlineStr">
        <is>
          <t>ALL</t>
        </is>
      </c>
      <c r="B256" s="18" t="inlineStr">
        <is>
          <t>Cadillac XTS</t>
        </is>
      </c>
      <c r="C256" s="18" t="inlineStr">
        <is>
          <t>Cadillac</t>
        </is>
      </c>
      <c r="D256" s="18" t="inlineStr">
        <is>
          <t>XTS</t>
        </is>
      </c>
      <c r="E256" s="18" t="inlineStr">
        <is>
          <t>2015-2019</t>
        </is>
      </c>
      <c r="F256" s="18" t="inlineStr"/>
      <c r="G256" s="18" t="inlineStr">
        <is>
          <t>Sedan</t>
        </is>
      </c>
      <c r="H256" s="18" t="inlineStr">
        <is>
          <t>3XXL</t>
        </is>
      </c>
      <c r="I256" s="19">
        <f t="array" ref="I256">TRIM(_xlfn.XLOOKUP(非皮卡压缩表[[#This Row],[BACKSIZE]],ALL尺码表[内部尺码],ALL尺码表[分类],""))</f>
        <v/>
      </c>
      <c r="J256" s="19">
        <f t="array" ref="J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" s="20">
        <f>LEN(非皮卡压缩表[[#This Row],[LONG-TYPE]])</f>
        <v/>
      </c>
      <c r="L256" s="21">
        <f t="array" ref="L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" s="22">
        <f>LEN(非皮卡压缩表[[#This Row],[TYPE]])</f>
        <v/>
      </c>
      <c r="N256" s="22">
        <f t="array" ref="N256">_xlfn.XLOOKUP(非皮卡压缩表[[#This Row],[MODEL]],MODEL缩写表[长MODEL],MODEL缩写表[短MODEL],非皮卡压缩表[[#This Row],[MODEL]])</f>
        <v/>
      </c>
      <c r="O256" s="22">
        <f>LEN(非皮卡压缩表[[#This Row],[SHORT-MODEL]])</f>
        <v/>
      </c>
      <c r="P256" s="11">
        <f t="array" ref="P256">TRIM(_xlfn.XLOOKUP(非皮卡压缩表[[#This Row],[BACKSIZE]],ALL尺码表[内部尺码],ALL尺码表[通用尺码]))</f>
        <v/>
      </c>
    </row>
    <row r="257">
      <c r="A257" s="17" t="inlineStr">
        <is>
          <t>ALL</t>
        </is>
      </c>
      <c r="B257" s="18" t="inlineStr">
        <is>
          <t>Chevrolet Aveo</t>
        </is>
      </c>
      <c r="C257" s="18" t="inlineStr">
        <is>
          <t>Chevrolet</t>
        </is>
      </c>
      <c r="D257" s="18" t="inlineStr">
        <is>
          <t>Aveo</t>
        </is>
      </c>
      <c r="E257" s="18" t="inlineStr">
        <is>
          <t>2004-2005</t>
        </is>
      </c>
      <c r="F257" s="18" t="inlineStr"/>
      <c r="G257" s="18" t="inlineStr">
        <is>
          <t>Hatchback</t>
        </is>
      </c>
      <c r="H257" s="18" t="inlineStr">
        <is>
          <t>2M</t>
        </is>
      </c>
      <c r="I257" s="19">
        <f t="array" ref="I257">TRIM(_xlfn.XLOOKUP(非皮卡压缩表[[#This Row],[BACKSIZE]],ALL尺码表[内部尺码],ALL尺码表[分类],""))</f>
        <v/>
      </c>
      <c r="J257" s="19">
        <f t="array" ref="J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" s="20">
        <f>LEN(非皮卡压缩表[[#This Row],[LONG-TYPE]])</f>
        <v/>
      </c>
      <c r="L257" s="21">
        <f t="array" ref="L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" s="22">
        <f>LEN(非皮卡压缩表[[#This Row],[TYPE]])</f>
        <v/>
      </c>
      <c r="N257" s="22">
        <f t="array" ref="N257">_xlfn.XLOOKUP(非皮卡压缩表[[#This Row],[MODEL]],MODEL缩写表[长MODEL],MODEL缩写表[短MODEL],非皮卡压缩表[[#This Row],[MODEL]])</f>
        <v/>
      </c>
      <c r="O257" s="22">
        <f>LEN(非皮卡压缩表[[#This Row],[SHORT-MODEL]])</f>
        <v/>
      </c>
      <c r="P257" s="11">
        <f t="array" ref="P257">TRIM(_xlfn.XLOOKUP(非皮卡压缩表[[#This Row],[BACKSIZE]],ALL尺码表[内部尺码],ALL尺码表[通用尺码]))</f>
        <v/>
      </c>
    </row>
    <row r="258">
      <c r="A258" s="17" t="inlineStr">
        <is>
          <t>ALL</t>
        </is>
      </c>
      <c r="B258" s="18" t="inlineStr">
        <is>
          <t>Chevrolet Aveo</t>
        </is>
      </c>
      <c r="C258" s="18" t="inlineStr">
        <is>
          <t>Chevrolet</t>
        </is>
      </c>
      <c r="D258" s="18" t="inlineStr">
        <is>
          <t>Aveo</t>
        </is>
      </c>
      <c r="E258" s="18" t="inlineStr">
        <is>
          <t>2004-2011</t>
        </is>
      </c>
      <c r="F258" s="18" t="inlineStr"/>
      <c r="G258" s="18" t="inlineStr">
        <is>
          <t>Sedan</t>
        </is>
      </c>
      <c r="H258" s="18" t="inlineStr">
        <is>
          <t>3L</t>
        </is>
      </c>
      <c r="I258" s="19">
        <f t="array" ref="I258">TRIM(_xlfn.XLOOKUP(非皮卡压缩表[[#This Row],[BACKSIZE]],ALL尺码表[内部尺码],ALL尺码表[分类],""))</f>
        <v/>
      </c>
      <c r="J258" s="19">
        <f t="array" ref="J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" s="20">
        <f>LEN(非皮卡压缩表[[#This Row],[LONG-TYPE]])</f>
        <v/>
      </c>
      <c r="L258" s="21">
        <f t="array" ref="L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" s="22">
        <f>LEN(非皮卡压缩表[[#This Row],[TYPE]])</f>
        <v/>
      </c>
      <c r="N258" s="22">
        <f t="array" ref="N258">_xlfn.XLOOKUP(非皮卡压缩表[[#This Row],[MODEL]],MODEL缩写表[长MODEL],MODEL缩写表[短MODEL],非皮卡压缩表[[#This Row],[MODEL]])</f>
        <v/>
      </c>
      <c r="O258" s="22">
        <f>LEN(非皮卡压缩表[[#This Row],[SHORT-MODEL]])</f>
        <v/>
      </c>
      <c r="P258" s="11">
        <f t="array" ref="P258">TRIM(_xlfn.XLOOKUP(非皮卡压缩表[[#This Row],[BACKSIZE]],ALL尺码表[内部尺码],ALL尺码表[通用尺码]))</f>
        <v/>
      </c>
    </row>
    <row r="259">
      <c r="A259" s="17" t="inlineStr">
        <is>
          <t>ALL</t>
        </is>
      </c>
      <c r="B259" s="18" t="inlineStr">
        <is>
          <t>Chevrolet Aveo</t>
        </is>
      </c>
      <c r="C259" s="18" t="inlineStr">
        <is>
          <t>Chevrolet</t>
        </is>
      </c>
      <c r="D259" s="18" t="inlineStr">
        <is>
          <t>Aveo</t>
        </is>
      </c>
      <c r="E259" s="18" t="inlineStr">
        <is>
          <t>2006</t>
        </is>
      </c>
      <c r="F259" s="18" t="inlineStr"/>
      <c r="G259" s="18" t="inlineStr">
        <is>
          <t>Hatchback</t>
        </is>
      </c>
      <c r="H259" s="18" t="inlineStr">
        <is>
          <t>2L+</t>
        </is>
      </c>
      <c r="I259" s="19">
        <f t="array" ref="I259">TRIM(_xlfn.XLOOKUP(非皮卡压缩表[[#This Row],[BACKSIZE]],ALL尺码表[内部尺码],ALL尺码表[分类],""))</f>
        <v/>
      </c>
      <c r="J259" s="19">
        <f t="array" ref="J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" s="20">
        <f>LEN(非皮卡压缩表[[#This Row],[LONG-TYPE]])</f>
        <v/>
      </c>
      <c r="L259" s="21">
        <f t="array" ref="L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" s="22">
        <f>LEN(非皮卡压缩表[[#This Row],[TYPE]])</f>
        <v/>
      </c>
      <c r="N259" s="22">
        <f t="array" ref="N259">_xlfn.XLOOKUP(非皮卡压缩表[[#This Row],[MODEL]],MODEL缩写表[长MODEL],MODEL缩写表[短MODEL],非皮卡压缩表[[#This Row],[MODEL]])</f>
        <v/>
      </c>
      <c r="O259" s="22">
        <f>LEN(非皮卡压缩表[[#This Row],[SHORT-MODEL]])</f>
        <v/>
      </c>
      <c r="P259" s="11">
        <f t="array" ref="P259">TRIM(_xlfn.XLOOKUP(非皮卡压缩表[[#This Row],[BACKSIZE]],ALL尺码表[内部尺码],ALL尺码表[通用尺码]))</f>
        <v/>
      </c>
    </row>
    <row r="260">
      <c r="A260" s="17" t="inlineStr">
        <is>
          <t>ALL</t>
        </is>
      </c>
      <c r="B260" s="18" t="inlineStr">
        <is>
          <t>Chevrolet Aveo</t>
        </is>
      </c>
      <c r="C260" s="18" t="inlineStr">
        <is>
          <t>Chevrolet</t>
        </is>
      </c>
      <c r="D260" s="18" t="inlineStr">
        <is>
          <t>Aveo</t>
        </is>
      </c>
      <c r="E260" s="18" t="inlineStr">
        <is>
          <t>2007-2011</t>
        </is>
      </c>
      <c r="F260" s="18" t="inlineStr"/>
      <c r="G260" s="18" t="inlineStr">
        <is>
          <t>Hatchback</t>
        </is>
      </c>
      <c r="H260" s="18" t="inlineStr">
        <is>
          <t>2M</t>
        </is>
      </c>
      <c r="I260" s="19">
        <f t="array" ref="I260">TRIM(_xlfn.XLOOKUP(非皮卡压缩表[[#This Row],[BACKSIZE]],ALL尺码表[内部尺码],ALL尺码表[分类],""))</f>
        <v/>
      </c>
      <c r="J260" s="19">
        <f t="array" ref="J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" s="20">
        <f>LEN(非皮卡压缩表[[#This Row],[LONG-TYPE]])</f>
        <v/>
      </c>
      <c r="L260" s="21">
        <f t="array" ref="L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" s="22">
        <f>LEN(非皮卡压缩表[[#This Row],[TYPE]])</f>
        <v/>
      </c>
      <c r="N260" s="22">
        <f t="array" ref="N260">_xlfn.XLOOKUP(非皮卡压缩表[[#This Row],[MODEL]],MODEL缩写表[长MODEL],MODEL缩写表[短MODEL],非皮卡压缩表[[#This Row],[MODEL]])</f>
        <v/>
      </c>
      <c r="O260" s="22">
        <f>LEN(非皮卡压缩表[[#This Row],[SHORT-MODEL]])</f>
        <v/>
      </c>
      <c r="P260" s="11">
        <f t="array" ref="P260">TRIM(_xlfn.XLOOKUP(非皮卡压缩表[[#This Row],[BACKSIZE]],ALL尺码表[内部尺码],ALL尺码表[通用尺码]))</f>
        <v/>
      </c>
    </row>
    <row r="261">
      <c r="A261" s="17" t="inlineStr">
        <is>
          <t>ALL</t>
        </is>
      </c>
      <c r="B261" s="18" t="inlineStr">
        <is>
          <t>Chevrolet Bel Air</t>
        </is>
      </c>
      <c r="C261" s="18" t="inlineStr">
        <is>
          <t>Chevrolet</t>
        </is>
      </c>
      <c r="D261" s="18" t="inlineStr">
        <is>
          <t>Bel Air</t>
        </is>
      </c>
      <c r="E261" s="18" t="inlineStr">
        <is>
          <t>1953-1957</t>
        </is>
      </c>
      <c r="F261" s="18" t="inlineStr"/>
      <c r="G261" s="18" t="inlineStr">
        <is>
          <t>Convertible/Coupe</t>
        </is>
      </c>
      <c r="H261" s="18" t="inlineStr">
        <is>
          <t>3XL+0</t>
        </is>
      </c>
      <c r="I261" s="19">
        <f t="array" ref="I261">TRIM(_xlfn.XLOOKUP(非皮卡压缩表[[#This Row],[BACKSIZE]],ALL尺码表[内部尺码],ALL尺码表[分类],""))</f>
        <v/>
      </c>
      <c r="J261" s="19">
        <f t="array" ref="J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" s="20">
        <f>LEN(非皮卡压缩表[[#This Row],[LONG-TYPE]])</f>
        <v/>
      </c>
      <c r="L261" s="21">
        <f t="array" ref="L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" s="22">
        <f>LEN(非皮卡压缩表[[#This Row],[TYPE]])</f>
        <v/>
      </c>
      <c r="N261" s="22">
        <f t="array" ref="N261">_xlfn.XLOOKUP(非皮卡压缩表[[#This Row],[MODEL]],MODEL缩写表[长MODEL],MODEL缩写表[短MODEL],非皮卡压缩表[[#This Row],[MODEL]])</f>
        <v/>
      </c>
      <c r="O261" s="22">
        <f>LEN(非皮卡压缩表[[#This Row],[SHORT-MODEL]])</f>
        <v/>
      </c>
      <c r="P261" s="11">
        <f t="array" ref="P261">TRIM(_xlfn.XLOOKUP(非皮卡压缩表[[#This Row],[BACKSIZE]],ALL尺码表[内部尺码],ALL尺码表[通用尺码]))</f>
        <v/>
      </c>
    </row>
    <row r="262">
      <c r="A262" s="17" t="inlineStr">
        <is>
          <t>ALL</t>
        </is>
      </c>
      <c r="B262" s="18" t="inlineStr">
        <is>
          <t>Chevrolet Bel Air</t>
        </is>
      </c>
      <c r="C262" s="18" t="inlineStr">
        <is>
          <t>Chevrolet</t>
        </is>
      </c>
      <c r="D262" s="18" t="inlineStr">
        <is>
          <t>Bel Air</t>
        </is>
      </c>
      <c r="E262" s="18" t="inlineStr">
        <is>
          <t>1953-1957</t>
        </is>
      </c>
      <c r="F262" s="18" t="inlineStr"/>
      <c r="G262" s="18" t="inlineStr">
        <is>
          <t>Sedan</t>
        </is>
      </c>
      <c r="H262" s="18" t="inlineStr">
        <is>
          <t>3XXL</t>
        </is>
      </c>
      <c r="I262" s="19">
        <f t="array" ref="I262">TRIM(_xlfn.XLOOKUP(非皮卡压缩表[[#This Row],[BACKSIZE]],ALL尺码表[内部尺码],ALL尺码表[分类],""))</f>
        <v/>
      </c>
      <c r="J262" s="19">
        <f t="array" ref="J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" s="20">
        <f>LEN(非皮卡压缩表[[#This Row],[LONG-TYPE]])</f>
        <v/>
      </c>
      <c r="L262" s="21">
        <f t="array" ref="L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" s="22">
        <f>LEN(非皮卡压缩表[[#This Row],[TYPE]])</f>
        <v/>
      </c>
      <c r="N262" s="22">
        <f t="array" ref="N262">_xlfn.XLOOKUP(非皮卡压缩表[[#This Row],[MODEL]],MODEL缩写表[长MODEL],MODEL缩写表[短MODEL],非皮卡压缩表[[#This Row],[MODEL]])</f>
        <v/>
      </c>
      <c r="O262" s="22">
        <f>LEN(非皮卡压缩表[[#This Row],[SHORT-MODEL]])</f>
        <v/>
      </c>
      <c r="P262" s="11">
        <f t="array" ref="P262">TRIM(_xlfn.XLOOKUP(非皮卡压缩表[[#This Row],[BACKSIZE]],ALL尺码表[内部尺码],ALL尺码表[通用尺码]))</f>
        <v/>
      </c>
    </row>
    <row r="263">
      <c r="A263" s="17" t="inlineStr">
        <is>
          <t>ALL</t>
        </is>
      </c>
      <c r="B263" s="18" t="inlineStr">
        <is>
          <t>Chevrolet Bel Air</t>
        </is>
      </c>
      <c r="C263" s="18" t="inlineStr">
        <is>
          <t>Chevrolet</t>
        </is>
      </c>
      <c r="D263" s="18" t="inlineStr">
        <is>
          <t>Bel Air</t>
        </is>
      </c>
      <c r="E263" s="18" t="inlineStr">
        <is>
          <t>1954-1955</t>
        </is>
      </c>
      <c r="F263" s="18" t="inlineStr"/>
      <c r="G263" s="18" t="inlineStr">
        <is>
          <t>Wagon</t>
        </is>
      </c>
      <c r="H263" s="18" t="inlineStr">
        <is>
          <t>2XL+</t>
        </is>
      </c>
      <c r="I263" s="19">
        <f t="array" ref="I263">TRIM(_xlfn.XLOOKUP(非皮卡压缩表[[#This Row],[BACKSIZE]],ALL尺码表[内部尺码],ALL尺码表[分类],""))</f>
        <v/>
      </c>
      <c r="J263" s="19">
        <f t="array" ref="J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" s="20">
        <f>LEN(非皮卡压缩表[[#This Row],[LONG-TYPE]])</f>
        <v/>
      </c>
      <c r="L263" s="21">
        <f t="array" ref="L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" s="22">
        <f>LEN(非皮卡压缩表[[#This Row],[TYPE]])</f>
        <v/>
      </c>
      <c r="N263" s="22">
        <f t="array" ref="N263">_xlfn.XLOOKUP(非皮卡压缩表[[#This Row],[MODEL]],MODEL缩写表[长MODEL],MODEL缩写表[短MODEL],非皮卡压缩表[[#This Row],[MODEL]])</f>
        <v/>
      </c>
      <c r="O263" s="22">
        <f>LEN(非皮卡压缩表[[#This Row],[SHORT-MODEL]])</f>
        <v/>
      </c>
      <c r="P263" s="11">
        <f t="array" ref="P263">TRIM(_xlfn.XLOOKUP(非皮卡压缩表[[#This Row],[BACKSIZE]],ALL尺码表[内部尺码],ALL尺码表[通用尺码]))</f>
        <v/>
      </c>
    </row>
    <row r="264">
      <c r="A264" s="17" t="inlineStr">
        <is>
          <t>ALL</t>
        </is>
      </c>
      <c r="B264" s="18" t="inlineStr">
        <is>
          <t>Chevrolet Bel Air</t>
        </is>
      </c>
      <c r="C264" s="18" t="inlineStr">
        <is>
          <t>Chevrolet</t>
        </is>
      </c>
      <c r="D264" s="18" t="inlineStr">
        <is>
          <t>Bel Air</t>
        </is>
      </c>
      <c r="E264" s="18" t="inlineStr">
        <is>
          <t>1956</t>
        </is>
      </c>
      <c r="F264" s="18" t="inlineStr"/>
      <c r="G264" s="18" t="inlineStr">
        <is>
          <t>Wagon</t>
        </is>
      </c>
      <c r="H264" s="18" t="inlineStr">
        <is>
          <t>2XXL</t>
        </is>
      </c>
      <c r="I264" s="19">
        <f t="array" ref="I264">TRIM(_xlfn.XLOOKUP(非皮卡压缩表[[#This Row],[BACKSIZE]],ALL尺码表[内部尺码],ALL尺码表[分类],""))</f>
        <v/>
      </c>
      <c r="J264" s="19">
        <f t="array" ref="J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" s="20">
        <f>LEN(非皮卡压缩表[[#This Row],[LONG-TYPE]])</f>
        <v/>
      </c>
      <c r="L264" s="21">
        <f t="array" ref="L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" s="22">
        <f>LEN(非皮卡压缩表[[#This Row],[TYPE]])</f>
        <v/>
      </c>
      <c r="N264" s="22">
        <f t="array" ref="N264">_xlfn.XLOOKUP(非皮卡压缩表[[#This Row],[MODEL]],MODEL缩写表[长MODEL],MODEL缩写表[短MODEL],非皮卡压缩表[[#This Row],[MODEL]])</f>
        <v/>
      </c>
      <c r="O264" s="22">
        <f>LEN(非皮卡压缩表[[#This Row],[SHORT-MODEL]])</f>
        <v/>
      </c>
      <c r="P264" s="11">
        <f t="array" ref="P264">TRIM(_xlfn.XLOOKUP(非皮卡压缩表[[#This Row],[BACKSIZE]],ALL尺码表[内部尺码],ALL尺码表[通用尺码]))</f>
        <v/>
      </c>
    </row>
    <row r="265" ht="30" customHeight="1" s="23">
      <c r="A265" s="17" t="inlineStr">
        <is>
          <t>ALL</t>
        </is>
      </c>
      <c r="B265" s="18" t="inlineStr">
        <is>
          <t>Chevrolet Bel Air</t>
        </is>
      </c>
      <c r="C265" s="18" t="inlineStr">
        <is>
          <t>Chevrolet</t>
        </is>
      </c>
      <c r="D265" s="18" t="inlineStr">
        <is>
          <t>Bel Air</t>
        </is>
      </c>
      <c r="E265" s="18" t="inlineStr">
        <is>
          <t>1957</t>
        </is>
      </c>
      <c r="F265" s="18" t="inlineStr"/>
      <c r="G265" s="18" t="inlineStr">
        <is>
          <t>Wagon</t>
        </is>
      </c>
      <c r="H265" s="18" t="inlineStr">
        <is>
          <t>2XL+</t>
        </is>
      </c>
      <c r="I265" s="19">
        <f t="array" ref="I265">TRIM(_xlfn.XLOOKUP(非皮卡压缩表[[#This Row],[BACKSIZE]],ALL尺码表[内部尺码],ALL尺码表[分类],""))</f>
        <v/>
      </c>
      <c r="J265" s="19">
        <f t="array" ref="J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" s="20">
        <f>LEN(非皮卡压缩表[[#This Row],[LONG-TYPE]])</f>
        <v/>
      </c>
      <c r="L265" s="21">
        <f t="array" ref="L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" s="22">
        <f>LEN(非皮卡压缩表[[#This Row],[TYPE]])</f>
        <v/>
      </c>
      <c r="N265" s="22">
        <f t="array" ref="N265">_xlfn.XLOOKUP(非皮卡压缩表[[#This Row],[MODEL]],MODEL缩写表[长MODEL],MODEL缩写表[短MODEL],非皮卡压缩表[[#This Row],[MODEL]])</f>
        <v/>
      </c>
      <c r="O265" s="22">
        <f>LEN(非皮卡压缩表[[#This Row],[SHORT-MODEL]])</f>
        <v/>
      </c>
      <c r="P265" s="11">
        <f t="array" ref="P265">TRIM(_xlfn.XLOOKUP(非皮卡压缩表[[#This Row],[BACKSIZE]],ALL尺码表[内部尺码],ALL尺码表[通用尺码]))</f>
        <v/>
      </c>
    </row>
    <row r="266">
      <c r="A266" s="17" t="inlineStr">
        <is>
          <t>ALL</t>
        </is>
      </c>
      <c r="B266" s="18" t="inlineStr">
        <is>
          <t>Chevrolet Bel Air</t>
        </is>
      </c>
      <c r="C266" s="18" t="inlineStr">
        <is>
          <t>Chevrolet</t>
        </is>
      </c>
      <c r="D266" s="18" t="inlineStr">
        <is>
          <t>Bel Air</t>
        </is>
      </c>
      <c r="E266" s="18" t="inlineStr">
        <is>
          <t>1958-1966</t>
        </is>
      </c>
      <c r="F266" s="18" t="inlineStr"/>
      <c r="G266" s="18" t="inlineStr">
        <is>
          <t>Sedan</t>
        </is>
      </c>
      <c r="H266" s="18" t="inlineStr">
        <is>
          <t>3XXXL</t>
        </is>
      </c>
      <c r="I266" s="19">
        <f t="array" ref="I266">TRIM(_xlfn.XLOOKUP(非皮卡压缩表[[#This Row],[BACKSIZE]],ALL尺码表[内部尺码],ALL尺码表[分类],""))</f>
        <v/>
      </c>
      <c r="J266" s="19">
        <f t="array" ref="J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" s="20">
        <f>LEN(非皮卡压缩表[[#This Row],[LONG-TYPE]])</f>
        <v/>
      </c>
      <c r="L266" s="21">
        <f t="array" ref="L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" s="22">
        <f>LEN(非皮卡压缩表[[#This Row],[TYPE]])</f>
        <v/>
      </c>
      <c r="N266" s="22">
        <f t="array" ref="N266">_xlfn.XLOOKUP(非皮卡压缩表[[#This Row],[MODEL]],MODEL缩写表[长MODEL],MODEL缩写表[短MODEL],非皮卡压缩表[[#This Row],[MODEL]])</f>
        <v/>
      </c>
      <c r="O266" s="22">
        <f>LEN(非皮卡压缩表[[#This Row],[SHORT-MODEL]])</f>
        <v/>
      </c>
      <c r="P266" s="11">
        <f t="array" ref="P266">TRIM(_xlfn.XLOOKUP(非皮卡压缩表[[#This Row],[BACKSIZE]],ALL尺码表[内部尺码],ALL尺码表[通用尺码]))</f>
        <v/>
      </c>
    </row>
    <row r="267">
      <c r="A267" s="17" t="inlineStr">
        <is>
          <t>ALL</t>
        </is>
      </c>
      <c r="B267" s="18" t="inlineStr">
        <is>
          <t>Chevrolet Bel Air</t>
        </is>
      </c>
      <c r="C267" s="18" t="inlineStr">
        <is>
          <t>Chevrolet</t>
        </is>
      </c>
      <c r="D267" s="18" t="inlineStr">
        <is>
          <t>Bel Air</t>
        </is>
      </c>
      <c r="E267" s="18" t="inlineStr">
        <is>
          <t>1958-1962</t>
        </is>
      </c>
      <c r="F267" s="18" t="inlineStr">
        <is>
          <t>Incl: Hardtop</t>
        </is>
      </c>
      <c r="G267" s="18" t="inlineStr">
        <is>
          <t>Convertible/Coupe</t>
        </is>
      </c>
      <c r="H267" s="18" t="inlineStr">
        <is>
          <t>3XXXL-0</t>
        </is>
      </c>
      <c r="I267" s="19">
        <f t="array" ref="I267">TRIM(_xlfn.XLOOKUP(非皮卡压缩表[[#This Row],[BACKSIZE]],ALL尺码表[内部尺码],ALL尺码表[分类],""))</f>
        <v/>
      </c>
      <c r="J267" s="19">
        <f t="array" ref="J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" s="20">
        <f>LEN(非皮卡压缩表[[#This Row],[LONG-TYPE]])</f>
        <v/>
      </c>
      <c r="L267" s="21">
        <f t="array" ref="L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" s="22">
        <f>LEN(非皮卡压缩表[[#This Row],[TYPE]])</f>
        <v/>
      </c>
      <c r="N267" s="22">
        <f t="array" ref="N267">_xlfn.XLOOKUP(非皮卡压缩表[[#This Row],[MODEL]],MODEL缩写表[长MODEL],MODEL缩写表[短MODEL],非皮卡压缩表[[#This Row],[MODEL]])</f>
        <v/>
      </c>
      <c r="O267" s="22">
        <f>LEN(非皮卡压缩表[[#This Row],[SHORT-MODEL]])</f>
        <v/>
      </c>
      <c r="P267" s="11">
        <f t="array" ref="P267">TRIM(_xlfn.XLOOKUP(非皮卡压缩表[[#This Row],[BACKSIZE]],ALL尺码表[内部尺码],ALL尺码表[通用尺码]))</f>
        <v/>
      </c>
    </row>
    <row r="268">
      <c r="A268" s="17" t="inlineStr">
        <is>
          <t>ALL</t>
        </is>
      </c>
      <c r="B268" s="18" t="inlineStr">
        <is>
          <t>Chevrolet Bel Air</t>
        </is>
      </c>
      <c r="C268" s="18" t="inlineStr">
        <is>
          <t>Chevrolet</t>
        </is>
      </c>
      <c r="D268" s="18" t="inlineStr">
        <is>
          <t>Bel Air</t>
        </is>
      </c>
      <c r="E268" s="18" t="inlineStr">
        <is>
          <t>1958-1969</t>
        </is>
      </c>
      <c r="F268" s="18" t="inlineStr">
        <is>
          <t>Incl: Kingswood/Parkwood</t>
        </is>
      </c>
      <c r="G268" s="18" t="inlineStr">
        <is>
          <t>Wagon</t>
        </is>
      </c>
      <c r="H268" s="18" t="inlineStr">
        <is>
          <t>无可用尺码</t>
        </is>
      </c>
      <c r="I268" s="19">
        <f t="array" ref="I268">TRIM(_xlfn.XLOOKUP(非皮卡压缩表[[#This Row],[BACKSIZE]],ALL尺码表[内部尺码],ALL尺码表[分类],""))</f>
        <v/>
      </c>
      <c r="J268" s="19">
        <f t="array" ref="J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" s="20">
        <f>LEN(非皮卡压缩表[[#This Row],[LONG-TYPE]])</f>
        <v/>
      </c>
      <c r="L268" s="21">
        <f t="array" ref="L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" s="22">
        <f>LEN(非皮卡压缩表[[#This Row],[TYPE]])</f>
        <v/>
      </c>
      <c r="N268" s="22">
        <f t="array" ref="N268">_xlfn.XLOOKUP(非皮卡压缩表[[#This Row],[MODEL]],MODEL缩写表[长MODEL],MODEL缩写表[短MODEL],非皮卡压缩表[[#This Row],[MODEL]])</f>
        <v/>
      </c>
      <c r="O268" s="22">
        <f>LEN(非皮卡压缩表[[#This Row],[SHORT-MODEL]])</f>
        <v/>
      </c>
      <c r="P268" s="11">
        <f t="array" ref="P268">TRIM(_xlfn.XLOOKUP(非皮卡压缩表[[#This Row],[BACKSIZE]],ALL尺码表[内部尺码],ALL尺码表[通用尺码]))</f>
        <v/>
      </c>
    </row>
    <row r="269" ht="30" customHeight="1" s="23">
      <c r="A269" s="17" t="inlineStr">
        <is>
          <t>ALL</t>
        </is>
      </c>
      <c r="B269" s="18" t="inlineStr">
        <is>
          <t>Chevrolet Bel Air</t>
        </is>
      </c>
      <c r="C269" s="18" t="inlineStr">
        <is>
          <t>Chevrolet</t>
        </is>
      </c>
      <c r="D269" s="18" t="inlineStr">
        <is>
          <t>Bel Air</t>
        </is>
      </c>
      <c r="E269" s="18" t="inlineStr">
        <is>
          <t>1967-1969</t>
        </is>
      </c>
      <c r="F269" s="18" t="inlineStr"/>
      <c r="G269" s="18" t="inlineStr">
        <is>
          <t>Sedan</t>
        </is>
      </c>
      <c r="H269" s="18" t="inlineStr">
        <is>
          <t>无可用尺码</t>
        </is>
      </c>
      <c r="I269" s="19">
        <f t="array" ref="I269">TRIM(_xlfn.XLOOKUP(非皮卡压缩表[[#This Row],[BACKSIZE]],ALL尺码表[内部尺码],ALL尺码表[分类],""))</f>
        <v/>
      </c>
      <c r="J269" s="19">
        <f t="array" ref="J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" s="20">
        <f>LEN(非皮卡压缩表[[#This Row],[LONG-TYPE]])</f>
        <v/>
      </c>
      <c r="L269" s="21">
        <f t="array" ref="L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" s="22">
        <f>LEN(非皮卡压缩表[[#This Row],[TYPE]])</f>
        <v/>
      </c>
      <c r="N269" s="22">
        <f t="array" ref="N269">_xlfn.XLOOKUP(非皮卡压缩表[[#This Row],[MODEL]],MODEL缩写表[长MODEL],MODEL缩写表[短MODEL],非皮卡压缩表[[#This Row],[MODEL]])</f>
        <v/>
      </c>
      <c r="O269" s="22">
        <f>LEN(非皮卡压缩表[[#This Row],[SHORT-MODEL]])</f>
        <v/>
      </c>
      <c r="P269" s="11">
        <f t="array" ref="P269">TRIM(_xlfn.XLOOKUP(非皮卡压缩表[[#This Row],[BACKSIZE]],ALL尺码表[内部尺码],ALL尺码表[通用尺码]))</f>
        <v/>
      </c>
    </row>
    <row r="270">
      <c r="A270" s="17" t="inlineStr">
        <is>
          <t>ALL</t>
        </is>
      </c>
      <c r="B270" s="18" t="inlineStr">
        <is>
          <t>Chevrolet Bel Air</t>
        </is>
      </c>
      <c r="C270" s="18" t="inlineStr">
        <is>
          <t>Chevrolet</t>
        </is>
      </c>
      <c r="D270" s="18" t="inlineStr">
        <is>
          <t>Bel Air</t>
        </is>
      </c>
      <c r="E270" s="18" t="inlineStr">
        <is>
          <t>1970-1971</t>
        </is>
      </c>
      <c r="F270" s="18" t="inlineStr"/>
      <c r="G270" s="18" t="inlineStr">
        <is>
          <t>Sedan</t>
        </is>
      </c>
      <c r="H270" s="18" t="inlineStr">
        <is>
          <t>3XXXL</t>
        </is>
      </c>
      <c r="I270" s="19">
        <f t="array" ref="I270">TRIM(_xlfn.XLOOKUP(非皮卡压缩表[[#This Row],[BACKSIZE]],ALL尺码表[内部尺码],ALL尺码表[分类],""))</f>
        <v/>
      </c>
      <c r="J270" s="19">
        <f t="array" ref="J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" s="20">
        <f>LEN(非皮卡压缩表[[#This Row],[LONG-TYPE]])</f>
        <v/>
      </c>
      <c r="L270" s="21">
        <f t="array" ref="L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" s="22">
        <f>LEN(非皮卡压缩表[[#This Row],[TYPE]])</f>
        <v/>
      </c>
      <c r="N270" s="22">
        <f t="array" ref="N270">_xlfn.XLOOKUP(非皮卡压缩表[[#This Row],[MODEL]],MODEL缩写表[长MODEL],MODEL缩写表[短MODEL],非皮卡压缩表[[#This Row],[MODEL]])</f>
        <v/>
      </c>
      <c r="O270" s="22">
        <f>LEN(非皮卡压缩表[[#This Row],[SHORT-MODEL]])</f>
        <v/>
      </c>
      <c r="P270" s="11">
        <f t="array" ref="P270">TRIM(_xlfn.XLOOKUP(非皮卡压缩表[[#This Row],[BACKSIZE]],ALL尺码表[内部尺码],ALL尺码表[通用尺码]))</f>
        <v/>
      </c>
    </row>
    <row r="271">
      <c r="A271" s="17" t="inlineStr">
        <is>
          <t>ALL</t>
        </is>
      </c>
      <c r="B271" s="18" t="inlineStr">
        <is>
          <t>Chevrolet Bel Air</t>
        </is>
      </c>
      <c r="C271" s="18" t="inlineStr">
        <is>
          <t>Chevrolet</t>
        </is>
      </c>
      <c r="D271" s="18" t="inlineStr">
        <is>
          <t>Bel Air</t>
        </is>
      </c>
      <c r="E271" s="18" t="inlineStr">
        <is>
          <t>1972-1975</t>
        </is>
      </c>
      <c r="F271" s="18" t="inlineStr"/>
      <c r="G271" s="18" t="inlineStr">
        <is>
          <t>Sedan</t>
        </is>
      </c>
      <c r="H271" s="18" t="inlineStr">
        <is>
          <t>无可用尺码</t>
        </is>
      </c>
      <c r="I271" s="19">
        <f t="array" ref="I271">TRIM(_xlfn.XLOOKUP(非皮卡压缩表[[#This Row],[BACKSIZE]],ALL尺码表[内部尺码],ALL尺码表[分类],""))</f>
        <v/>
      </c>
      <c r="J271" s="19">
        <f t="array" ref="J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" s="20">
        <f>LEN(非皮卡压缩表[[#This Row],[LONG-TYPE]])</f>
        <v/>
      </c>
      <c r="L271" s="21">
        <f t="array" ref="L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" s="22">
        <f>LEN(非皮卡压缩表[[#This Row],[TYPE]])</f>
        <v/>
      </c>
      <c r="N271" s="22">
        <f t="array" ref="N271">_xlfn.XLOOKUP(非皮卡压缩表[[#This Row],[MODEL]],MODEL缩写表[长MODEL],MODEL缩写表[短MODEL],非皮卡压缩表[[#This Row],[MODEL]])</f>
        <v/>
      </c>
      <c r="O271" s="22">
        <f>LEN(非皮卡压缩表[[#This Row],[SHORT-MODEL]])</f>
        <v/>
      </c>
      <c r="P271" s="11">
        <f t="array" ref="P271">TRIM(_xlfn.XLOOKUP(非皮卡压缩表[[#This Row],[BACKSIZE]],ALL尺码表[内部尺码],ALL尺码表[通用尺码]))</f>
        <v/>
      </c>
    </row>
    <row r="272">
      <c r="A272" s="17" t="inlineStr">
        <is>
          <t>ALL</t>
        </is>
      </c>
      <c r="B272" s="18" t="inlineStr">
        <is>
          <t>Chevrolet Beretta</t>
        </is>
      </c>
      <c r="C272" s="18" t="inlineStr">
        <is>
          <t>Chevrolet</t>
        </is>
      </c>
      <c r="D272" s="18" t="inlineStr">
        <is>
          <t>Beretta</t>
        </is>
      </c>
      <c r="E272" s="18" t="inlineStr">
        <is>
          <t>1987-1996</t>
        </is>
      </c>
      <c r="F272" s="18" t="inlineStr"/>
      <c r="G272" s="18" t="inlineStr">
        <is>
          <t>Coupe</t>
        </is>
      </c>
      <c r="H272" s="18" t="inlineStr">
        <is>
          <t>3XL-0</t>
        </is>
      </c>
      <c r="I272" s="19">
        <f t="array" ref="I272">TRIM(_xlfn.XLOOKUP(非皮卡压缩表[[#This Row],[BACKSIZE]],ALL尺码表[内部尺码],ALL尺码表[分类],""))</f>
        <v/>
      </c>
      <c r="J272" s="19">
        <f t="array" ref="J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" s="20">
        <f>LEN(非皮卡压缩表[[#This Row],[LONG-TYPE]])</f>
        <v/>
      </c>
      <c r="L272" s="21">
        <f t="array" ref="L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" s="22">
        <f>LEN(非皮卡压缩表[[#This Row],[TYPE]])</f>
        <v/>
      </c>
      <c r="N272" s="22">
        <f t="array" ref="N272">_xlfn.XLOOKUP(非皮卡压缩表[[#This Row],[MODEL]],MODEL缩写表[长MODEL],MODEL缩写表[短MODEL],非皮卡压缩表[[#This Row],[MODEL]])</f>
        <v/>
      </c>
      <c r="O272" s="22">
        <f>LEN(非皮卡压缩表[[#This Row],[SHORT-MODEL]])</f>
        <v/>
      </c>
      <c r="P272" s="11">
        <f t="array" ref="P272">TRIM(_xlfn.XLOOKUP(非皮卡压缩表[[#This Row],[BACKSIZE]],ALL尺码表[内部尺码],ALL尺码表[通用尺码]))</f>
        <v/>
      </c>
    </row>
    <row r="273">
      <c r="A273" s="17" t="inlineStr">
        <is>
          <t>ALL</t>
        </is>
      </c>
      <c r="B273" s="18" t="inlineStr">
        <is>
          <t>Chevrolet Beretta</t>
        </is>
      </c>
      <c r="C273" s="18" t="inlineStr">
        <is>
          <t>Chevrolet</t>
        </is>
      </c>
      <c r="D273" s="18" t="inlineStr">
        <is>
          <t>Beretta</t>
        </is>
      </c>
      <c r="E273" s="18" t="inlineStr">
        <is>
          <t>1992-1994</t>
        </is>
      </c>
      <c r="F273" s="18" t="inlineStr">
        <is>
          <t>GT/GTZ</t>
        </is>
      </c>
      <c r="G273" s="18" t="inlineStr">
        <is>
          <t>Coupe</t>
        </is>
      </c>
      <c r="H273" s="18" t="inlineStr">
        <is>
          <t>3L-0</t>
        </is>
      </c>
      <c r="I273" s="19">
        <f t="array" ref="I273">TRIM(_xlfn.XLOOKUP(非皮卡压缩表[[#This Row],[BACKSIZE]],ALL尺码表[内部尺码],ALL尺码表[分类],""))</f>
        <v/>
      </c>
      <c r="J273" s="19">
        <f t="array" ref="J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" s="20">
        <f>LEN(非皮卡压缩表[[#This Row],[LONG-TYPE]])</f>
        <v/>
      </c>
      <c r="L273" s="21">
        <f t="array" ref="L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" s="22">
        <f>LEN(非皮卡压缩表[[#This Row],[TYPE]])</f>
        <v/>
      </c>
      <c r="N273" s="22">
        <f t="array" ref="N273">_xlfn.XLOOKUP(非皮卡压缩表[[#This Row],[MODEL]],MODEL缩写表[长MODEL],MODEL缩写表[短MODEL],非皮卡压缩表[[#This Row],[MODEL]])</f>
        <v/>
      </c>
      <c r="O273" s="22">
        <f>LEN(非皮卡压缩表[[#This Row],[SHORT-MODEL]])</f>
        <v/>
      </c>
      <c r="P273" s="11">
        <f t="array" ref="P273">TRIM(_xlfn.XLOOKUP(非皮卡压缩表[[#This Row],[BACKSIZE]],ALL尺码表[内部尺码],ALL尺码表[通用尺码]))</f>
        <v/>
      </c>
    </row>
    <row r="274">
      <c r="A274" s="17" t="inlineStr">
        <is>
          <t>ALL</t>
        </is>
      </c>
      <c r="B274" s="18" t="inlineStr">
        <is>
          <t>Chevrolet Blazer</t>
        </is>
      </c>
      <c r="C274" s="18" t="inlineStr">
        <is>
          <t>Chevrolet</t>
        </is>
      </c>
      <c r="D274" s="18" t="inlineStr">
        <is>
          <t>Blazer</t>
        </is>
      </c>
      <c r="E274" s="18" t="inlineStr">
        <is>
          <t>1969-1972</t>
        </is>
      </c>
      <c r="F274" s="18" t="inlineStr"/>
      <c r="G274" s="18" t="inlineStr">
        <is>
          <t>SUV</t>
        </is>
      </c>
      <c r="H274" s="18" t="inlineStr">
        <is>
          <t>YM+</t>
        </is>
      </c>
      <c r="I274" s="19">
        <f t="array" ref="I274">TRIM(_xlfn.XLOOKUP(非皮卡压缩表[[#This Row],[BACKSIZE]],ALL尺码表[内部尺码],ALL尺码表[分类],""))</f>
        <v/>
      </c>
      <c r="J274" s="19">
        <f t="array" ref="J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" s="20">
        <f>LEN(非皮卡压缩表[[#This Row],[LONG-TYPE]])</f>
        <v/>
      </c>
      <c r="L274" s="21">
        <f t="array" ref="L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" s="22">
        <f>LEN(非皮卡压缩表[[#This Row],[TYPE]])</f>
        <v/>
      </c>
      <c r="N274" s="22">
        <f t="array" ref="N274">_xlfn.XLOOKUP(非皮卡压缩表[[#This Row],[MODEL]],MODEL缩写表[长MODEL],MODEL缩写表[短MODEL],非皮卡压缩表[[#This Row],[MODEL]])</f>
        <v/>
      </c>
      <c r="O274" s="22">
        <f>LEN(非皮卡压缩表[[#This Row],[SHORT-MODEL]])</f>
        <v/>
      </c>
      <c r="P274" s="11">
        <f t="array" ref="P274">TRIM(_xlfn.XLOOKUP(非皮卡压缩表[[#This Row],[BACKSIZE]],ALL尺码表[内部尺码],ALL尺码表[通用尺码]))</f>
        <v/>
      </c>
    </row>
    <row r="275">
      <c r="A275" s="17" t="inlineStr">
        <is>
          <t>ALL</t>
        </is>
      </c>
      <c r="B275" s="18" t="inlineStr">
        <is>
          <t>Chevrolet Blazer</t>
        </is>
      </c>
      <c r="C275" s="18" t="inlineStr">
        <is>
          <t>Chevrolet</t>
        </is>
      </c>
      <c r="D275" s="18" t="inlineStr">
        <is>
          <t>Blazer</t>
        </is>
      </c>
      <c r="E275" s="18" t="inlineStr">
        <is>
          <t>1973-1994</t>
        </is>
      </c>
      <c r="F275" s="18" t="inlineStr"/>
      <c r="G275" s="18" t="inlineStr">
        <is>
          <t>SUV</t>
        </is>
      </c>
      <c r="H275" s="18" t="inlineStr">
        <is>
          <t>YL</t>
        </is>
      </c>
      <c r="I275" s="19">
        <f t="array" ref="I275">TRIM(_xlfn.XLOOKUP(非皮卡压缩表[[#This Row],[BACKSIZE]],ALL尺码表[内部尺码],ALL尺码表[分类],""))</f>
        <v/>
      </c>
      <c r="J275" s="19">
        <f t="array" ref="J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" s="20">
        <f>LEN(非皮卡压缩表[[#This Row],[LONG-TYPE]])</f>
        <v/>
      </c>
      <c r="L275" s="21">
        <f t="array" ref="L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" s="22">
        <f>LEN(非皮卡压缩表[[#This Row],[TYPE]])</f>
        <v/>
      </c>
      <c r="N275" s="22">
        <f t="array" ref="N275">_xlfn.XLOOKUP(非皮卡压缩表[[#This Row],[MODEL]],MODEL缩写表[长MODEL],MODEL缩写表[短MODEL],非皮卡压缩表[[#This Row],[MODEL]])</f>
        <v/>
      </c>
      <c r="O275" s="22">
        <f>LEN(非皮卡压缩表[[#This Row],[SHORT-MODEL]])</f>
        <v/>
      </c>
      <c r="P275" s="11">
        <f t="array" ref="P275">TRIM(_xlfn.XLOOKUP(非皮卡压缩表[[#This Row],[BACKSIZE]],ALL尺码表[内部尺码],ALL尺码表[通用尺码]))</f>
        <v/>
      </c>
    </row>
    <row r="276">
      <c r="A276" s="17" t="inlineStr">
        <is>
          <t>ALL</t>
        </is>
      </c>
      <c r="B276" s="18" t="inlineStr">
        <is>
          <t>Chevrolet Blazer</t>
        </is>
      </c>
      <c r="C276" s="18" t="inlineStr">
        <is>
          <t>Chevrolet</t>
        </is>
      </c>
      <c r="D276" s="18" t="inlineStr">
        <is>
          <t>Blazer</t>
        </is>
      </c>
      <c r="E276" s="18" t="inlineStr">
        <is>
          <t>1995-1996</t>
        </is>
      </c>
      <c r="F276" s="18" t="inlineStr"/>
      <c r="G276" s="18" t="inlineStr">
        <is>
          <t>SUV</t>
        </is>
      </c>
      <c r="H276" s="18" t="inlineStr">
        <is>
          <t>YM+</t>
        </is>
      </c>
      <c r="I276" s="19">
        <f t="array" ref="I276">TRIM(_xlfn.XLOOKUP(非皮卡压缩表[[#This Row],[BACKSIZE]],ALL尺码表[内部尺码],ALL尺码表[分类],""))</f>
        <v/>
      </c>
      <c r="J276" s="19">
        <f t="array" ref="J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" s="20">
        <f>LEN(非皮卡压缩表[[#This Row],[LONG-TYPE]])</f>
        <v/>
      </c>
      <c r="L276" s="21">
        <f t="array" ref="L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" s="22">
        <f>LEN(非皮卡压缩表[[#This Row],[TYPE]])</f>
        <v/>
      </c>
      <c r="N276" s="22">
        <f t="array" ref="N276">_xlfn.XLOOKUP(非皮卡压缩表[[#This Row],[MODEL]],MODEL缩写表[长MODEL],MODEL缩写表[短MODEL],非皮卡压缩表[[#This Row],[MODEL]])</f>
        <v/>
      </c>
      <c r="O276" s="22">
        <f>LEN(非皮卡压缩表[[#This Row],[SHORT-MODEL]])</f>
        <v/>
      </c>
      <c r="P276" s="11">
        <f t="array" ref="P276">TRIM(_xlfn.XLOOKUP(非皮卡压缩表[[#This Row],[BACKSIZE]],ALL尺码表[内部尺码],ALL尺码表[通用尺码]))</f>
        <v/>
      </c>
    </row>
    <row r="277">
      <c r="A277" s="17" t="inlineStr">
        <is>
          <t>ALL</t>
        </is>
      </c>
      <c r="B277" s="18" t="inlineStr">
        <is>
          <t>Chevrolet Blazer</t>
        </is>
      </c>
      <c r="C277" s="18" t="inlineStr">
        <is>
          <t>Chevrolet</t>
        </is>
      </c>
      <c r="D277" s="18" t="inlineStr">
        <is>
          <t>Blazer</t>
        </is>
      </c>
      <c r="E277" s="18" t="inlineStr">
        <is>
          <t>1996-2005</t>
        </is>
      </c>
      <c r="F277" s="18" t="inlineStr"/>
      <c r="G277" s="18" t="inlineStr">
        <is>
          <t>SUV</t>
        </is>
      </c>
      <c r="H277" s="18" t="inlineStr">
        <is>
          <t>YL</t>
        </is>
      </c>
      <c r="I277" s="19">
        <f t="array" ref="I277">TRIM(_xlfn.XLOOKUP(非皮卡压缩表[[#This Row],[BACKSIZE]],ALL尺码表[内部尺码],ALL尺码表[分类],""))</f>
        <v/>
      </c>
      <c r="J277" s="19">
        <f t="array" ref="J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" s="20">
        <f>LEN(非皮卡压缩表[[#This Row],[LONG-TYPE]])</f>
        <v/>
      </c>
      <c r="L277" s="21">
        <f t="array" ref="L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" s="22">
        <f>LEN(非皮卡压缩表[[#This Row],[TYPE]])</f>
        <v/>
      </c>
      <c r="N277" s="22">
        <f t="array" ref="N277">_xlfn.XLOOKUP(非皮卡压缩表[[#This Row],[MODEL]],MODEL缩写表[长MODEL],MODEL缩写表[短MODEL],非皮卡压缩表[[#This Row],[MODEL]])</f>
        <v/>
      </c>
      <c r="O277" s="22">
        <f>LEN(非皮卡压缩表[[#This Row],[SHORT-MODEL]])</f>
        <v/>
      </c>
      <c r="P277" s="11">
        <f t="array" ref="P277">TRIM(_xlfn.XLOOKUP(非皮卡压缩表[[#This Row],[BACKSIZE]],ALL尺码表[内部尺码],ALL尺码表[通用尺码]))</f>
        <v/>
      </c>
    </row>
    <row r="278">
      <c r="A278" s="17" t="inlineStr">
        <is>
          <t>ALL</t>
        </is>
      </c>
      <c r="B278" s="18" t="inlineStr">
        <is>
          <t>Chevrolet Blazer</t>
        </is>
      </c>
      <c r="C278" s="18" t="inlineStr">
        <is>
          <t>Chevrolet</t>
        </is>
      </c>
      <c r="D278" s="18" t="inlineStr">
        <is>
          <t>Blazer</t>
        </is>
      </c>
      <c r="E278" s="18" t="inlineStr">
        <is>
          <t>1998</t>
        </is>
      </c>
      <c r="F278" s="18" t="inlineStr"/>
      <c r="G278" s="18" t="inlineStr">
        <is>
          <t>SUV</t>
        </is>
      </c>
      <c r="H278" s="18" t="inlineStr">
        <is>
          <t>YM+</t>
        </is>
      </c>
      <c r="I278" s="19">
        <f t="array" ref="I278">TRIM(_xlfn.XLOOKUP(非皮卡压缩表[[#This Row],[BACKSIZE]],ALL尺码表[内部尺码],ALL尺码表[分类],""))</f>
        <v/>
      </c>
      <c r="J278" s="19">
        <f t="array" ref="J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" s="20">
        <f>LEN(非皮卡压缩表[[#This Row],[LONG-TYPE]])</f>
        <v/>
      </c>
      <c r="L278" s="21">
        <f t="array" ref="L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" s="22">
        <f>LEN(非皮卡压缩表[[#This Row],[TYPE]])</f>
        <v/>
      </c>
      <c r="N278" s="22">
        <f t="array" ref="N278">_xlfn.XLOOKUP(非皮卡压缩表[[#This Row],[MODEL]],MODEL缩写表[长MODEL],MODEL缩写表[短MODEL],非皮卡压缩表[[#This Row],[MODEL]])</f>
        <v/>
      </c>
      <c r="O278" s="22">
        <f>LEN(非皮卡压缩表[[#This Row],[SHORT-MODEL]])</f>
        <v/>
      </c>
      <c r="P278" s="11">
        <f t="array" ref="P278">TRIM(_xlfn.XLOOKUP(非皮卡压缩表[[#This Row],[BACKSIZE]],ALL尺码表[内部尺码],ALL尺码表[通用尺码]))</f>
        <v/>
      </c>
    </row>
    <row r="279">
      <c r="A279" s="17" t="inlineStr">
        <is>
          <t>ALL</t>
        </is>
      </c>
      <c r="B279" s="18" t="inlineStr">
        <is>
          <t>Chevrolet Blazer</t>
        </is>
      </c>
      <c r="C279" s="18" t="inlineStr">
        <is>
          <t>Chevrolet</t>
        </is>
      </c>
      <c r="D279" s="18" t="inlineStr">
        <is>
          <t>Blazer</t>
        </is>
      </c>
      <c r="E279" s="18" t="inlineStr">
        <is>
          <t>2003-2004</t>
        </is>
      </c>
      <c r="F279" s="18" t="inlineStr"/>
      <c r="G279" s="18" t="inlineStr">
        <is>
          <t>SUV</t>
        </is>
      </c>
      <c r="H279" s="18" t="inlineStr">
        <is>
          <t>YM+</t>
        </is>
      </c>
      <c r="I279" s="19">
        <f t="array" ref="I279">TRIM(_xlfn.XLOOKUP(非皮卡压缩表[[#This Row],[BACKSIZE]],ALL尺码表[内部尺码],ALL尺码表[分类],""))</f>
        <v/>
      </c>
      <c r="J279" s="19">
        <f t="array" ref="J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" s="20">
        <f>LEN(非皮卡压缩表[[#This Row],[LONG-TYPE]])</f>
        <v/>
      </c>
      <c r="L279" s="21">
        <f t="array" ref="L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" s="22">
        <f>LEN(非皮卡压缩表[[#This Row],[TYPE]])</f>
        <v/>
      </c>
      <c r="N279" s="22">
        <f t="array" ref="N279">_xlfn.XLOOKUP(非皮卡压缩表[[#This Row],[MODEL]],MODEL缩写表[长MODEL],MODEL缩写表[短MODEL],非皮卡压缩表[[#This Row],[MODEL]])</f>
        <v/>
      </c>
      <c r="O279" s="22">
        <f>LEN(非皮卡压缩表[[#This Row],[SHORT-MODEL]])</f>
        <v/>
      </c>
      <c r="P279" s="11">
        <f t="array" ref="P279">TRIM(_xlfn.XLOOKUP(非皮卡压缩表[[#This Row],[BACKSIZE]],ALL尺码表[内部尺码],ALL尺码表[通用尺码]))</f>
        <v/>
      </c>
    </row>
    <row r="280">
      <c r="A280" s="17" t="inlineStr">
        <is>
          <t>ALL</t>
        </is>
      </c>
      <c r="B280" s="18" t="inlineStr">
        <is>
          <t>Chevrolet Blazer</t>
        </is>
      </c>
      <c r="C280" s="18" t="inlineStr">
        <is>
          <t>Chevrolet</t>
        </is>
      </c>
      <c r="D280" s="18" t="inlineStr">
        <is>
          <t>Blazer</t>
        </is>
      </c>
      <c r="E280" s="18" t="inlineStr">
        <is>
          <t>2019-2026</t>
        </is>
      </c>
      <c r="F280" s="18" t="inlineStr"/>
      <c r="G280" s="18" t="inlineStr">
        <is>
          <t>SUV</t>
        </is>
      </c>
      <c r="H280" s="18" t="inlineStr">
        <is>
          <t>YXL</t>
        </is>
      </c>
      <c r="I280" s="19">
        <f t="array" ref="I280">TRIM(_xlfn.XLOOKUP(非皮卡压缩表[[#This Row],[BACKSIZE]],ALL尺码表[内部尺码],ALL尺码表[分类],""))</f>
        <v/>
      </c>
      <c r="J280" s="19">
        <f t="array" ref="J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" s="20">
        <f>LEN(非皮卡压缩表[[#This Row],[LONG-TYPE]])</f>
        <v/>
      </c>
      <c r="L280" s="21">
        <f t="array" ref="L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" s="22">
        <f>LEN(非皮卡压缩表[[#This Row],[TYPE]])</f>
        <v/>
      </c>
      <c r="N280" s="22">
        <f t="array" ref="N280">_xlfn.XLOOKUP(非皮卡压缩表[[#This Row],[MODEL]],MODEL缩写表[长MODEL],MODEL缩写表[短MODEL],非皮卡压缩表[[#This Row],[MODEL]])</f>
        <v/>
      </c>
      <c r="O280" s="22">
        <f>LEN(非皮卡压缩表[[#This Row],[SHORT-MODEL]])</f>
        <v/>
      </c>
      <c r="P280" s="11">
        <f t="array" ref="P280">TRIM(_xlfn.XLOOKUP(非皮卡压缩表[[#This Row],[BACKSIZE]],ALL尺码表[内部尺码],ALL尺码表[通用尺码]))</f>
        <v/>
      </c>
    </row>
    <row r="281">
      <c r="A281" s="17" t="inlineStr">
        <is>
          <t>ALL</t>
        </is>
      </c>
      <c r="B281" s="18" t="inlineStr">
        <is>
          <t>Chevrolet Bolt</t>
        </is>
      </c>
      <c r="C281" s="18" t="inlineStr">
        <is>
          <t>Chevrolet</t>
        </is>
      </c>
      <c r="D281" s="18" t="inlineStr">
        <is>
          <t>Bolt</t>
        </is>
      </c>
      <c r="E281" s="18" t="inlineStr">
        <is>
          <t>2017-2027</t>
        </is>
      </c>
      <c r="F281" s="18" t="inlineStr"/>
      <c r="G281" s="18" t="inlineStr">
        <is>
          <t>Hatchback</t>
        </is>
      </c>
      <c r="H281" s="18" t="inlineStr">
        <is>
          <t>2L+</t>
        </is>
      </c>
      <c r="I281" s="19">
        <f t="array" ref="I281">TRIM(_xlfn.XLOOKUP(非皮卡压缩表[[#This Row],[BACKSIZE]],ALL尺码表[内部尺码],ALL尺码表[分类],""))</f>
        <v/>
      </c>
      <c r="J281" s="19">
        <f t="array" ref="J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" s="20">
        <f>LEN(非皮卡压缩表[[#This Row],[LONG-TYPE]])</f>
        <v/>
      </c>
      <c r="L281" s="21">
        <f t="array" ref="L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" s="22">
        <f>LEN(非皮卡压缩表[[#This Row],[TYPE]])</f>
        <v/>
      </c>
      <c r="N281" s="22">
        <f t="array" ref="N281">_xlfn.XLOOKUP(非皮卡压缩表[[#This Row],[MODEL]],MODEL缩写表[长MODEL],MODEL缩写表[短MODEL],非皮卡压缩表[[#This Row],[MODEL]])</f>
        <v/>
      </c>
      <c r="O281" s="22">
        <f>LEN(非皮卡压缩表[[#This Row],[SHORT-MODEL]])</f>
        <v/>
      </c>
      <c r="P281" s="11">
        <f t="array" ref="P281">TRIM(_xlfn.XLOOKUP(非皮卡压缩表[[#This Row],[BACKSIZE]],ALL尺码表[内部尺码],ALL尺码表[通用尺码]))</f>
        <v/>
      </c>
    </row>
    <row r="282">
      <c r="A282" s="17" t="inlineStr">
        <is>
          <t>ALL</t>
        </is>
      </c>
      <c r="B282" s="18" t="inlineStr">
        <is>
          <t>Chevrolet Bolt EUV</t>
        </is>
      </c>
      <c r="C282" s="18" t="inlineStr">
        <is>
          <t>Chevrolet</t>
        </is>
      </c>
      <c r="D282" s="18" t="inlineStr">
        <is>
          <t>Bolt EUV</t>
        </is>
      </c>
      <c r="E282" s="18" t="inlineStr">
        <is>
          <t>2022-2023</t>
        </is>
      </c>
      <c r="F282" s="18" t="inlineStr"/>
      <c r="G282" s="18" t="inlineStr">
        <is>
          <t>SUV</t>
        </is>
      </c>
      <c r="H282" s="18" t="inlineStr">
        <is>
          <t>YM+</t>
        </is>
      </c>
      <c r="I282" s="19">
        <f t="array" ref="I282">TRIM(_xlfn.XLOOKUP(非皮卡压缩表[[#This Row],[BACKSIZE]],ALL尺码表[内部尺码],ALL尺码表[分类],""))</f>
        <v/>
      </c>
      <c r="J282" s="19">
        <f t="array" ref="J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" s="20">
        <f>LEN(非皮卡压缩表[[#This Row],[LONG-TYPE]])</f>
        <v/>
      </c>
      <c r="L282" s="21">
        <f t="array" ref="L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" s="22">
        <f>LEN(非皮卡压缩表[[#This Row],[TYPE]])</f>
        <v/>
      </c>
      <c r="N282" s="22">
        <f t="array" ref="N282">_xlfn.XLOOKUP(非皮卡压缩表[[#This Row],[MODEL]],MODEL缩写表[长MODEL],MODEL缩写表[短MODEL],非皮卡压缩表[[#This Row],[MODEL]])</f>
        <v/>
      </c>
      <c r="O282" s="22">
        <f>LEN(非皮卡压缩表[[#This Row],[SHORT-MODEL]])</f>
        <v/>
      </c>
      <c r="P282" s="11">
        <f t="array" ref="P282">TRIM(_xlfn.XLOOKUP(非皮卡压缩表[[#This Row],[BACKSIZE]],ALL尺码表[内部尺码],ALL尺码表[通用尺码]))</f>
        <v/>
      </c>
    </row>
    <row r="283">
      <c r="A283" s="17" t="inlineStr">
        <is>
          <t>ALL</t>
        </is>
      </c>
      <c r="B283" s="18" t="inlineStr">
        <is>
          <t>Chevrolet Camaro</t>
        </is>
      </c>
      <c r="C283" s="18" t="inlineStr">
        <is>
          <t>Chevrolet</t>
        </is>
      </c>
      <c r="D283" s="18" t="inlineStr">
        <is>
          <t>Camaro</t>
        </is>
      </c>
      <c r="E283" s="18" t="inlineStr">
        <is>
          <t>1967-1969</t>
        </is>
      </c>
      <c r="F283" s="18" t="inlineStr"/>
      <c r="G283" s="18" t="inlineStr">
        <is>
          <t>Convertible/Coupe</t>
        </is>
      </c>
      <c r="H283" s="18" t="inlineStr">
        <is>
          <t>3XL-0</t>
        </is>
      </c>
      <c r="I283" s="19">
        <f t="array" ref="I283">TRIM(_xlfn.XLOOKUP(非皮卡压缩表[[#This Row],[BACKSIZE]],ALL尺码表[内部尺码],ALL尺码表[分类],""))</f>
        <v/>
      </c>
      <c r="J283" s="19">
        <f t="array" ref="J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" s="20">
        <f>LEN(非皮卡压缩表[[#This Row],[LONG-TYPE]])</f>
        <v/>
      </c>
      <c r="L283" s="21">
        <f t="array" ref="L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" s="22">
        <f>LEN(非皮卡压缩表[[#This Row],[TYPE]])</f>
        <v/>
      </c>
      <c r="N283" s="22">
        <f t="array" ref="N283">_xlfn.XLOOKUP(非皮卡压缩表[[#This Row],[MODEL]],MODEL缩写表[长MODEL],MODEL缩写表[短MODEL],非皮卡压缩表[[#This Row],[MODEL]])</f>
        <v/>
      </c>
      <c r="O283" s="22">
        <f>LEN(非皮卡压缩表[[#This Row],[SHORT-MODEL]])</f>
        <v/>
      </c>
      <c r="P283" s="11">
        <f t="array" ref="P283">TRIM(_xlfn.XLOOKUP(非皮卡压缩表[[#This Row],[BACKSIZE]],ALL尺码表[内部尺码],ALL尺码表[通用尺码]))</f>
        <v/>
      </c>
    </row>
    <row r="284">
      <c r="A284" s="17" t="inlineStr">
        <is>
          <t>ALL</t>
        </is>
      </c>
      <c r="B284" s="18" t="inlineStr">
        <is>
          <t>Chevrolet Camaro</t>
        </is>
      </c>
      <c r="C284" s="18" t="inlineStr">
        <is>
          <t>Chevrolet</t>
        </is>
      </c>
      <c r="D284" s="18" t="inlineStr">
        <is>
          <t>Camaro</t>
        </is>
      </c>
      <c r="E284" s="18" t="inlineStr">
        <is>
          <t>1970-1981</t>
        </is>
      </c>
      <c r="F284" s="18" t="inlineStr"/>
      <c r="G284" s="18" t="inlineStr">
        <is>
          <t>Coupe</t>
        </is>
      </c>
      <c r="H284" s="18" t="inlineStr">
        <is>
          <t>3XL+0</t>
        </is>
      </c>
      <c r="I284" s="19">
        <f t="array" ref="I284">TRIM(_xlfn.XLOOKUP(非皮卡压缩表[[#This Row],[BACKSIZE]],ALL尺码表[内部尺码],ALL尺码表[分类],""))</f>
        <v/>
      </c>
      <c r="J284" s="19">
        <f t="array" ref="J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" s="20">
        <f>LEN(非皮卡压缩表[[#This Row],[LONG-TYPE]])</f>
        <v/>
      </c>
      <c r="L284" s="21">
        <f t="array" ref="L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" s="22">
        <f>LEN(非皮卡压缩表[[#This Row],[TYPE]])</f>
        <v/>
      </c>
      <c r="N284" s="22">
        <f t="array" ref="N284">_xlfn.XLOOKUP(非皮卡压缩表[[#This Row],[MODEL]],MODEL缩写表[长MODEL],MODEL缩写表[短MODEL],非皮卡压缩表[[#This Row],[MODEL]])</f>
        <v/>
      </c>
      <c r="O284" s="22">
        <f>LEN(非皮卡压缩表[[#This Row],[SHORT-MODEL]])</f>
        <v/>
      </c>
      <c r="P284" s="11">
        <f t="array" ref="P284">TRIM(_xlfn.XLOOKUP(非皮卡压缩表[[#This Row],[BACKSIZE]],ALL尺码表[内部尺码],ALL尺码表[通用尺码]))</f>
        <v/>
      </c>
    </row>
    <row r="285" ht="30" customHeight="1" s="23">
      <c r="A285" s="17" t="inlineStr">
        <is>
          <t>ALL</t>
        </is>
      </c>
      <c r="B285" s="18" t="inlineStr">
        <is>
          <t>Chevrolet Camaro</t>
        </is>
      </c>
      <c r="C285" s="18" t="inlineStr">
        <is>
          <t>Chevrolet</t>
        </is>
      </c>
      <c r="D285" s="18" t="inlineStr">
        <is>
          <t>Camaro</t>
        </is>
      </c>
      <c r="E285" s="18" t="inlineStr">
        <is>
          <t>1982-1992</t>
        </is>
      </c>
      <c r="F285" s="18" t="inlineStr">
        <is>
          <t>Incl: IROC-Z/Z28</t>
        </is>
      </c>
      <c r="G285" s="18" t="inlineStr">
        <is>
          <t>Convertible/Coupe</t>
        </is>
      </c>
      <c r="H285" s="18" t="inlineStr">
        <is>
          <t>3XL-0</t>
        </is>
      </c>
      <c r="I285" s="19">
        <f t="array" ref="I285">TRIM(_xlfn.XLOOKUP(非皮卡压缩表[[#This Row],[BACKSIZE]],ALL尺码表[内部尺码],ALL尺码表[分类],""))</f>
        <v/>
      </c>
      <c r="J285" s="19">
        <f t="array" ref="J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" s="20">
        <f>LEN(非皮卡压缩表[[#This Row],[LONG-TYPE]])</f>
        <v/>
      </c>
      <c r="L285" s="21">
        <f t="array" ref="L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" s="22">
        <f>LEN(非皮卡压缩表[[#This Row],[TYPE]])</f>
        <v/>
      </c>
      <c r="N285" s="22">
        <f t="array" ref="N285">_xlfn.XLOOKUP(非皮卡压缩表[[#This Row],[MODEL]],MODEL缩写表[长MODEL],MODEL缩写表[短MODEL],非皮卡压缩表[[#This Row],[MODEL]])</f>
        <v/>
      </c>
      <c r="O285" s="22">
        <f>LEN(非皮卡压缩表[[#This Row],[SHORT-MODEL]])</f>
        <v/>
      </c>
      <c r="P285" s="11">
        <f t="array" ref="P285">TRIM(_xlfn.XLOOKUP(非皮卡压缩表[[#This Row],[BACKSIZE]],ALL尺码表[内部尺码],ALL尺码表[通用尺码]))</f>
        <v/>
      </c>
    </row>
    <row r="286" ht="30" customHeight="1" s="23">
      <c r="A286" s="17" t="inlineStr">
        <is>
          <t>ALL</t>
        </is>
      </c>
      <c r="B286" s="18" t="inlineStr">
        <is>
          <t>Chevrolet Camaro</t>
        </is>
      </c>
      <c r="C286" s="18" t="inlineStr">
        <is>
          <t>Chevrolet</t>
        </is>
      </c>
      <c r="D286" s="18" t="inlineStr">
        <is>
          <t>Camaro</t>
        </is>
      </c>
      <c r="E286" s="18" t="inlineStr">
        <is>
          <t>1993-2002</t>
        </is>
      </c>
      <c r="F286" s="18" t="inlineStr">
        <is>
          <t>Incl: Z28</t>
        </is>
      </c>
      <c r="G286" s="18" t="inlineStr">
        <is>
          <t>Convertible/Coupe</t>
        </is>
      </c>
      <c r="H286" s="18" t="inlineStr">
        <is>
          <t>3XL+0</t>
        </is>
      </c>
      <c r="I286" s="19">
        <f t="array" ref="I286">TRIM(_xlfn.XLOOKUP(非皮卡压缩表[[#This Row],[BACKSIZE]],ALL尺码表[内部尺码],ALL尺码表[分类],""))</f>
        <v/>
      </c>
      <c r="J286" s="19">
        <f t="array" ref="J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" s="20">
        <f>LEN(非皮卡压缩表[[#This Row],[LONG-TYPE]])</f>
        <v/>
      </c>
      <c r="L286" s="21">
        <f t="array" ref="L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" s="22">
        <f>LEN(非皮卡压缩表[[#This Row],[TYPE]])</f>
        <v/>
      </c>
      <c r="N286" s="22">
        <f t="array" ref="N286">_xlfn.XLOOKUP(非皮卡压缩表[[#This Row],[MODEL]],MODEL缩写表[长MODEL],MODEL缩写表[短MODEL],非皮卡压缩表[[#This Row],[MODEL]])</f>
        <v/>
      </c>
      <c r="O286" s="22">
        <f>LEN(非皮卡压缩表[[#This Row],[SHORT-MODEL]])</f>
        <v/>
      </c>
      <c r="P286" s="11">
        <f t="array" ref="P286">TRIM(_xlfn.XLOOKUP(非皮卡压缩表[[#This Row],[BACKSIZE]],ALL尺码表[内部尺码],ALL尺码表[通用尺码]))</f>
        <v/>
      </c>
    </row>
    <row r="287" ht="30" customHeight="1" s="23">
      <c r="A287" s="17" t="inlineStr">
        <is>
          <t>ALL</t>
        </is>
      </c>
      <c r="B287" s="18" t="inlineStr">
        <is>
          <t>Chevrolet Camaro</t>
        </is>
      </c>
      <c r="C287" s="18" t="inlineStr">
        <is>
          <t>Chevrolet</t>
        </is>
      </c>
      <c r="D287" s="18" t="inlineStr">
        <is>
          <t>Camaro</t>
        </is>
      </c>
      <c r="E287" s="18" t="inlineStr">
        <is>
          <t>2010-2024</t>
        </is>
      </c>
      <c r="F287" s="18" t="inlineStr">
        <is>
          <t>Incl: ZL1</t>
        </is>
      </c>
      <c r="G287" s="18" t="inlineStr">
        <is>
          <t>Convertible/Coupe</t>
        </is>
      </c>
      <c r="H287" s="18" t="inlineStr">
        <is>
          <t>3XL-0</t>
        </is>
      </c>
      <c r="I287" s="19">
        <f t="array" ref="I287">TRIM(_xlfn.XLOOKUP(非皮卡压缩表[[#This Row],[BACKSIZE]],ALL尺码表[内部尺码],ALL尺码表[分类],""))</f>
        <v/>
      </c>
      <c r="J287" s="19">
        <f t="array" ref="J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" s="20">
        <f>LEN(非皮卡压缩表[[#This Row],[LONG-TYPE]])</f>
        <v/>
      </c>
      <c r="L287" s="21">
        <f t="array" ref="L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" s="22">
        <f>LEN(非皮卡压缩表[[#This Row],[TYPE]])</f>
        <v/>
      </c>
      <c r="N287" s="22">
        <f t="array" ref="N287">_xlfn.XLOOKUP(非皮卡压缩表[[#This Row],[MODEL]],MODEL缩写表[长MODEL],MODEL缩写表[短MODEL],非皮卡压缩表[[#This Row],[MODEL]])</f>
        <v/>
      </c>
      <c r="O287" s="22">
        <f>LEN(非皮卡压缩表[[#This Row],[SHORT-MODEL]])</f>
        <v/>
      </c>
      <c r="P287" s="11">
        <f t="array" ref="P287">TRIM(_xlfn.XLOOKUP(非皮卡压缩表[[#This Row],[BACKSIZE]],ALL尺码表[内部尺码],ALL尺码表[通用尺码]))</f>
        <v/>
      </c>
    </row>
    <row r="288">
      <c r="A288" s="17" t="inlineStr">
        <is>
          <t>ALL</t>
        </is>
      </c>
      <c r="B288" s="18" t="inlineStr">
        <is>
          <t>Chevrolet Caprice</t>
        </is>
      </c>
      <c r="C288" s="18" t="inlineStr">
        <is>
          <t>Chevrolet</t>
        </is>
      </c>
      <c r="D288" s="18" t="inlineStr">
        <is>
          <t>Caprice</t>
        </is>
      </c>
      <c r="E288" s="18" t="inlineStr">
        <is>
          <t>1966-1970</t>
        </is>
      </c>
      <c r="F288" s="18" t="inlineStr"/>
      <c r="G288" s="18" t="inlineStr">
        <is>
          <t>Sedan</t>
        </is>
      </c>
      <c r="H288" s="18" t="inlineStr">
        <is>
          <t>3XXXL</t>
        </is>
      </c>
      <c r="I288" s="19">
        <f t="array" ref="I288">TRIM(_xlfn.XLOOKUP(非皮卡压缩表[[#This Row],[BACKSIZE]],ALL尺码表[内部尺码],ALL尺码表[分类],""))</f>
        <v/>
      </c>
      <c r="J288" s="19">
        <f t="array" ref="J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" s="20">
        <f>LEN(非皮卡压缩表[[#This Row],[LONG-TYPE]])</f>
        <v/>
      </c>
      <c r="L288" s="21">
        <f t="array" ref="L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" s="22">
        <f>LEN(非皮卡压缩表[[#This Row],[TYPE]])</f>
        <v/>
      </c>
      <c r="N288" s="22">
        <f t="array" ref="N288">_xlfn.XLOOKUP(非皮卡压缩表[[#This Row],[MODEL]],MODEL缩写表[长MODEL],MODEL缩写表[短MODEL],非皮卡压缩表[[#This Row],[MODEL]])</f>
        <v/>
      </c>
      <c r="O288" s="22">
        <f>LEN(非皮卡压缩表[[#This Row],[SHORT-MODEL]])</f>
        <v/>
      </c>
      <c r="P288" s="11">
        <f t="array" ref="P288">TRIM(_xlfn.XLOOKUP(非皮卡压缩表[[#This Row],[BACKSIZE]],ALL尺码表[内部尺码],ALL尺码表[通用尺码]))</f>
        <v/>
      </c>
    </row>
    <row r="289">
      <c r="A289" s="17" t="inlineStr">
        <is>
          <t>ALL</t>
        </is>
      </c>
      <c r="B289" s="18" t="inlineStr">
        <is>
          <t>Chevrolet Caprice</t>
        </is>
      </c>
      <c r="C289" s="18" t="inlineStr">
        <is>
          <t>Chevrolet</t>
        </is>
      </c>
      <c r="D289" s="18" t="inlineStr">
        <is>
          <t>Caprice</t>
        </is>
      </c>
      <c r="E289" s="18" t="inlineStr">
        <is>
          <t>1966-1971</t>
        </is>
      </c>
      <c r="F289" s="18" t="inlineStr"/>
      <c r="G289" s="18" t="inlineStr">
        <is>
          <t>Convertible/Coupe</t>
        </is>
      </c>
      <c r="H289" s="18" t="inlineStr">
        <is>
          <t>3XXXL-0</t>
        </is>
      </c>
      <c r="I289" s="19">
        <f t="array" ref="I289">TRIM(_xlfn.XLOOKUP(非皮卡压缩表[[#This Row],[BACKSIZE]],ALL尺码表[内部尺码],ALL尺码表[分类],""))</f>
        <v/>
      </c>
      <c r="J289" s="19">
        <f t="array" ref="J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" s="20">
        <f>LEN(非皮卡压缩表[[#This Row],[LONG-TYPE]])</f>
        <v/>
      </c>
      <c r="L289" s="21">
        <f t="array" ref="L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" s="22">
        <f>LEN(非皮卡压缩表[[#This Row],[TYPE]])</f>
        <v/>
      </c>
      <c r="N289" s="22">
        <f t="array" ref="N289">_xlfn.XLOOKUP(非皮卡压缩表[[#This Row],[MODEL]],MODEL缩写表[长MODEL],MODEL缩写表[短MODEL],非皮卡压缩表[[#This Row],[MODEL]])</f>
        <v/>
      </c>
      <c r="O289" s="22">
        <f>LEN(非皮卡压缩表[[#This Row],[SHORT-MODEL]])</f>
        <v/>
      </c>
      <c r="P289" s="11">
        <f t="array" ref="P289">TRIM(_xlfn.XLOOKUP(非皮卡压缩表[[#This Row],[BACKSIZE]],ALL尺码表[内部尺码],ALL尺码表[通用尺码]))</f>
        <v/>
      </c>
    </row>
    <row r="290">
      <c r="A290" s="17" t="inlineStr">
        <is>
          <t>ALL</t>
        </is>
      </c>
      <c r="B290" s="18" t="inlineStr">
        <is>
          <t>Chevrolet Caprice</t>
        </is>
      </c>
      <c r="C290" s="18" t="inlineStr">
        <is>
          <t>Chevrolet</t>
        </is>
      </c>
      <c r="D290" s="18" t="inlineStr">
        <is>
          <t>Caprice</t>
        </is>
      </c>
      <c r="E290" s="18" t="inlineStr">
        <is>
          <t>1966-1970</t>
        </is>
      </c>
      <c r="F290" s="18" t="inlineStr"/>
      <c r="G290" s="18" t="inlineStr">
        <is>
          <t>Wagon</t>
        </is>
      </c>
      <c r="H290" s="18" t="inlineStr">
        <is>
          <t>无可用尺码</t>
        </is>
      </c>
      <c r="I290" s="19">
        <f t="array" ref="I290">TRIM(_xlfn.XLOOKUP(非皮卡压缩表[[#This Row],[BACKSIZE]],ALL尺码表[内部尺码],ALL尺码表[分类],""))</f>
        <v/>
      </c>
      <c r="J290" s="19">
        <f t="array" ref="J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" s="20">
        <f>LEN(非皮卡压缩表[[#This Row],[LONG-TYPE]])</f>
        <v/>
      </c>
      <c r="L290" s="21">
        <f t="array" ref="L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" s="22">
        <f>LEN(非皮卡压缩表[[#This Row],[TYPE]])</f>
        <v/>
      </c>
      <c r="N290" s="22">
        <f t="array" ref="N290">_xlfn.XLOOKUP(非皮卡压缩表[[#This Row],[MODEL]],MODEL缩写表[长MODEL],MODEL缩写表[短MODEL],非皮卡压缩表[[#This Row],[MODEL]])</f>
        <v/>
      </c>
      <c r="O290" s="22">
        <f>LEN(非皮卡压缩表[[#This Row],[SHORT-MODEL]])</f>
        <v/>
      </c>
      <c r="P290" s="11">
        <f t="array" ref="P290">TRIM(_xlfn.XLOOKUP(非皮卡压缩表[[#This Row],[BACKSIZE]],ALL尺码表[内部尺码],ALL尺码表[通用尺码]))</f>
        <v/>
      </c>
    </row>
    <row r="291">
      <c r="A291" s="17" t="inlineStr">
        <is>
          <t>ALL</t>
        </is>
      </c>
      <c r="B291" s="18" t="inlineStr">
        <is>
          <t>Chevrolet Caprice</t>
        </is>
      </c>
      <c r="C291" s="18" t="inlineStr">
        <is>
          <t>Chevrolet</t>
        </is>
      </c>
      <c r="D291" s="18" t="inlineStr">
        <is>
          <t>Caprice</t>
        </is>
      </c>
      <c r="E291" s="18" t="inlineStr">
        <is>
          <t>1972-1976</t>
        </is>
      </c>
      <c r="F291" s="18" t="inlineStr"/>
      <c r="G291" s="18" t="inlineStr">
        <is>
          <t>Convertible/Coupe</t>
        </is>
      </c>
      <c r="H291" s="18" t="inlineStr">
        <is>
          <t>3XXXXL-0</t>
        </is>
      </c>
      <c r="I291" s="19">
        <f t="array" ref="I291">TRIM(_xlfn.XLOOKUP(非皮卡压缩表[[#This Row],[BACKSIZE]],ALL尺码表[内部尺码],ALL尺码表[分类],""))</f>
        <v/>
      </c>
      <c r="J291" s="19">
        <f t="array" ref="J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" s="20">
        <f>LEN(非皮卡压缩表[[#This Row],[LONG-TYPE]])</f>
        <v/>
      </c>
      <c r="L291" s="21">
        <f t="array" ref="L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" s="22">
        <f>LEN(非皮卡压缩表[[#This Row],[TYPE]])</f>
        <v/>
      </c>
      <c r="N291" s="22">
        <f t="array" ref="N291">_xlfn.XLOOKUP(非皮卡压缩表[[#This Row],[MODEL]],MODEL缩写表[长MODEL],MODEL缩写表[短MODEL],非皮卡压缩表[[#This Row],[MODEL]])</f>
        <v/>
      </c>
      <c r="O291" s="22">
        <f>LEN(非皮卡压缩表[[#This Row],[SHORT-MODEL]])</f>
        <v/>
      </c>
      <c r="P291" s="11">
        <f t="array" ref="P291">TRIM(_xlfn.XLOOKUP(非皮卡压缩表[[#This Row],[BACKSIZE]],ALL尺码表[内部尺码],ALL尺码表[通用尺码]))</f>
        <v/>
      </c>
    </row>
    <row r="292">
      <c r="A292" s="17" t="inlineStr">
        <is>
          <t>ALL</t>
        </is>
      </c>
      <c r="B292" s="18" t="inlineStr">
        <is>
          <t>Chevrolet Captiva</t>
        </is>
      </c>
      <c r="C292" s="18" t="inlineStr">
        <is>
          <t>Chevrolet</t>
        </is>
      </c>
      <c r="D292" s="18" t="inlineStr">
        <is>
          <t>Captiva</t>
        </is>
      </c>
      <c r="E292" s="18" t="inlineStr">
        <is>
          <t>2012-2015</t>
        </is>
      </c>
      <c r="F292" s="18" t="inlineStr"/>
      <c r="G292" s="18" t="inlineStr">
        <is>
          <t>SUV</t>
        </is>
      </c>
      <c r="H292" s="18" t="inlineStr">
        <is>
          <t>YM+</t>
        </is>
      </c>
      <c r="I292" s="19">
        <f t="array" ref="I292">TRIM(_xlfn.XLOOKUP(非皮卡压缩表[[#This Row],[BACKSIZE]],ALL尺码表[内部尺码],ALL尺码表[分类],""))</f>
        <v/>
      </c>
      <c r="J292" s="19">
        <f t="array" ref="J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" s="20">
        <f>LEN(非皮卡压缩表[[#This Row],[LONG-TYPE]])</f>
        <v/>
      </c>
      <c r="L292" s="21">
        <f t="array" ref="L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" s="22">
        <f>LEN(非皮卡压缩表[[#This Row],[TYPE]])</f>
        <v/>
      </c>
      <c r="N292" s="22">
        <f t="array" ref="N292">_xlfn.XLOOKUP(非皮卡压缩表[[#This Row],[MODEL]],MODEL缩写表[长MODEL],MODEL缩写表[短MODEL],非皮卡压缩表[[#This Row],[MODEL]])</f>
        <v/>
      </c>
      <c r="O292" s="22">
        <f>LEN(非皮卡压缩表[[#This Row],[SHORT-MODEL]])</f>
        <v/>
      </c>
      <c r="P292" s="11">
        <f t="array" ref="P292">TRIM(_xlfn.XLOOKUP(非皮卡压缩表[[#This Row],[BACKSIZE]],ALL尺码表[内部尺码],ALL尺码表[通用尺码]))</f>
        <v/>
      </c>
    </row>
    <row r="293">
      <c r="A293" s="17" t="inlineStr">
        <is>
          <t>ALL</t>
        </is>
      </c>
      <c r="B293" s="18" t="inlineStr">
        <is>
          <t>Chevrolet Cavalier</t>
        </is>
      </c>
      <c r="C293" s="18" t="inlineStr">
        <is>
          <t>Chevrolet</t>
        </is>
      </c>
      <c r="D293" s="18" t="inlineStr">
        <is>
          <t>Cavalier</t>
        </is>
      </c>
      <c r="E293" s="18" t="inlineStr">
        <is>
          <t>1982-2004</t>
        </is>
      </c>
      <c r="F293" s="18" t="inlineStr"/>
      <c r="G293" s="18" t="inlineStr">
        <is>
          <t>Sedan</t>
        </is>
      </c>
      <c r="H293" s="18" t="inlineStr">
        <is>
          <t>3L</t>
        </is>
      </c>
      <c r="I293" s="19">
        <f t="array" ref="I293">TRIM(_xlfn.XLOOKUP(非皮卡压缩表[[#This Row],[BACKSIZE]],ALL尺码表[内部尺码],ALL尺码表[分类],""))</f>
        <v/>
      </c>
      <c r="J293" s="19">
        <f t="array" ref="J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" s="20">
        <f>LEN(非皮卡压缩表[[#This Row],[LONG-TYPE]])</f>
        <v/>
      </c>
      <c r="L293" s="21">
        <f t="array" ref="L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" s="22">
        <f>LEN(非皮卡压缩表[[#This Row],[TYPE]])</f>
        <v/>
      </c>
      <c r="N293" s="22">
        <f t="array" ref="N293">_xlfn.XLOOKUP(非皮卡压缩表[[#This Row],[MODEL]],MODEL缩写表[长MODEL],MODEL缩写表[短MODEL],非皮卡压缩表[[#This Row],[MODEL]])</f>
        <v/>
      </c>
      <c r="O293" s="22">
        <f>LEN(非皮卡压缩表[[#This Row],[SHORT-MODEL]])</f>
        <v/>
      </c>
      <c r="P293" s="11">
        <f t="array" ref="P293">TRIM(_xlfn.XLOOKUP(非皮卡压缩表[[#This Row],[BACKSIZE]],ALL尺码表[内部尺码],ALL尺码表[通用尺码]))</f>
        <v/>
      </c>
    </row>
    <row r="294">
      <c r="A294" s="17" t="inlineStr">
        <is>
          <t>ALL</t>
        </is>
      </c>
      <c r="B294" s="18" t="inlineStr">
        <is>
          <t>Chevrolet Cavalier</t>
        </is>
      </c>
      <c r="C294" s="18" t="inlineStr">
        <is>
          <t>Chevrolet</t>
        </is>
      </c>
      <c r="D294" s="18" t="inlineStr">
        <is>
          <t>Cavalier</t>
        </is>
      </c>
      <c r="E294" s="18" t="inlineStr">
        <is>
          <t>1983-1988</t>
        </is>
      </c>
      <c r="F294" s="18" t="inlineStr"/>
      <c r="G294" s="18" t="inlineStr">
        <is>
          <t>Hatchback/Wagon</t>
        </is>
      </c>
      <c r="H294" s="18" t="inlineStr">
        <is>
          <t>2L+</t>
        </is>
      </c>
      <c r="I294" s="19">
        <f t="array" ref="I294">TRIM(_xlfn.XLOOKUP(非皮卡压缩表[[#This Row],[BACKSIZE]],ALL尺码表[内部尺码],ALL尺码表[分类],""))</f>
        <v/>
      </c>
      <c r="J294" s="19">
        <f t="array" ref="J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" s="20">
        <f>LEN(非皮卡压缩表[[#This Row],[LONG-TYPE]])</f>
        <v/>
      </c>
      <c r="L294" s="21">
        <f t="array" ref="L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" s="22">
        <f>LEN(非皮卡压缩表[[#This Row],[TYPE]])</f>
        <v/>
      </c>
      <c r="N294" s="22">
        <f t="array" ref="N294">_xlfn.XLOOKUP(非皮卡压缩表[[#This Row],[MODEL]],MODEL缩写表[长MODEL],MODEL缩写表[短MODEL],非皮卡压缩表[[#This Row],[MODEL]])</f>
        <v/>
      </c>
      <c r="O294" s="22">
        <f>LEN(非皮卡压缩表[[#This Row],[SHORT-MODEL]])</f>
        <v/>
      </c>
      <c r="P294" s="11">
        <f t="array" ref="P294">TRIM(_xlfn.XLOOKUP(非皮卡压缩表[[#This Row],[BACKSIZE]],ALL尺码表[内部尺码],ALL尺码表[通用尺码]))</f>
        <v/>
      </c>
    </row>
    <row r="295">
      <c r="A295" s="17" t="inlineStr">
        <is>
          <t>ALL</t>
        </is>
      </c>
      <c r="B295" s="18" t="inlineStr">
        <is>
          <t>Chevrolet Cavalier</t>
        </is>
      </c>
      <c r="C295" s="18" t="inlineStr">
        <is>
          <t>Chevrolet</t>
        </is>
      </c>
      <c r="D295" s="18" t="inlineStr">
        <is>
          <t>Cavalier</t>
        </is>
      </c>
      <c r="E295" s="18" t="inlineStr">
        <is>
          <t>1983-1987</t>
        </is>
      </c>
      <c r="F295" s="18" t="inlineStr"/>
      <c r="G295" s="18" t="inlineStr">
        <is>
          <t>Coupe</t>
        </is>
      </c>
      <c r="H295" s="18" t="inlineStr">
        <is>
          <t>3M-0</t>
        </is>
      </c>
      <c r="I295" s="19">
        <f t="array" ref="I295">TRIM(_xlfn.XLOOKUP(非皮卡压缩表[[#This Row],[BACKSIZE]],ALL尺码表[内部尺码],ALL尺码表[分类],""))</f>
        <v/>
      </c>
      <c r="J295" s="19">
        <f t="array" ref="J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" s="20">
        <f>LEN(非皮卡压缩表[[#This Row],[LONG-TYPE]])</f>
        <v/>
      </c>
      <c r="L295" s="21">
        <f t="array" ref="L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" s="22">
        <f>LEN(非皮卡压缩表[[#This Row],[TYPE]])</f>
        <v/>
      </c>
      <c r="N295" s="22">
        <f t="array" ref="N295">_xlfn.XLOOKUP(非皮卡压缩表[[#This Row],[MODEL]],MODEL缩写表[长MODEL],MODEL缩写表[短MODEL],非皮卡压缩表[[#This Row],[MODEL]])</f>
        <v/>
      </c>
      <c r="O295" s="22">
        <f>LEN(非皮卡压缩表[[#This Row],[SHORT-MODEL]])</f>
        <v/>
      </c>
      <c r="P295" s="11">
        <f t="array" ref="P295">TRIM(_xlfn.XLOOKUP(非皮卡压缩表[[#This Row],[BACKSIZE]],ALL尺码表[内部尺码],ALL尺码表[通用尺码]))</f>
        <v/>
      </c>
    </row>
    <row r="296">
      <c r="A296" s="17" t="inlineStr">
        <is>
          <t>ALL</t>
        </is>
      </c>
      <c r="B296" s="18" t="inlineStr">
        <is>
          <t>Chevrolet Cavalier</t>
        </is>
      </c>
      <c r="C296" s="18" t="inlineStr">
        <is>
          <t>Chevrolet</t>
        </is>
      </c>
      <c r="D296" s="18" t="inlineStr">
        <is>
          <t>Cavalier</t>
        </is>
      </c>
      <c r="E296" s="18" t="inlineStr">
        <is>
          <t>1989-2005</t>
        </is>
      </c>
      <c r="F296" s="18" t="inlineStr"/>
      <c r="G296" s="18" t="inlineStr">
        <is>
          <t>Convertible/Coupe</t>
        </is>
      </c>
      <c r="H296" s="18" t="inlineStr">
        <is>
          <t>3L-0</t>
        </is>
      </c>
      <c r="I296" s="19">
        <f t="array" ref="I296">TRIM(_xlfn.XLOOKUP(非皮卡压缩表[[#This Row],[BACKSIZE]],ALL尺码表[内部尺码],ALL尺码表[分类],""))</f>
        <v/>
      </c>
      <c r="J296" s="19">
        <f t="array" ref="J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" s="20">
        <f>LEN(非皮卡压缩表[[#This Row],[LONG-TYPE]])</f>
        <v/>
      </c>
      <c r="L296" s="21">
        <f t="array" ref="L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" s="22">
        <f>LEN(非皮卡压缩表[[#This Row],[TYPE]])</f>
        <v/>
      </c>
      <c r="N296" s="22">
        <f t="array" ref="N296">_xlfn.XLOOKUP(非皮卡压缩表[[#This Row],[MODEL]],MODEL缩写表[长MODEL],MODEL缩写表[短MODEL],非皮卡压缩表[[#This Row],[MODEL]])</f>
        <v/>
      </c>
      <c r="O296" s="22">
        <f>LEN(非皮卡压缩表[[#This Row],[SHORT-MODEL]])</f>
        <v/>
      </c>
      <c r="P296" s="11">
        <f t="array" ref="P296">TRIM(_xlfn.XLOOKUP(非皮卡压缩表[[#This Row],[BACKSIZE]],ALL尺码表[内部尺码],ALL尺码表[通用尺码]))</f>
        <v/>
      </c>
    </row>
    <row r="297">
      <c r="A297" s="17" t="inlineStr">
        <is>
          <t>ALL</t>
        </is>
      </c>
      <c r="B297" s="18" t="inlineStr">
        <is>
          <t>Chevrolet Cavalier</t>
        </is>
      </c>
      <c r="C297" s="18" t="inlineStr">
        <is>
          <t>Chevrolet</t>
        </is>
      </c>
      <c r="D297" s="18" t="inlineStr">
        <is>
          <t>Cavalier</t>
        </is>
      </c>
      <c r="E297" s="18" t="inlineStr">
        <is>
          <t>1992-1994</t>
        </is>
      </c>
      <c r="F297" s="18" t="inlineStr"/>
      <c r="G297" s="18" t="inlineStr">
        <is>
          <t>Wagon</t>
        </is>
      </c>
      <c r="H297" s="18" t="inlineStr">
        <is>
          <t>2XL</t>
        </is>
      </c>
      <c r="I297" s="19">
        <f t="array" ref="I297">TRIM(_xlfn.XLOOKUP(非皮卡压缩表[[#This Row],[BACKSIZE]],ALL尺码表[内部尺码],ALL尺码表[分类],""))</f>
        <v/>
      </c>
      <c r="J297" s="19">
        <f t="array" ref="J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" s="20">
        <f>LEN(非皮卡压缩表[[#This Row],[LONG-TYPE]])</f>
        <v/>
      </c>
      <c r="L297" s="21">
        <f t="array" ref="L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" s="22">
        <f>LEN(非皮卡压缩表[[#This Row],[TYPE]])</f>
        <v/>
      </c>
      <c r="N297" s="22">
        <f t="array" ref="N297">_xlfn.XLOOKUP(非皮卡压缩表[[#This Row],[MODEL]],MODEL缩写表[长MODEL],MODEL缩写表[短MODEL],非皮卡压缩表[[#This Row],[MODEL]])</f>
        <v/>
      </c>
      <c r="O297" s="22">
        <f>LEN(非皮卡压缩表[[#This Row],[SHORT-MODEL]])</f>
        <v/>
      </c>
      <c r="P297" s="11">
        <f t="array" ref="P297">TRIM(_xlfn.XLOOKUP(非皮卡压缩表[[#This Row],[BACKSIZE]],ALL尺码表[内部尺码],ALL尺码表[通用尺码]))</f>
        <v/>
      </c>
    </row>
    <row r="298">
      <c r="A298" s="17" t="inlineStr">
        <is>
          <t>ALL</t>
        </is>
      </c>
      <c r="B298" s="18" t="inlineStr">
        <is>
          <t>Chevrolet Chevelle</t>
        </is>
      </c>
      <c r="C298" s="18" t="inlineStr">
        <is>
          <t>Chevrolet</t>
        </is>
      </c>
      <c r="D298" s="18" t="inlineStr">
        <is>
          <t>Chevelle</t>
        </is>
      </c>
      <c r="E298" s="18" t="inlineStr">
        <is>
          <t>1964-1967</t>
        </is>
      </c>
      <c r="F298" s="18" t="inlineStr"/>
      <c r="G298" s="18" t="inlineStr">
        <is>
          <t>Wagon</t>
        </is>
      </c>
      <c r="H298" s="18" t="inlineStr">
        <is>
          <t>2XL+</t>
        </is>
      </c>
      <c r="I298" s="19">
        <f t="array" ref="I298">TRIM(_xlfn.XLOOKUP(非皮卡压缩表[[#This Row],[BACKSIZE]],ALL尺码表[内部尺码],ALL尺码表[分类],""))</f>
        <v/>
      </c>
      <c r="J298" s="19">
        <f t="array" ref="J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" s="20">
        <f>LEN(非皮卡压缩表[[#This Row],[LONG-TYPE]])</f>
        <v/>
      </c>
      <c r="L298" s="21">
        <f t="array" ref="L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" s="22">
        <f>LEN(非皮卡压缩表[[#This Row],[TYPE]])</f>
        <v/>
      </c>
      <c r="N298" s="22">
        <f t="array" ref="N298">_xlfn.XLOOKUP(非皮卡压缩表[[#This Row],[MODEL]],MODEL缩写表[长MODEL],MODEL缩写表[短MODEL],非皮卡压缩表[[#This Row],[MODEL]])</f>
        <v/>
      </c>
      <c r="O298" s="22">
        <f>LEN(非皮卡压缩表[[#This Row],[SHORT-MODEL]])</f>
        <v/>
      </c>
      <c r="P298" s="11">
        <f t="array" ref="P298">TRIM(_xlfn.XLOOKUP(非皮卡压缩表[[#This Row],[BACKSIZE]],ALL尺码表[内部尺码],ALL尺码表[通用尺码]))</f>
        <v/>
      </c>
    </row>
    <row r="299">
      <c r="A299" s="17" t="inlineStr">
        <is>
          <t>ALL</t>
        </is>
      </c>
      <c r="B299" s="18" t="inlineStr">
        <is>
          <t>Chevrolet Chevelle</t>
        </is>
      </c>
      <c r="C299" s="18" t="inlineStr">
        <is>
          <t>Chevrolet</t>
        </is>
      </c>
      <c r="D299" s="18" t="inlineStr">
        <is>
          <t>Chevelle</t>
        </is>
      </c>
      <c r="E299" s="18" t="inlineStr">
        <is>
          <t>1964-1972</t>
        </is>
      </c>
      <c r="F299" s="18" t="inlineStr"/>
      <c r="G299" s="18" t="inlineStr">
        <is>
          <t>Convertible/Coupe</t>
        </is>
      </c>
      <c r="H299" s="18" t="inlineStr">
        <is>
          <t>3XL+0</t>
        </is>
      </c>
      <c r="I299" s="19">
        <f t="array" ref="I299">TRIM(_xlfn.XLOOKUP(非皮卡压缩表[[#This Row],[BACKSIZE]],ALL尺码表[内部尺码],ALL尺码表[分类],""))</f>
        <v/>
      </c>
      <c r="J299" s="19">
        <f t="array" ref="J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" s="20">
        <f>LEN(非皮卡压缩表[[#This Row],[LONG-TYPE]])</f>
        <v/>
      </c>
      <c r="L299" s="21">
        <f t="array" ref="L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" s="22">
        <f>LEN(非皮卡压缩表[[#This Row],[TYPE]])</f>
        <v/>
      </c>
      <c r="N299" s="22">
        <f t="array" ref="N299">_xlfn.XLOOKUP(非皮卡压缩表[[#This Row],[MODEL]],MODEL缩写表[长MODEL],MODEL缩写表[短MODEL],非皮卡压缩表[[#This Row],[MODEL]])</f>
        <v/>
      </c>
      <c r="O299" s="22">
        <f>LEN(非皮卡压缩表[[#This Row],[SHORT-MODEL]])</f>
        <v/>
      </c>
      <c r="P299" s="11">
        <f t="array" ref="P299">TRIM(_xlfn.XLOOKUP(非皮卡压缩表[[#This Row],[BACKSIZE]],ALL尺码表[内部尺码],ALL尺码表[通用尺码]))</f>
        <v/>
      </c>
    </row>
    <row r="300">
      <c r="A300" s="17" t="inlineStr">
        <is>
          <t>ALL</t>
        </is>
      </c>
      <c r="B300" s="18" t="inlineStr">
        <is>
          <t>Chevrolet Chevelle</t>
        </is>
      </c>
      <c r="C300" s="18" t="inlineStr">
        <is>
          <t>Chevrolet</t>
        </is>
      </c>
      <c r="D300" s="18" t="inlineStr">
        <is>
          <t>Chevelle</t>
        </is>
      </c>
      <c r="E300" s="18" t="inlineStr">
        <is>
          <t>1964-1972</t>
        </is>
      </c>
      <c r="F300" s="18" t="inlineStr"/>
      <c r="G300" s="18" t="inlineStr">
        <is>
          <t>Sedan</t>
        </is>
      </c>
      <c r="H300" s="18" t="inlineStr">
        <is>
          <t>3XXL</t>
        </is>
      </c>
      <c r="I300" s="19">
        <f t="array" ref="I300">TRIM(_xlfn.XLOOKUP(非皮卡压缩表[[#This Row],[BACKSIZE]],ALL尺码表[内部尺码],ALL尺码表[分类],""))</f>
        <v/>
      </c>
      <c r="J300" s="19">
        <f t="array" ref="J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" s="20">
        <f>LEN(非皮卡压缩表[[#This Row],[LONG-TYPE]])</f>
        <v/>
      </c>
      <c r="L300" s="21">
        <f t="array" ref="L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" s="22">
        <f>LEN(非皮卡压缩表[[#This Row],[TYPE]])</f>
        <v/>
      </c>
      <c r="N300" s="22">
        <f t="array" ref="N300">_xlfn.XLOOKUP(非皮卡压缩表[[#This Row],[MODEL]],MODEL缩写表[长MODEL],MODEL缩写表[短MODEL],非皮卡压缩表[[#This Row],[MODEL]])</f>
        <v/>
      </c>
      <c r="O300" s="22">
        <f>LEN(非皮卡压缩表[[#This Row],[SHORT-MODEL]])</f>
        <v/>
      </c>
      <c r="P300" s="11">
        <f t="array" ref="P300">TRIM(_xlfn.XLOOKUP(非皮卡压缩表[[#This Row],[BACKSIZE]],ALL尺码表[内部尺码],ALL尺码表[通用尺码]))</f>
        <v/>
      </c>
    </row>
    <row r="301">
      <c r="A301" s="17" t="inlineStr">
        <is>
          <t>ALL</t>
        </is>
      </c>
      <c r="B301" s="18" t="inlineStr">
        <is>
          <t>Chevrolet Chevelle</t>
        </is>
      </c>
      <c r="C301" s="18" t="inlineStr">
        <is>
          <t>Chevrolet</t>
        </is>
      </c>
      <c r="D301" s="18" t="inlineStr">
        <is>
          <t>Chevelle</t>
        </is>
      </c>
      <c r="E301" s="18" t="inlineStr">
        <is>
          <t>1968-1977</t>
        </is>
      </c>
      <c r="F301" s="18" t="inlineStr"/>
      <c r="G301" s="18" t="inlineStr">
        <is>
          <t>Wagon</t>
        </is>
      </c>
      <c r="H301" s="18" t="inlineStr">
        <is>
          <t>无可用尺码</t>
        </is>
      </c>
      <c r="I301" s="19">
        <f t="array" ref="I301">TRIM(_xlfn.XLOOKUP(非皮卡压缩表[[#This Row],[BACKSIZE]],ALL尺码表[内部尺码],ALL尺码表[分类],""))</f>
        <v/>
      </c>
      <c r="J301" s="19">
        <f t="array" ref="J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" s="20">
        <f>LEN(非皮卡压缩表[[#This Row],[LONG-TYPE]])</f>
        <v/>
      </c>
      <c r="L301" s="21">
        <f t="array" ref="L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" s="22">
        <f>LEN(非皮卡压缩表[[#This Row],[TYPE]])</f>
        <v/>
      </c>
      <c r="N301" s="22">
        <f t="array" ref="N301">_xlfn.XLOOKUP(非皮卡压缩表[[#This Row],[MODEL]],MODEL缩写表[长MODEL],MODEL缩写表[短MODEL],非皮卡压缩表[[#This Row],[MODEL]])</f>
        <v/>
      </c>
      <c r="O301" s="22">
        <f>LEN(非皮卡压缩表[[#This Row],[SHORT-MODEL]])</f>
        <v/>
      </c>
      <c r="P301" s="11">
        <f t="array" ref="P301">TRIM(_xlfn.XLOOKUP(非皮卡压缩表[[#This Row],[BACKSIZE]],ALL尺码表[内部尺码],ALL尺码表[通用尺码]))</f>
        <v/>
      </c>
    </row>
    <row r="302">
      <c r="A302" s="17" t="inlineStr">
        <is>
          <t>ALL</t>
        </is>
      </c>
      <c r="B302" s="18" t="inlineStr">
        <is>
          <t>Chevrolet Chevelle</t>
        </is>
      </c>
      <c r="C302" s="18" t="inlineStr">
        <is>
          <t>Chevrolet</t>
        </is>
      </c>
      <c r="D302" s="18" t="inlineStr">
        <is>
          <t>Chevelle</t>
        </is>
      </c>
      <c r="E302" s="18" t="inlineStr">
        <is>
          <t>1973-1977</t>
        </is>
      </c>
      <c r="F302" s="18" t="inlineStr"/>
      <c r="G302" s="18" t="inlineStr">
        <is>
          <t>Sedan</t>
        </is>
      </c>
      <c r="H302" s="18" t="inlineStr">
        <is>
          <t>3XXXL</t>
        </is>
      </c>
      <c r="I302" s="19">
        <f t="array" ref="I302">TRIM(_xlfn.XLOOKUP(非皮卡压缩表[[#This Row],[BACKSIZE]],ALL尺码表[内部尺码],ALL尺码表[分类],""))</f>
        <v/>
      </c>
      <c r="J302" s="19">
        <f t="array" ref="J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" s="20">
        <f>LEN(非皮卡压缩表[[#This Row],[LONG-TYPE]])</f>
        <v/>
      </c>
      <c r="L302" s="21">
        <f t="array" ref="L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" s="22">
        <f>LEN(非皮卡压缩表[[#This Row],[TYPE]])</f>
        <v/>
      </c>
      <c r="N302" s="22">
        <f t="array" ref="N302">_xlfn.XLOOKUP(非皮卡压缩表[[#This Row],[MODEL]],MODEL缩写表[长MODEL],MODEL缩写表[短MODEL],非皮卡压缩表[[#This Row],[MODEL]])</f>
        <v/>
      </c>
      <c r="O302" s="22">
        <f>LEN(非皮卡压缩表[[#This Row],[SHORT-MODEL]])</f>
        <v/>
      </c>
      <c r="P302" s="11">
        <f t="array" ref="P302">TRIM(_xlfn.XLOOKUP(非皮卡压缩表[[#This Row],[BACKSIZE]],ALL尺码表[内部尺码],ALL尺码表[通用尺码]))</f>
        <v/>
      </c>
    </row>
    <row r="303">
      <c r="A303" s="17" t="inlineStr">
        <is>
          <t>ALL</t>
        </is>
      </c>
      <c r="B303" s="18" t="inlineStr">
        <is>
          <t>Chevrolet Chevelle</t>
        </is>
      </c>
      <c r="C303" s="18" t="inlineStr">
        <is>
          <t>Chevrolet</t>
        </is>
      </c>
      <c r="D303" s="18" t="inlineStr">
        <is>
          <t>Chevelle</t>
        </is>
      </c>
      <c r="E303" s="18" t="inlineStr">
        <is>
          <t>1973-1977</t>
        </is>
      </c>
      <c r="F303" s="18" t="inlineStr"/>
      <c r="G303" s="18" t="inlineStr">
        <is>
          <t>Coupe</t>
        </is>
      </c>
      <c r="H303" s="18" t="inlineStr">
        <is>
          <t>3XXXL-0</t>
        </is>
      </c>
      <c r="I303" s="19">
        <f t="array" ref="I303">TRIM(_xlfn.XLOOKUP(非皮卡压缩表[[#This Row],[BACKSIZE]],ALL尺码表[内部尺码],ALL尺码表[分类],""))</f>
        <v/>
      </c>
      <c r="J303" s="19">
        <f t="array" ref="J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" s="20">
        <f>LEN(非皮卡压缩表[[#This Row],[LONG-TYPE]])</f>
        <v/>
      </c>
      <c r="L303" s="21">
        <f t="array" ref="L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" s="22">
        <f>LEN(非皮卡压缩表[[#This Row],[TYPE]])</f>
        <v/>
      </c>
      <c r="N303" s="22">
        <f t="array" ref="N303">_xlfn.XLOOKUP(非皮卡压缩表[[#This Row],[MODEL]],MODEL缩写表[长MODEL],MODEL缩写表[短MODEL],非皮卡压缩表[[#This Row],[MODEL]])</f>
        <v/>
      </c>
      <c r="O303" s="22">
        <f>LEN(非皮卡压缩表[[#This Row],[SHORT-MODEL]])</f>
        <v/>
      </c>
      <c r="P303" s="11">
        <f t="array" ref="P303">TRIM(_xlfn.XLOOKUP(非皮卡压缩表[[#This Row],[BACKSIZE]],ALL尺码表[内部尺码],ALL尺码表[通用尺码]))</f>
        <v/>
      </c>
    </row>
    <row r="304">
      <c r="A304" s="17" t="inlineStr">
        <is>
          <t>ALL</t>
        </is>
      </c>
      <c r="B304" s="18" t="inlineStr">
        <is>
          <t>Chevrolet Chevelle</t>
        </is>
      </c>
      <c r="C304" s="18" t="inlineStr">
        <is>
          <t>Chevrolet</t>
        </is>
      </c>
      <c r="D304" s="18" t="inlineStr">
        <is>
          <t>Chevelle</t>
        </is>
      </c>
      <c r="E304" s="18" t="inlineStr">
        <is>
          <t>1974</t>
        </is>
      </c>
      <c r="F304" s="18" t="inlineStr">
        <is>
          <t>Laguna Type S-3</t>
        </is>
      </c>
      <c r="G304" s="18" t="inlineStr">
        <is>
          <t>Coupe</t>
        </is>
      </c>
      <c r="H304" s="18" t="inlineStr">
        <is>
          <t>3XXL-0</t>
        </is>
      </c>
      <c r="I304" s="19">
        <f t="array" ref="I304">TRIM(_xlfn.XLOOKUP(非皮卡压缩表[[#This Row],[BACKSIZE]],ALL尺码表[内部尺码],ALL尺码表[分类],""))</f>
        <v/>
      </c>
      <c r="J304" s="19">
        <f t="array" ref="J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" s="20">
        <f>LEN(非皮卡压缩表[[#This Row],[LONG-TYPE]])</f>
        <v/>
      </c>
      <c r="L304" s="21">
        <f t="array" ref="L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" s="22">
        <f>LEN(非皮卡压缩表[[#This Row],[TYPE]])</f>
        <v/>
      </c>
      <c r="N304" s="22">
        <f t="array" ref="N304">_xlfn.XLOOKUP(非皮卡压缩表[[#This Row],[MODEL]],MODEL缩写表[长MODEL],MODEL缩写表[短MODEL],非皮卡压缩表[[#This Row],[MODEL]])</f>
        <v/>
      </c>
      <c r="O304" s="22">
        <f>LEN(非皮卡压缩表[[#This Row],[SHORT-MODEL]])</f>
        <v/>
      </c>
      <c r="P304" s="11">
        <f t="array" ref="P304">TRIM(_xlfn.XLOOKUP(非皮卡压缩表[[#This Row],[BACKSIZE]],ALL尺码表[内部尺码],ALL尺码表[通用尺码]))</f>
        <v/>
      </c>
    </row>
    <row r="305">
      <c r="A305" s="17" t="inlineStr">
        <is>
          <t>ALL</t>
        </is>
      </c>
      <c r="B305" s="18" t="inlineStr">
        <is>
          <t>Chevrolet City Express</t>
        </is>
      </c>
      <c r="C305" s="18" t="inlineStr">
        <is>
          <t>Chevrolet</t>
        </is>
      </c>
      <c r="D305" s="18" t="inlineStr">
        <is>
          <t>City Express</t>
        </is>
      </c>
      <c r="E305" s="18" t="inlineStr">
        <is>
          <t>2015-2018</t>
        </is>
      </c>
      <c r="F305" s="18" t="inlineStr"/>
      <c r="G305" s="18" t="inlineStr">
        <is>
          <t>Minivan</t>
        </is>
      </c>
      <c r="H305" s="18" t="inlineStr">
        <is>
          <t>2XL</t>
        </is>
      </c>
      <c r="I305" s="19">
        <f t="array" ref="I305">TRIM(_xlfn.XLOOKUP(非皮卡压缩表[[#This Row],[BACKSIZE]],ALL尺码表[内部尺码],ALL尺码表[分类],""))</f>
        <v/>
      </c>
      <c r="J305" s="19">
        <f t="array" ref="J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" s="20">
        <f>LEN(非皮卡压缩表[[#This Row],[LONG-TYPE]])</f>
        <v/>
      </c>
      <c r="L305" s="21">
        <f t="array" ref="L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" s="22">
        <f>LEN(非皮卡压缩表[[#This Row],[TYPE]])</f>
        <v/>
      </c>
      <c r="N305" s="22">
        <f t="array" ref="N305">_xlfn.XLOOKUP(非皮卡压缩表[[#This Row],[MODEL]],MODEL缩写表[长MODEL],MODEL缩写表[短MODEL],非皮卡压缩表[[#This Row],[MODEL]])</f>
        <v/>
      </c>
      <c r="O305" s="22">
        <f>LEN(非皮卡压缩表[[#This Row],[SHORT-MODEL]])</f>
        <v/>
      </c>
      <c r="P305" s="11">
        <f t="array" ref="P305">TRIM(_xlfn.XLOOKUP(非皮卡压缩表[[#This Row],[BACKSIZE]],ALL尺码表[内部尺码],ALL尺码表[通用尺码]))</f>
        <v/>
      </c>
    </row>
    <row r="306">
      <c r="A306" s="17" t="inlineStr">
        <is>
          <t>ALL</t>
        </is>
      </c>
      <c r="B306" s="18" t="inlineStr">
        <is>
          <t>Chevrolet Cobalt</t>
        </is>
      </c>
      <c r="C306" s="18" t="inlineStr">
        <is>
          <t>Chevrolet</t>
        </is>
      </c>
      <c r="D306" s="18" t="inlineStr">
        <is>
          <t>Cobalt</t>
        </is>
      </c>
      <c r="E306" s="18" t="inlineStr">
        <is>
          <t>2005-2010</t>
        </is>
      </c>
      <c r="F306" s="18" t="inlineStr"/>
      <c r="G306" s="18" t="inlineStr">
        <is>
          <t>Sedan</t>
        </is>
      </c>
      <c r="H306" s="18" t="inlineStr">
        <is>
          <t>3L</t>
        </is>
      </c>
      <c r="I306" s="19">
        <f t="array" ref="I306">TRIM(_xlfn.XLOOKUP(非皮卡压缩表[[#This Row],[BACKSIZE]],ALL尺码表[内部尺码],ALL尺码表[分类],""))</f>
        <v/>
      </c>
      <c r="J306" s="19">
        <f t="array" ref="J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" s="20">
        <f>LEN(非皮卡压缩表[[#This Row],[LONG-TYPE]])</f>
        <v/>
      </c>
      <c r="L306" s="21">
        <f t="array" ref="L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" s="22">
        <f>LEN(非皮卡压缩表[[#This Row],[TYPE]])</f>
        <v/>
      </c>
      <c r="N306" s="22">
        <f t="array" ref="N306">_xlfn.XLOOKUP(非皮卡压缩表[[#This Row],[MODEL]],MODEL缩写表[长MODEL],MODEL缩写表[短MODEL],非皮卡压缩表[[#This Row],[MODEL]])</f>
        <v/>
      </c>
      <c r="O306" s="22">
        <f>LEN(非皮卡压缩表[[#This Row],[SHORT-MODEL]])</f>
        <v/>
      </c>
      <c r="P306" s="11">
        <f t="array" ref="P306">TRIM(_xlfn.XLOOKUP(非皮卡压缩表[[#This Row],[BACKSIZE]],ALL尺码表[内部尺码],ALL尺码表[通用尺码]))</f>
        <v/>
      </c>
    </row>
    <row r="307">
      <c r="A307" s="17" t="inlineStr">
        <is>
          <t>ALL</t>
        </is>
      </c>
      <c r="B307" s="18" t="inlineStr">
        <is>
          <t>Chevrolet Cobalt</t>
        </is>
      </c>
      <c r="C307" s="18" t="inlineStr">
        <is>
          <t>Chevrolet</t>
        </is>
      </c>
      <c r="D307" s="18" t="inlineStr">
        <is>
          <t>Cobalt</t>
        </is>
      </c>
      <c r="E307" s="18" t="inlineStr">
        <is>
          <t>2005-2010</t>
        </is>
      </c>
      <c r="F307" s="18" t="inlineStr">
        <is>
          <t>Incl: SS</t>
        </is>
      </c>
      <c r="G307" s="18" t="inlineStr">
        <is>
          <t>Coupe</t>
        </is>
      </c>
      <c r="H307" s="18" t="inlineStr">
        <is>
          <t>3L-0</t>
        </is>
      </c>
      <c r="I307" s="19">
        <f t="array" ref="I307">TRIM(_xlfn.XLOOKUP(非皮卡压缩表[[#This Row],[BACKSIZE]],ALL尺码表[内部尺码],ALL尺码表[分类],""))</f>
        <v/>
      </c>
      <c r="J307" s="19">
        <f t="array" ref="J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" s="20">
        <f>LEN(非皮卡压缩表[[#This Row],[LONG-TYPE]])</f>
        <v/>
      </c>
      <c r="L307" s="21">
        <f t="array" ref="L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" s="22">
        <f>LEN(非皮卡压缩表[[#This Row],[TYPE]])</f>
        <v/>
      </c>
      <c r="N307" s="22">
        <f t="array" ref="N307">_xlfn.XLOOKUP(非皮卡压缩表[[#This Row],[MODEL]],MODEL缩写表[长MODEL],MODEL缩写表[短MODEL],非皮卡压缩表[[#This Row],[MODEL]])</f>
        <v/>
      </c>
      <c r="O307" s="22">
        <f>LEN(非皮卡压缩表[[#This Row],[SHORT-MODEL]])</f>
        <v/>
      </c>
      <c r="P307" s="11">
        <f t="array" ref="P307">TRIM(_xlfn.XLOOKUP(非皮卡压缩表[[#This Row],[BACKSIZE]],ALL尺码表[内部尺码],ALL尺码表[通用尺码]))</f>
        <v/>
      </c>
    </row>
    <row r="308">
      <c r="A308" s="17" t="inlineStr">
        <is>
          <t>ALL</t>
        </is>
      </c>
      <c r="B308" s="18" t="inlineStr">
        <is>
          <t>Chevrolet Corsica</t>
        </is>
      </c>
      <c r="C308" s="18" t="inlineStr">
        <is>
          <t>Chevrolet</t>
        </is>
      </c>
      <c r="D308" s="18" t="inlineStr">
        <is>
          <t>Corsica</t>
        </is>
      </c>
      <c r="E308" s="18" t="inlineStr">
        <is>
          <t>1987-1996</t>
        </is>
      </c>
      <c r="F308" s="18" t="inlineStr"/>
      <c r="G308" s="18" t="inlineStr">
        <is>
          <t>Sedan</t>
        </is>
      </c>
      <c r="H308" s="18" t="inlineStr">
        <is>
          <t>3L</t>
        </is>
      </c>
      <c r="I308" s="19">
        <f t="array" ref="I308">TRIM(_xlfn.XLOOKUP(非皮卡压缩表[[#This Row],[BACKSIZE]],ALL尺码表[内部尺码],ALL尺码表[分类],""))</f>
        <v/>
      </c>
      <c r="J308" s="19">
        <f t="array" ref="J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" s="20">
        <f>LEN(非皮卡压缩表[[#This Row],[LONG-TYPE]])</f>
        <v/>
      </c>
      <c r="L308" s="21">
        <f t="array" ref="L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" s="22">
        <f>LEN(非皮卡压缩表[[#This Row],[TYPE]])</f>
        <v/>
      </c>
      <c r="N308" s="22">
        <f t="array" ref="N308">_xlfn.XLOOKUP(非皮卡压缩表[[#This Row],[MODEL]],MODEL缩写表[长MODEL],MODEL缩写表[短MODEL],非皮卡压缩表[[#This Row],[MODEL]])</f>
        <v/>
      </c>
      <c r="O308" s="22">
        <f>LEN(非皮卡压缩表[[#This Row],[SHORT-MODEL]])</f>
        <v/>
      </c>
      <c r="P308" s="11">
        <f t="array" ref="P308">TRIM(_xlfn.XLOOKUP(非皮卡压缩表[[#This Row],[BACKSIZE]],ALL尺码表[内部尺码],ALL尺码表[通用尺码]))</f>
        <v/>
      </c>
    </row>
    <row r="309">
      <c r="A309" s="17" t="inlineStr">
        <is>
          <t>ALL</t>
        </is>
      </c>
      <c r="B309" s="18" t="inlineStr">
        <is>
          <t>Chevrolet Corvette</t>
        </is>
      </c>
      <c r="C309" s="18" t="inlineStr">
        <is>
          <t>Chevrolet</t>
        </is>
      </c>
      <c r="D309" s="18" t="inlineStr">
        <is>
          <t>Corvette</t>
        </is>
      </c>
      <c r="E309" s="18" t="inlineStr">
        <is>
          <t>1953-1967</t>
        </is>
      </c>
      <c r="F309" s="18" t="inlineStr"/>
      <c r="G309" s="18" t="inlineStr">
        <is>
          <t>Convertible/Coupe</t>
        </is>
      </c>
      <c r="H309" s="18" t="inlineStr">
        <is>
          <t>3M-0</t>
        </is>
      </c>
      <c r="I309" s="19">
        <f t="array" ref="I309">TRIM(_xlfn.XLOOKUP(非皮卡压缩表[[#This Row],[BACKSIZE]],ALL尺码表[内部尺码],ALL尺码表[分类],""))</f>
        <v/>
      </c>
      <c r="J309" s="19">
        <f t="array" ref="J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" s="20">
        <f>LEN(非皮卡压缩表[[#This Row],[LONG-TYPE]])</f>
        <v/>
      </c>
      <c r="L309" s="21">
        <f t="array" ref="L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" s="22">
        <f>LEN(非皮卡压缩表[[#This Row],[TYPE]])</f>
        <v/>
      </c>
      <c r="N309" s="22">
        <f t="array" ref="N309">_xlfn.XLOOKUP(非皮卡压缩表[[#This Row],[MODEL]],MODEL缩写表[长MODEL],MODEL缩写表[短MODEL],非皮卡压缩表[[#This Row],[MODEL]])</f>
        <v/>
      </c>
      <c r="O309" s="22">
        <f>LEN(非皮卡压缩表[[#This Row],[SHORT-MODEL]])</f>
        <v/>
      </c>
      <c r="P309" s="11">
        <f t="array" ref="P309">TRIM(_xlfn.XLOOKUP(非皮卡压缩表[[#This Row],[BACKSIZE]],ALL尺码表[内部尺码],ALL尺码表[通用尺码]))</f>
        <v/>
      </c>
    </row>
    <row r="310">
      <c r="A310" s="17" t="inlineStr">
        <is>
          <t>ALL</t>
        </is>
      </c>
      <c r="B310" s="18" t="inlineStr">
        <is>
          <t>Chevrolet Corvette</t>
        </is>
      </c>
      <c r="C310" s="18" t="inlineStr">
        <is>
          <t>Chevrolet</t>
        </is>
      </c>
      <c r="D310" s="18" t="inlineStr">
        <is>
          <t>Corvette</t>
        </is>
      </c>
      <c r="E310" s="18" t="inlineStr">
        <is>
          <t>1968-1982</t>
        </is>
      </c>
      <c r="F310" s="18" t="inlineStr"/>
      <c r="G310" s="18" t="inlineStr">
        <is>
          <t>Convertible/Coupe</t>
        </is>
      </c>
      <c r="H310" s="18" t="inlineStr">
        <is>
          <t>3XL-0</t>
        </is>
      </c>
      <c r="I310" s="19">
        <f t="array" ref="I310">TRIM(_xlfn.XLOOKUP(非皮卡压缩表[[#This Row],[BACKSIZE]],ALL尺码表[内部尺码],ALL尺码表[分类],""))</f>
        <v/>
      </c>
      <c r="J310" s="19">
        <f t="array" ref="J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" s="20">
        <f>LEN(非皮卡压缩表[[#This Row],[LONG-TYPE]])</f>
        <v/>
      </c>
      <c r="L310" s="21">
        <f t="array" ref="L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" s="22">
        <f>LEN(非皮卡压缩表[[#This Row],[TYPE]])</f>
        <v/>
      </c>
      <c r="N310" s="22">
        <f t="array" ref="N310">_xlfn.XLOOKUP(非皮卡压缩表[[#This Row],[MODEL]],MODEL缩写表[长MODEL],MODEL缩写表[短MODEL],非皮卡压缩表[[#This Row],[MODEL]])</f>
        <v/>
      </c>
      <c r="O310" s="22">
        <f>LEN(非皮卡压缩表[[#This Row],[SHORT-MODEL]])</f>
        <v/>
      </c>
      <c r="P310" s="11">
        <f t="array" ref="P310">TRIM(_xlfn.XLOOKUP(非皮卡压缩表[[#This Row],[BACKSIZE]],ALL尺码表[内部尺码],ALL尺码表[通用尺码]))</f>
        <v/>
      </c>
    </row>
    <row r="311" ht="30" customHeight="1" s="23">
      <c r="A311" s="17" t="inlineStr">
        <is>
          <t>ALL</t>
        </is>
      </c>
      <c r="B311" s="18" t="inlineStr">
        <is>
          <t>Chevrolet Corvette</t>
        </is>
      </c>
      <c r="C311" s="18" t="inlineStr">
        <is>
          <t>Chevrolet</t>
        </is>
      </c>
      <c r="D311" s="18" t="inlineStr">
        <is>
          <t>Corvette</t>
        </is>
      </c>
      <c r="E311" s="18" t="inlineStr">
        <is>
          <t>1984-2004</t>
        </is>
      </c>
      <c r="F311" s="18" t="inlineStr">
        <is>
          <t>Incl: ZR-1</t>
        </is>
      </c>
      <c r="G311" s="18" t="inlineStr">
        <is>
          <t>Convertible/Coupe</t>
        </is>
      </c>
      <c r="H311" s="18" t="inlineStr">
        <is>
          <t>3L-0</t>
        </is>
      </c>
      <c r="I311" s="19">
        <f t="array" ref="I311">TRIM(_xlfn.XLOOKUP(非皮卡压缩表[[#This Row],[BACKSIZE]],ALL尺码表[内部尺码],ALL尺码表[分类],""))</f>
        <v/>
      </c>
      <c r="J311" s="19">
        <f t="array" ref="J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" s="20">
        <f>LEN(非皮卡压缩表[[#This Row],[LONG-TYPE]])</f>
        <v/>
      </c>
      <c r="L311" s="21">
        <f t="array" ref="L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" s="22">
        <f>LEN(非皮卡压缩表[[#This Row],[TYPE]])</f>
        <v/>
      </c>
      <c r="N311" s="22">
        <f t="array" ref="N311">_xlfn.XLOOKUP(非皮卡压缩表[[#This Row],[MODEL]],MODEL缩写表[长MODEL],MODEL缩写表[短MODEL],非皮卡压缩表[[#This Row],[MODEL]])</f>
        <v/>
      </c>
      <c r="O311" s="22">
        <f>LEN(非皮卡压缩表[[#This Row],[SHORT-MODEL]])</f>
        <v/>
      </c>
      <c r="P311" s="11">
        <f t="array" ref="P311">TRIM(_xlfn.XLOOKUP(非皮卡压缩表[[#This Row],[BACKSIZE]],ALL尺码表[内部尺码],ALL尺码表[通用尺码]))</f>
        <v/>
      </c>
    </row>
    <row r="312">
      <c r="A312" s="17" t="inlineStr">
        <is>
          <t>ALL</t>
        </is>
      </c>
      <c r="B312" s="18" t="inlineStr">
        <is>
          <t>Chevrolet Corvette</t>
        </is>
      </c>
      <c r="C312" s="18" t="inlineStr">
        <is>
          <t>Chevrolet</t>
        </is>
      </c>
      <c r="D312" s="18" t="inlineStr">
        <is>
          <t>Corvette</t>
        </is>
      </c>
      <c r="E312" s="18" t="inlineStr">
        <is>
          <t>2005-2019</t>
        </is>
      </c>
      <c r="F312" s="18" t="inlineStr">
        <is>
          <t>Incl: Z06/ZR1</t>
        </is>
      </c>
      <c r="G312" s="18" t="inlineStr">
        <is>
          <t>Coupe</t>
        </is>
      </c>
      <c r="H312" s="18" t="inlineStr">
        <is>
          <t>3M-0</t>
        </is>
      </c>
      <c r="I312" s="19">
        <f t="array" ref="I312">TRIM(_xlfn.XLOOKUP(非皮卡压缩表[[#This Row],[BACKSIZE]],ALL尺码表[内部尺码],ALL尺码表[分类],""))</f>
        <v/>
      </c>
      <c r="J312" s="19">
        <f t="array" ref="J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" s="20">
        <f>LEN(非皮卡压缩表[[#This Row],[LONG-TYPE]])</f>
        <v/>
      </c>
      <c r="L312" s="21">
        <f t="array" ref="L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" s="22">
        <f>LEN(非皮卡压缩表[[#This Row],[TYPE]])</f>
        <v/>
      </c>
      <c r="N312" s="22">
        <f t="array" ref="N312">_xlfn.XLOOKUP(非皮卡压缩表[[#This Row],[MODEL]],MODEL缩写表[长MODEL],MODEL缩写表[短MODEL],非皮卡压缩表[[#This Row],[MODEL]])</f>
        <v/>
      </c>
      <c r="O312" s="22">
        <f>LEN(非皮卡压缩表[[#This Row],[SHORT-MODEL]])</f>
        <v/>
      </c>
      <c r="P312" s="11">
        <f t="array" ref="P312">TRIM(_xlfn.XLOOKUP(非皮卡压缩表[[#This Row],[BACKSIZE]],ALL尺码表[内部尺码],ALL尺码表[通用尺码]))</f>
        <v/>
      </c>
    </row>
    <row r="313">
      <c r="A313" s="17" t="inlineStr">
        <is>
          <t>ALL</t>
        </is>
      </c>
      <c r="B313" s="18" t="inlineStr">
        <is>
          <t>Chevrolet Corvette</t>
        </is>
      </c>
      <c r="C313" s="18" t="inlineStr">
        <is>
          <t>Chevrolet</t>
        </is>
      </c>
      <c r="D313" s="18" t="inlineStr">
        <is>
          <t>Corvette</t>
        </is>
      </c>
      <c r="E313" s="18" t="inlineStr">
        <is>
          <t>2020-2026</t>
        </is>
      </c>
      <c r="F313" s="18" t="inlineStr">
        <is>
          <t>Incl: ZR1</t>
        </is>
      </c>
      <c r="G313" s="18" t="inlineStr">
        <is>
          <t>Coupe</t>
        </is>
      </c>
      <c r="H313" s="18" t="inlineStr">
        <is>
          <t>3XL-0</t>
        </is>
      </c>
      <c r="I313" s="19">
        <f t="array" ref="I313">TRIM(_xlfn.XLOOKUP(非皮卡压缩表[[#This Row],[BACKSIZE]],ALL尺码表[内部尺码],ALL尺码表[分类],""))</f>
        <v/>
      </c>
      <c r="J313" s="19">
        <f t="array" ref="J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" s="20">
        <f>LEN(非皮卡压缩表[[#This Row],[LONG-TYPE]])</f>
        <v/>
      </c>
      <c r="L313" s="21">
        <f t="array" ref="L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" s="22">
        <f>LEN(非皮卡压缩表[[#This Row],[TYPE]])</f>
        <v/>
      </c>
      <c r="N313" s="22">
        <f t="array" ref="N313">_xlfn.XLOOKUP(非皮卡压缩表[[#This Row],[MODEL]],MODEL缩写表[长MODEL],MODEL缩写表[短MODEL],非皮卡压缩表[[#This Row],[MODEL]])</f>
        <v/>
      </c>
      <c r="O313" s="22">
        <f>LEN(非皮卡压缩表[[#This Row],[SHORT-MODEL]])</f>
        <v/>
      </c>
      <c r="P313" s="11">
        <f t="array" ref="P313">TRIM(_xlfn.XLOOKUP(非皮卡压缩表[[#This Row],[BACKSIZE]],ALL尺码表[内部尺码],ALL尺码表[通用尺码]))</f>
        <v/>
      </c>
    </row>
    <row r="314">
      <c r="A314" s="17" t="inlineStr">
        <is>
          <t>ALL</t>
        </is>
      </c>
      <c r="B314" s="18" t="inlineStr">
        <is>
          <t>Chevrolet Cruze</t>
        </is>
      </c>
      <c r="C314" s="18" t="inlineStr">
        <is>
          <t>Chevrolet</t>
        </is>
      </c>
      <c r="D314" s="18" t="inlineStr">
        <is>
          <t>Cruze</t>
        </is>
      </c>
      <c r="E314" s="18" t="inlineStr">
        <is>
          <t>2011-2019</t>
        </is>
      </c>
      <c r="F314" s="18" t="inlineStr"/>
      <c r="G314" s="18" t="inlineStr">
        <is>
          <t>Sedan</t>
        </is>
      </c>
      <c r="H314" s="18" t="inlineStr">
        <is>
          <t>3L</t>
        </is>
      </c>
      <c r="I314" s="19">
        <f t="array" ref="I314">TRIM(_xlfn.XLOOKUP(非皮卡压缩表[[#This Row],[BACKSIZE]],ALL尺码表[内部尺码],ALL尺码表[分类],""))</f>
        <v/>
      </c>
      <c r="J314" s="19">
        <f t="array" ref="J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" s="20">
        <f>LEN(非皮卡压缩表[[#This Row],[LONG-TYPE]])</f>
        <v/>
      </c>
      <c r="L314" s="21">
        <f t="array" ref="L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" s="22">
        <f>LEN(非皮卡压缩表[[#This Row],[TYPE]])</f>
        <v/>
      </c>
      <c r="N314" s="22">
        <f t="array" ref="N314">_xlfn.XLOOKUP(非皮卡压缩表[[#This Row],[MODEL]],MODEL缩写表[长MODEL],MODEL缩写表[短MODEL],非皮卡压缩表[[#This Row],[MODEL]])</f>
        <v/>
      </c>
      <c r="O314" s="22">
        <f>LEN(非皮卡压缩表[[#This Row],[SHORT-MODEL]])</f>
        <v/>
      </c>
      <c r="P314" s="11">
        <f t="array" ref="P314">TRIM(_xlfn.XLOOKUP(非皮卡压缩表[[#This Row],[BACKSIZE]],ALL尺码表[内部尺码],ALL尺码表[通用尺码]))</f>
        <v/>
      </c>
    </row>
    <row r="315">
      <c r="A315" s="17" t="inlineStr">
        <is>
          <t>ALL</t>
        </is>
      </c>
      <c r="B315" s="18" t="inlineStr">
        <is>
          <t>Chevrolet Cruze</t>
        </is>
      </c>
      <c r="C315" s="18" t="inlineStr">
        <is>
          <t>Chevrolet</t>
        </is>
      </c>
      <c r="D315" s="18" t="inlineStr">
        <is>
          <t>Cruze</t>
        </is>
      </c>
      <c r="E315" s="18" t="inlineStr">
        <is>
          <t>2017-2019</t>
        </is>
      </c>
      <c r="F315" s="18" t="inlineStr"/>
      <c r="G315" s="18" t="inlineStr">
        <is>
          <t>Hatchback</t>
        </is>
      </c>
      <c r="H315" s="18" t="inlineStr">
        <is>
          <t>2L+</t>
        </is>
      </c>
      <c r="I315" s="19">
        <f t="array" ref="I315">TRIM(_xlfn.XLOOKUP(非皮卡压缩表[[#This Row],[BACKSIZE]],ALL尺码表[内部尺码],ALL尺码表[分类],""))</f>
        <v/>
      </c>
      <c r="J315" s="19">
        <f t="array" ref="J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" s="20">
        <f>LEN(非皮卡压缩表[[#This Row],[LONG-TYPE]])</f>
        <v/>
      </c>
      <c r="L315" s="21">
        <f t="array" ref="L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" s="22">
        <f>LEN(非皮卡压缩表[[#This Row],[TYPE]])</f>
        <v/>
      </c>
      <c r="N315" s="22">
        <f t="array" ref="N315">_xlfn.XLOOKUP(非皮卡压缩表[[#This Row],[MODEL]],MODEL缩写表[长MODEL],MODEL缩写表[短MODEL],非皮卡压缩表[[#This Row],[MODEL]])</f>
        <v/>
      </c>
      <c r="O315" s="22">
        <f>LEN(非皮卡压缩表[[#This Row],[SHORT-MODEL]])</f>
        <v/>
      </c>
      <c r="P315" s="11">
        <f t="array" ref="P315">TRIM(_xlfn.XLOOKUP(非皮卡压缩表[[#This Row],[BACKSIZE]],ALL尺码表[内部尺码],ALL尺码表[通用尺码]))</f>
        <v/>
      </c>
    </row>
    <row r="316">
      <c r="A316" s="17" t="inlineStr">
        <is>
          <t>ALL</t>
        </is>
      </c>
      <c r="B316" s="18" t="inlineStr">
        <is>
          <t>Chevrolet Equinox</t>
        </is>
      </c>
      <c r="C316" s="18" t="inlineStr">
        <is>
          <t>Chevrolet</t>
        </is>
      </c>
      <c r="D316" s="18" t="inlineStr">
        <is>
          <t>Equinox</t>
        </is>
      </c>
      <c r="E316" s="18" t="inlineStr">
        <is>
          <t>2005-2026</t>
        </is>
      </c>
      <c r="F316" s="18" t="inlineStr"/>
      <c r="G316" s="18" t="inlineStr">
        <is>
          <t>SUV</t>
        </is>
      </c>
      <c r="H316" s="18" t="inlineStr">
        <is>
          <t>YL</t>
        </is>
      </c>
      <c r="I316" s="19">
        <f t="array" ref="I316">TRIM(_xlfn.XLOOKUP(非皮卡压缩表[[#This Row],[BACKSIZE]],ALL尺码表[内部尺码],ALL尺码表[分类],""))</f>
        <v/>
      </c>
      <c r="J316" s="19">
        <f t="array" ref="J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" s="20">
        <f>LEN(非皮卡压缩表[[#This Row],[LONG-TYPE]])</f>
        <v/>
      </c>
      <c r="L316" s="21">
        <f t="array" ref="L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" s="22">
        <f>LEN(非皮卡压缩表[[#This Row],[TYPE]])</f>
        <v/>
      </c>
      <c r="N316" s="22">
        <f t="array" ref="N316">_xlfn.XLOOKUP(非皮卡压缩表[[#This Row],[MODEL]],MODEL缩写表[长MODEL],MODEL缩写表[短MODEL],非皮卡压缩表[[#This Row],[MODEL]])</f>
        <v/>
      </c>
      <c r="O316" s="22">
        <f>LEN(非皮卡压缩表[[#This Row],[SHORT-MODEL]])</f>
        <v/>
      </c>
      <c r="P316" s="11">
        <f t="array" ref="P316">TRIM(_xlfn.XLOOKUP(非皮卡压缩表[[#This Row],[BACKSIZE]],ALL尺码表[内部尺码],ALL尺码表[通用尺码]))</f>
        <v/>
      </c>
    </row>
    <row r="317">
      <c r="A317" s="17" t="inlineStr">
        <is>
          <t>ALL</t>
        </is>
      </c>
      <c r="B317" s="18" t="inlineStr">
        <is>
          <t>Chevrolet Equinox EV</t>
        </is>
      </c>
      <c r="C317" s="18" t="inlineStr">
        <is>
          <t>Chevrolet</t>
        </is>
      </c>
      <c r="D317" s="18" t="inlineStr">
        <is>
          <t>Equinox EV</t>
        </is>
      </c>
      <c r="E317" s="18" t="inlineStr">
        <is>
          <t>2024-2026</t>
        </is>
      </c>
      <c r="F317" s="18" t="inlineStr"/>
      <c r="G317" s="18" t="inlineStr">
        <is>
          <t>SUV</t>
        </is>
      </c>
      <c r="H317" s="18" t="inlineStr">
        <is>
          <t>YXL</t>
        </is>
      </c>
      <c r="I317" s="19">
        <f t="array" ref="I317">TRIM(_xlfn.XLOOKUP(非皮卡压缩表[[#This Row],[BACKSIZE]],ALL尺码表[内部尺码],ALL尺码表[分类],""))</f>
        <v/>
      </c>
      <c r="J317" s="19">
        <f t="array" ref="J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" s="20">
        <f>LEN(非皮卡压缩表[[#This Row],[LONG-TYPE]])</f>
        <v/>
      </c>
      <c r="L317" s="21">
        <f t="array" ref="L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" s="22">
        <f>LEN(非皮卡压缩表[[#This Row],[TYPE]])</f>
        <v/>
      </c>
      <c r="N317" s="22">
        <f t="array" ref="N317">_xlfn.XLOOKUP(非皮卡压缩表[[#This Row],[MODEL]],MODEL缩写表[长MODEL],MODEL缩写表[短MODEL],非皮卡压缩表[[#This Row],[MODEL]])</f>
        <v/>
      </c>
      <c r="O317" s="22">
        <f>LEN(非皮卡压缩表[[#This Row],[SHORT-MODEL]])</f>
        <v/>
      </c>
      <c r="P317" s="11">
        <f t="array" ref="P317">TRIM(_xlfn.XLOOKUP(非皮卡压缩表[[#This Row],[BACKSIZE]],ALL尺码表[内部尺码],ALL尺码表[通用尺码]))</f>
        <v/>
      </c>
    </row>
    <row r="318">
      <c r="A318" s="17" t="inlineStr">
        <is>
          <t>ALL</t>
        </is>
      </c>
      <c r="B318" s="18" t="inlineStr">
        <is>
          <t>Chevrolet Express</t>
        </is>
      </c>
      <c r="C318" s="18" t="inlineStr">
        <is>
          <t>Chevrolet</t>
        </is>
      </c>
      <c r="D318" s="18" t="inlineStr">
        <is>
          <t>Express</t>
        </is>
      </c>
      <c r="E318" s="18" t="inlineStr">
        <is>
          <t>2013-2023</t>
        </is>
      </c>
      <c r="F318" s="18" t="inlineStr">
        <is>
          <t>Incl: Extended</t>
        </is>
      </c>
      <c r="G318" s="18" t="inlineStr">
        <is>
          <t>Minivan</t>
        </is>
      </c>
      <c r="H318" s="18" t="inlineStr">
        <is>
          <t>无可用尺码</t>
        </is>
      </c>
      <c r="I318" s="19">
        <f t="array" ref="I318">TRIM(_xlfn.XLOOKUP(非皮卡压缩表[[#This Row],[BACKSIZE]],ALL尺码表[内部尺码],ALL尺码表[分类],""))</f>
        <v/>
      </c>
      <c r="J318" s="19">
        <f t="array" ref="J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" s="20">
        <f>LEN(非皮卡压缩表[[#This Row],[LONG-TYPE]])</f>
        <v/>
      </c>
      <c r="L318" s="21">
        <f t="array" ref="L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" s="22">
        <f>LEN(非皮卡压缩表[[#This Row],[TYPE]])</f>
        <v/>
      </c>
      <c r="N318" s="22">
        <f t="array" ref="N318">_xlfn.XLOOKUP(非皮卡压缩表[[#This Row],[MODEL]],MODEL缩写表[长MODEL],MODEL缩写表[短MODEL],非皮卡压缩表[[#This Row],[MODEL]])</f>
        <v/>
      </c>
      <c r="O318" s="22">
        <f>LEN(非皮卡压缩表[[#This Row],[SHORT-MODEL]])</f>
        <v/>
      </c>
      <c r="P318" s="11">
        <f t="array" ref="P318">TRIM(_xlfn.XLOOKUP(非皮卡压缩表[[#This Row],[BACKSIZE]],ALL尺码表[内部尺码],ALL尺码表[通用尺码]))</f>
        <v/>
      </c>
    </row>
    <row r="319">
      <c r="A319" s="17" t="inlineStr">
        <is>
          <t>ALL</t>
        </is>
      </c>
      <c r="B319" s="18" t="inlineStr">
        <is>
          <t>Chevrolet Impala</t>
        </is>
      </c>
      <c r="C319" s="18" t="inlineStr">
        <is>
          <t>Chevrolet</t>
        </is>
      </c>
      <c r="D319" s="18" t="inlineStr">
        <is>
          <t>Impala</t>
        </is>
      </c>
      <c r="E319" s="18" t="inlineStr">
        <is>
          <t>1962-1968</t>
        </is>
      </c>
      <c r="F319" s="18" t="inlineStr"/>
      <c r="G319" s="18" t="inlineStr">
        <is>
          <t>Wagon</t>
        </is>
      </c>
      <c r="H319" s="18" t="inlineStr">
        <is>
          <t>无可用尺码</t>
        </is>
      </c>
      <c r="I319" s="19">
        <f t="array" ref="I319">TRIM(_xlfn.XLOOKUP(非皮卡压缩表[[#This Row],[BACKSIZE]],ALL尺码表[内部尺码],ALL尺码表[分类],""))</f>
        <v/>
      </c>
      <c r="J319" s="19">
        <f t="array" ref="J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" s="20">
        <f>LEN(非皮卡压缩表[[#This Row],[LONG-TYPE]])</f>
        <v/>
      </c>
      <c r="L319" s="21">
        <f t="array" ref="L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" s="22">
        <f>LEN(非皮卡压缩表[[#This Row],[TYPE]])</f>
        <v/>
      </c>
      <c r="N319" s="22">
        <f t="array" ref="N319">_xlfn.XLOOKUP(非皮卡压缩表[[#This Row],[MODEL]],MODEL缩写表[长MODEL],MODEL缩写表[短MODEL],非皮卡压缩表[[#This Row],[MODEL]])</f>
        <v/>
      </c>
      <c r="O319" s="22">
        <f>LEN(非皮卡压缩表[[#This Row],[SHORT-MODEL]])</f>
        <v/>
      </c>
      <c r="P319" s="11">
        <f t="array" ref="P319">TRIM(_xlfn.XLOOKUP(非皮卡压缩表[[#This Row],[BACKSIZE]],ALL尺码表[内部尺码],ALL尺码表[通用尺码]))</f>
        <v/>
      </c>
    </row>
    <row r="320">
      <c r="A320" s="17" t="inlineStr">
        <is>
          <t>ALL</t>
        </is>
      </c>
      <c r="B320" s="18" t="inlineStr">
        <is>
          <t>Chevrolet Impala</t>
        </is>
      </c>
      <c r="C320" s="18" t="inlineStr">
        <is>
          <t>Chevrolet</t>
        </is>
      </c>
      <c r="D320" s="18" t="inlineStr">
        <is>
          <t>Impala</t>
        </is>
      </c>
      <c r="E320" s="18" t="inlineStr">
        <is>
          <t>1973-1976</t>
        </is>
      </c>
      <c r="F320" s="18" t="inlineStr">
        <is>
          <t>Incl: Impala SS</t>
        </is>
      </c>
      <c r="G320" s="18" t="inlineStr">
        <is>
          <t>Sedan</t>
        </is>
      </c>
      <c r="H320" s="18" t="inlineStr">
        <is>
          <t>3XXXL</t>
        </is>
      </c>
      <c r="I320" s="19">
        <f t="array" ref="I320">TRIM(_xlfn.XLOOKUP(非皮卡压缩表[[#This Row],[BACKSIZE]],ALL尺码表[内部尺码],ALL尺码表[分类],""))</f>
        <v/>
      </c>
      <c r="J320" s="19">
        <f t="array" ref="J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" s="20">
        <f>LEN(非皮卡压缩表[[#This Row],[LONG-TYPE]])</f>
        <v/>
      </c>
      <c r="L320" s="21">
        <f t="array" ref="L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" s="22">
        <f>LEN(非皮卡压缩表[[#This Row],[TYPE]])</f>
        <v/>
      </c>
      <c r="N320" s="22">
        <f t="array" ref="N320">_xlfn.XLOOKUP(非皮卡压缩表[[#This Row],[MODEL]],MODEL缩写表[长MODEL],MODEL缩写表[短MODEL],非皮卡压缩表[[#This Row],[MODEL]])</f>
        <v/>
      </c>
      <c r="O320" s="22">
        <f>LEN(非皮卡压缩表[[#This Row],[SHORT-MODEL]])</f>
        <v/>
      </c>
      <c r="P320" s="11">
        <f t="array" ref="P320">TRIM(_xlfn.XLOOKUP(非皮卡压缩表[[#This Row],[BACKSIZE]],ALL尺码表[内部尺码],ALL尺码表[通用尺码]))</f>
        <v/>
      </c>
    </row>
    <row r="321">
      <c r="A321" s="17" t="inlineStr">
        <is>
          <t>ALL</t>
        </is>
      </c>
      <c r="B321" s="18" t="inlineStr">
        <is>
          <t>Chevrolet Impala</t>
        </is>
      </c>
      <c r="C321" s="18" t="inlineStr">
        <is>
          <t>Chevrolet</t>
        </is>
      </c>
      <c r="D321" s="18" t="inlineStr">
        <is>
          <t>Impala</t>
        </is>
      </c>
      <c r="E321" s="18" t="inlineStr">
        <is>
          <t>1973</t>
        </is>
      </c>
      <c r="F321" s="18" t="inlineStr"/>
      <c r="G321" s="18" t="inlineStr">
        <is>
          <t>Coupe</t>
        </is>
      </c>
      <c r="H321" s="18" t="inlineStr">
        <is>
          <t>3XXXL-0</t>
        </is>
      </c>
      <c r="I321" s="19">
        <f t="array" ref="I321">TRIM(_xlfn.XLOOKUP(非皮卡压缩表[[#This Row],[BACKSIZE]],ALL尺码表[内部尺码],ALL尺码表[分类],""))</f>
        <v/>
      </c>
      <c r="J321" s="19">
        <f t="array" ref="J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" s="20">
        <f>LEN(非皮卡压缩表[[#This Row],[LONG-TYPE]])</f>
        <v/>
      </c>
      <c r="L321" s="21">
        <f t="array" ref="L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" s="22">
        <f>LEN(非皮卡压缩表[[#This Row],[TYPE]])</f>
        <v/>
      </c>
      <c r="N321" s="22">
        <f t="array" ref="N321">_xlfn.XLOOKUP(非皮卡压缩表[[#This Row],[MODEL]],MODEL缩写表[长MODEL],MODEL缩写表[短MODEL],非皮卡压缩表[[#This Row],[MODEL]])</f>
        <v/>
      </c>
      <c r="O321" s="22">
        <f>LEN(非皮卡压缩表[[#This Row],[SHORT-MODEL]])</f>
        <v/>
      </c>
      <c r="P321" s="11">
        <f t="array" ref="P321">TRIM(_xlfn.XLOOKUP(非皮卡压缩表[[#This Row],[BACKSIZE]],ALL尺码表[内部尺码],ALL尺码表[通用尺码]))</f>
        <v/>
      </c>
    </row>
    <row r="322">
      <c r="A322" s="17" t="inlineStr">
        <is>
          <t>ALL</t>
        </is>
      </c>
      <c r="B322" s="18" t="inlineStr">
        <is>
          <t>Chevrolet Impala</t>
        </is>
      </c>
      <c r="C322" s="18" t="inlineStr">
        <is>
          <t>Chevrolet</t>
        </is>
      </c>
      <c r="D322" s="18" t="inlineStr">
        <is>
          <t>Impala</t>
        </is>
      </c>
      <c r="E322" s="18" t="inlineStr">
        <is>
          <t>1974-1976</t>
        </is>
      </c>
      <c r="F322" s="18" t="inlineStr"/>
      <c r="G322" s="18" t="inlineStr">
        <is>
          <t>Convertible/Coupe</t>
        </is>
      </c>
      <c r="H322" s="18" t="inlineStr">
        <is>
          <t>3XXXXL-0</t>
        </is>
      </c>
      <c r="I322" s="19">
        <f t="array" ref="I322">TRIM(_xlfn.XLOOKUP(非皮卡压缩表[[#This Row],[BACKSIZE]],ALL尺码表[内部尺码],ALL尺码表[分类],""))</f>
        <v/>
      </c>
      <c r="J322" s="19">
        <f t="array" ref="J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" s="20">
        <f>LEN(非皮卡压缩表[[#This Row],[LONG-TYPE]])</f>
        <v/>
      </c>
      <c r="L322" s="21">
        <f t="array" ref="L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" s="22">
        <f>LEN(非皮卡压缩表[[#This Row],[TYPE]])</f>
        <v/>
      </c>
      <c r="N322" s="22">
        <f t="array" ref="N322">_xlfn.XLOOKUP(非皮卡压缩表[[#This Row],[MODEL]],MODEL缩写表[长MODEL],MODEL缩写表[短MODEL],非皮卡压缩表[[#This Row],[MODEL]])</f>
        <v/>
      </c>
      <c r="O322" s="22">
        <f>LEN(非皮卡压缩表[[#This Row],[SHORT-MODEL]])</f>
        <v/>
      </c>
      <c r="P322" s="11">
        <f t="array" ref="P322">TRIM(_xlfn.XLOOKUP(非皮卡压缩表[[#This Row],[BACKSIZE]],ALL尺码表[内部尺码],ALL尺码表[通用尺码]))</f>
        <v/>
      </c>
    </row>
    <row r="323">
      <c r="A323" s="17" t="inlineStr">
        <is>
          <t>ALL</t>
        </is>
      </c>
      <c r="B323" s="18" t="inlineStr">
        <is>
          <t>Chevrolet Impala</t>
        </is>
      </c>
      <c r="C323" s="18" t="inlineStr">
        <is>
          <t>Chevrolet</t>
        </is>
      </c>
      <c r="D323" s="18" t="inlineStr">
        <is>
          <t>Impala</t>
        </is>
      </c>
      <c r="E323" s="18" t="inlineStr">
        <is>
          <t>1994-1996</t>
        </is>
      </c>
      <c r="F323" s="18" t="inlineStr"/>
      <c r="G323" s="18" t="inlineStr">
        <is>
          <t>Wagon</t>
        </is>
      </c>
      <c r="H323" s="18" t="inlineStr">
        <is>
          <t>2XXL</t>
        </is>
      </c>
      <c r="I323" s="19">
        <f t="array" ref="I323">TRIM(_xlfn.XLOOKUP(非皮卡压缩表[[#This Row],[BACKSIZE]],ALL尺码表[内部尺码],ALL尺码表[分类],""))</f>
        <v/>
      </c>
      <c r="J323" s="19">
        <f t="array" ref="J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" s="20">
        <f>LEN(非皮卡压缩表[[#This Row],[LONG-TYPE]])</f>
        <v/>
      </c>
      <c r="L323" s="21">
        <f t="array" ref="L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" s="22">
        <f>LEN(非皮卡压缩表[[#This Row],[TYPE]])</f>
        <v/>
      </c>
      <c r="N323" s="22">
        <f t="array" ref="N323">_xlfn.XLOOKUP(非皮卡压缩表[[#This Row],[MODEL]],MODEL缩写表[长MODEL],MODEL缩写表[短MODEL],非皮卡压缩表[[#This Row],[MODEL]])</f>
        <v/>
      </c>
      <c r="O323" s="22">
        <f>LEN(非皮卡压缩表[[#This Row],[SHORT-MODEL]])</f>
        <v/>
      </c>
      <c r="P323" s="11">
        <f t="array" ref="P323">TRIM(_xlfn.XLOOKUP(非皮卡压缩表[[#This Row],[BACKSIZE]],ALL尺码表[内部尺码],ALL尺码表[通用尺码]))</f>
        <v/>
      </c>
    </row>
    <row r="324">
      <c r="A324" s="17" t="inlineStr">
        <is>
          <t>ALL</t>
        </is>
      </c>
      <c r="B324" s="18" t="inlineStr">
        <is>
          <t>Chevrolet Impala</t>
        </is>
      </c>
      <c r="C324" s="18" t="inlineStr">
        <is>
          <t>Chevrolet</t>
        </is>
      </c>
      <c r="D324" s="18" t="inlineStr">
        <is>
          <t>Impala</t>
        </is>
      </c>
      <c r="E324" s="18" t="inlineStr">
        <is>
          <t>1994-1996</t>
        </is>
      </c>
      <c r="F324" s="18" t="inlineStr"/>
      <c r="G324" s="18" t="inlineStr">
        <is>
          <t>Convertible/Coupe</t>
        </is>
      </c>
      <c r="H324" s="18" t="inlineStr">
        <is>
          <t>3XXXL-0</t>
        </is>
      </c>
      <c r="I324" s="19">
        <f t="array" ref="I324">TRIM(_xlfn.XLOOKUP(非皮卡压缩表[[#This Row],[BACKSIZE]],ALL尺码表[内部尺码],ALL尺码表[分类],""))</f>
        <v/>
      </c>
      <c r="J324" s="19">
        <f t="array" ref="J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" s="20">
        <f>LEN(非皮卡压缩表[[#This Row],[LONG-TYPE]])</f>
        <v/>
      </c>
      <c r="L324" s="21">
        <f t="array" ref="L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" s="22">
        <f>LEN(非皮卡压缩表[[#This Row],[TYPE]])</f>
        <v/>
      </c>
      <c r="N324" s="22">
        <f t="array" ref="N324">_xlfn.XLOOKUP(非皮卡压缩表[[#This Row],[MODEL]],MODEL缩写表[长MODEL],MODEL缩写表[短MODEL],非皮卡压缩表[[#This Row],[MODEL]])</f>
        <v/>
      </c>
      <c r="O324" s="22">
        <f>LEN(非皮卡压缩表[[#This Row],[SHORT-MODEL]])</f>
        <v/>
      </c>
      <c r="P324" s="11">
        <f t="array" ref="P324">TRIM(_xlfn.XLOOKUP(非皮卡压缩表[[#This Row],[BACKSIZE]],ALL尺码表[内部尺码],ALL尺码表[通用尺码]))</f>
        <v/>
      </c>
    </row>
    <row r="325">
      <c r="A325" s="17" t="inlineStr">
        <is>
          <t>ALL</t>
        </is>
      </c>
      <c r="B325" s="18" t="inlineStr">
        <is>
          <t>Chevrolet Impala</t>
        </is>
      </c>
      <c r="C325" s="18" t="inlineStr">
        <is>
          <t>Chevrolet</t>
        </is>
      </c>
      <c r="D325" s="18" t="inlineStr">
        <is>
          <t>Impala</t>
        </is>
      </c>
      <c r="E325" s="18" t="inlineStr">
        <is>
          <t>1994</t>
        </is>
      </c>
      <c r="F325" s="18" t="inlineStr"/>
      <c r="G325" s="18" t="inlineStr">
        <is>
          <t>Sedan</t>
        </is>
      </c>
      <c r="H325" s="18" t="inlineStr">
        <is>
          <t>无可用尺码</t>
        </is>
      </c>
      <c r="I325" s="19">
        <f t="array" ref="I325">TRIM(_xlfn.XLOOKUP(非皮卡压缩表[[#This Row],[BACKSIZE]],ALL尺码表[内部尺码],ALL尺码表[分类],""))</f>
        <v/>
      </c>
      <c r="J325" s="19">
        <f t="array" ref="J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" s="20">
        <f>LEN(非皮卡压缩表[[#This Row],[LONG-TYPE]])</f>
        <v/>
      </c>
      <c r="L325" s="21">
        <f t="array" ref="L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" s="22">
        <f>LEN(非皮卡压缩表[[#This Row],[TYPE]])</f>
        <v/>
      </c>
      <c r="N325" s="22">
        <f t="array" ref="N325">_xlfn.XLOOKUP(非皮卡压缩表[[#This Row],[MODEL]],MODEL缩写表[长MODEL],MODEL缩写表[短MODEL],非皮卡压缩表[[#This Row],[MODEL]])</f>
        <v/>
      </c>
      <c r="O325" s="22">
        <f>LEN(非皮卡压缩表[[#This Row],[SHORT-MODEL]])</f>
        <v/>
      </c>
      <c r="P325" s="11">
        <f t="array" ref="P325">TRIM(_xlfn.XLOOKUP(非皮卡压缩表[[#This Row],[BACKSIZE]],ALL尺码表[内部尺码],ALL尺码表[通用尺码]))</f>
        <v/>
      </c>
    </row>
    <row r="326">
      <c r="A326" s="17" t="inlineStr">
        <is>
          <t>ALL</t>
        </is>
      </c>
      <c r="B326" s="18" t="inlineStr">
        <is>
          <t>Chevrolet Impala</t>
        </is>
      </c>
      <c r="C326" s="18" t="inlineStr">
        <is>
          <t>Chevrolet</t>
        </is>
      </c>
      <c r="D326" s="18" t="inlineStr">
        <is>
          <t>Impala</t>
        </is>
      </c>
      <c r="E326" s="18" t="inlineStr">
        <is>
          <t>1994</t>
        </is>
      </c>
      <c r="F326" s="18" t="inlineStr"/>
      <c r="G326" s="18" t="inlineStr">
        <is>
          <t>Wagon</t>
        </is>
      </c>
      <c r="H326" s="18" t="inlineStr">
        <is>
          <t>无可用尺码</t>
        </is>
      </c>
      <c r="I326" s="19">
        <f t="array" ref="I326">TRIM(_xlfn.XLOOKUP(非皮卡压缩表[[#This Row],[BACKSIZE]],ALL尺码表[内部尺码],ALL尺码表[分类],""))</f>
        <v/>
      </c>
      <c r="J326" s="19">
        <f t="array" ref="J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" s="20">
        <f>LEN(非皮卡压缩表[[#This Row],[LONG-TYPE]])</f>
        <v/>
      </c>
      <c r="L326" s="21">
        <f t="array" ref="L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" s="22">
        <f>LEN(非皮卡压缩表[[#This Row],[TYPE]])</f>
        <v/>
      </c>
      <c r="N326" s="22">
        <f t="array" ref="N326">_xlfn.XLOOKUP(非皮卡压缩表[[#This Row],[MODEL]],MODEL缩写表[长MODEL],MODEL缩写表[短MODEL],非皮卡压缩表[[#This Row],[MODEL]])</f>
        <v/>
      </c>
      <c r="O326" s="22">
        <f>LEN(非皮卡压缩表[[#This Row],[SHORT-MODEL]])</f>
        <v/>
      </c>
      <c r="P326" s="11">
        <f t="array" ref="P326">TRIM(_xlfn.XLOOKUP(非皮卡压缩表[[#This Row],[BACKSIZE]],ALL尺码表[内部尺码],ALL尺码表[通用尺码]))</f>
        <v/>
      </c>
    </row>
    <row r="327">
      <c r="A327" s="17" t="inlineStr">
        <is>
          <t>ALL</t>
        </is>
      </c>
      <c r="B327" s="18" t="inlineStr">
        <is>
          <t>Chevrolet Impala</t>
        </is>
      </c>
      <c r="C327" s="18" t="inlineStr">
        <is>
          <t>Chevrolet</t>
        </is>
      </c>
      <c r="D327" s="18" t="inlineStr">
        <is>
          <t>Impala</t>
        </is>
      </c>
      <c r="E327" s="18" t="inlineStr">
        <is>
          <t>2009</t>
        </is>
      </c>
      <c r="F327" s="18" t="inlineStr"/>
      <c r="G327" s="18" t="inlineStr">
        <is>
          <t>Wagon</t>
        </is>
      </c>
      <c r="H327" s="18" t="inlineStr">
        <is>
          <t>无可用尺码</t>
        </is>
      </c>
      <c r="I327" s="19">
        <f t="array" ref="I327">TRIM(_xlfn.XLOOKUP(非皮卡压缩表[[#This Row],[BACKSIZE]],ALL尺码表[内部尺码],ALL尺码表[分类],""))</f>
        <v/>
      </c>
      <c r="J327" s="19">
        <f t="array" ref="J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" s="20">
        <f>LEN(非皮卡压缩表[[#This Row],[LONG-TYPE]])</f>
        <v/>
      </c>
      <c r="L327" s="21">
        <f t="array" ref="L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" s="22">
        <f>LEN(非皮卡压缩表[[#This Row],[TYPE]])</f>
        <v/>
      </c>
      <c r="N327" s="22">
        <f t="array" ref="N327">_xlfn.XLOOKUP(非皮卡压缩表[[#This Row],[MODEL]],MODEL缩写表[长MODEL],MODEL缩写表[短MODEL],非皮卡压缩表[[#This Row],[MODEL]])</f>
        <v/>
      </c>
      <c r="O327" s="22">
        <f>LEN(非皮卡压缩表[[#This Row],[SHORT-MODEL]])</f>
        <v/>
      </c>
      <c r="P327" s="11">
        <f t="array" ref="P327">TRIM(_xlfn.XLOOKUP(非皮卡压缩表[[#This Row],[BACKSIZE]],ALL尺码表[内部尺码],ALL尺码表[通用尺码]))</f>
        <v/>
      </c>
    </row>
    <row r="328">
      <c r="A328" s="17" t="inlineStr">
        <is>
          <t>ALL</t>
        </is>
      </c>
      <c r="B328" s="18" t="inlineStr">
        <is>
          <t>Chevrolet Impala</t>
        </is>
      </c>
      <c r="C328" s="18" t="inlineStr">
        <is>
          <t>Chevrolet</t>
        </is>
      </c>
      <c r="D328" s="18" t="inlineStr">
        <is>
          <t>Impala</t>
        </is>
      </c>
      <c r="E328" s="18" t="inlineStr">
        <is>
          <t>2010-2013</t>
        </is>
      </c>
      <c r="F328" s="18" t="inlineStr"/>
      <c r="G328" s="18" t="inlineStr">
        <is>
          <t>Coupe</t>
        </is>
      </c>
      <c r="H328" s="18" t="inlineStr">
        <is>
          <t>3XXL-0</t>
        </is>
      </c>
      <c r="I328" s="19">
        <f t="array" ref="I328">TRIM(_xlfn.XLOOKUP(非皮卡压缩表[[#This Row],[BACKSIZE]],ALL尺码表[内部尺码],ALL尺码表[分类],""))</f>
        <v/>
      </c>
      <c r="J328" s="19">
        <f t="array" ref="J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" s="20">
        <f>LEN(非皮卡压缩表[[#This Row],[LONG-TYPE]])</f>
        <v/>
      </c>
      <c r="L328" s="21">
        <f t="array" ref="L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" s="22">
        <f>LEN(非皮卡压缩表[[#This Row],[TYPE]])</f>
        <v/>
      </c>
      <c r="N328" s="22">
        <f t="array" ref="N328">_xlfn.XLOOKUP(非皮卡压缩表[[#This Row],[MODEL]],MODEL缩写表[长MODEL],MODEL缩写表[短MODEL],非皮卡压缩表[[#This Row],[MODEL]])</f>
        <v/>
      </c>
      <c r="O328" s="22">
        <f>LEN(非皮卡压缩表[[#This Row],[SHORT-MODEL]])</f>
        <v/>
      </c>
      <c r="P328" s="11">
        <f t="array" ref="P328">TRIM(_xlfn.XLOOKUP(非皮卡压缩表[[#This Row],[BACKSIZE]],ALL尺码表[内部尺码],ALL尺码表[通用尺码]))</f>
        <v/>
      </c>
    </row>
    <row r="329">
      <c r="A329" s="17" t="inlineStr">
        <is>
          <t>ALL</t>
        </is>
      </c>
      <c r="B329" s="18" t="inlineStr">
        <is>
          <t>Chevrolet Impala</t>
        </is>
      </c>
      <c r="C329" s="18" t="inlineStr">
        <is>
          <t>Chevrolet</t>
        </is>
      </c>
      <c r="D329" s="18" t="inlineStr">
        <is>
          <t>Impala</t>
        </is>
      </c>
      <c r="E329" s="18" t="inlineStr">
        <is>
          <t>2014-2020</t>
        </is>
      </c>
      <c r="F329" s="18" t="inlineStr"/>
      <c r="G329" s="18" t="inlineStr">
        <is>
          <t>Sedan</t>
        </is>
      </c>
      <c r="H329" s="18" t="inlineStr">
        <is>
          <t>3XXL</t>
        </is>
      </c>
      <c r="I329" s="19">
        <f t="array" ref="I329">TRIM(_xlfn.XLOOKUP(非皮卡压缩表[[#This Row],[BACKSIZE]],ALL尺码表[内部尺码],ALL尺码表[分类],""))</f>
        <v/>
      </c>
      <c r="J329" s="19">
        <f t="array" ref="J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" s="20">
        <f>LEN(非皮卡压缩表[[#This Row],[LONG-TYPE]])</f>
        <v/>
      </c>
      <c r="L329" s="21">
        <f t="array" ref="L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" s="22">
        <f>LEN(非皮卡压缩表[[#This Row],[TYPE]])</f>
        <v/>
      </c>
      <c r="N329" s="22">
        <f t="array" ref="N329">_xlfn.XLOOKUP(非皮卡压缩表[[#This Row],[MODEL]],MODEL缩写表[长MODEL],MODEL缩写表[短MODEL],非皮卡压缩表[[#This Row],[MODEL]])</f>
        <v/>
      </c>
      <c r="O329" s="22">
        <f>LEN(非皮卡压缩表[[#This Row],[SHORT-MODEL]])</f>
        <v/>
      </c>
      <c r="P329" s="11">
        <f t="array" ref="P329">TRIM(_xlfn.XLOOKUP(非皮卡压缩表[[#This Row],[BACKSIZE]],ALL尺码表[内部尺码],ALL尺码表[通用尺码]))</f>
        <v/>
      </c>
    </row>
    <row r="330">
      <c r="A330" s="17" t="inlineStr">
        <is>
          <t>ALL</t>
        </is>
      </c>
      <c r="B330" s="18" t="inlineStr">
        <is>
          <t>Chevrolet Impala</t>
        </is>
      </c>
      <c r="C330" s="18" t="inlineStr">
        <is>
          <t>Chevrolet</t>
        </is>
      </c>
      <c r="D330" s="18" t="inlineStr">
        <is>
          <t>Impala</t>
        </is>
      </c>
      <c r="E330" s="18" t="inlineStr">
        <is>
          <t>2014-2020</t>
        </is>
      </c>
      <c r="F330" s="18" t="inlineStr"/>
      <c r="G330" s="18" t="inlineStr">
        <is>
          <t>Coupe</t>
        </is>
      </c>
      <c r="H330" s="18" t="inlineStr">
        <is>
          <t>3XXXL-0</t>
        </is>
      </c>
      <c r="I330" s="19">
        <f t="array" ref="I330">TRIM(_xlfn.XLOOKUP(非皮卡压缩表[[#This Row],[BACKSIZE]],ALL尺码表[内部尺码],ALL尺码表[分类],""))</f>
        <v/>
      </c>
      <c r="J330" s="19">
        <f t="array" ref="J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" s="20">
        <f>LEN(非皮卡压缩表[[#This Row],[LONG-TYPE]])</f>
        <v/>
      </c>
      <c r="L330" s="21">
        <f t="array" ref="L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" s="22">
        <f>LEN(非皮卡压缩表[[#This Row],[TYPE]])</f>
        <v/>
      </c>
      <c r="N330" s="22">
        <f t="array" ref="N330">_xlfn.XLOOKUP(非皮卡压缩表[[#This Row],[MODEL]],MODEL缩写表[长MODEL],MODEL缩写表[短MODEL],非皮卡压缩表[[#This Row],[MODEL]])</f>
        <v/>
      </c>
      <c r="O330" s="22">
        <f>LEN(非皮卡压缩表[[#This Row],[SHORT-MODEL]])</f>
        <v/>
      </c>
      <c r="P330" s="11">
        <f t="array" ref="P330">TRIM(_xlfn.XLOOKUP(非皮卡压缩表[[#This Row],[BACKSIZE]],ALL尺码表[内部尺码],ALL尺码表[通用尺码]))</f>
        <v/>
      </c>
    </row>
    <row r="331">
      <c r="A331" s="17" t="inlineStr">
        <is>
          <t>ALL</t>
        </is>
      </c>
      <c r="B331" s="18" t="inlineStr">
        <is>
          <t>Chevrolet K5 Blazer</t>
        </is>
      </c>
      <c r="C331" s="18" t="inlineStr">
        <is>
          <t>Chevrolet</t>
        </is>
      </c>
      <c r="D331" s="18" t="inlineStr">
        <is>
          <t>K5 Blazer</t>
        </is>
      </c>
      <c r="E331" s="18" t="inlineStr">
        <is>
          <t>1969-1972</t>
        </is>
      </c>
      <c r="F331" s="18" t="inlineStr"/>
      <c r="G331" s="18" t="inlineStr">
        <is>
          <t>SUV</t>
        </is>
      </c>
      <c r="H331" s="18" t="inlineStr">
        <is>
          <t>YM+</t>
        </is>
      </c>
      <c r="I331" s="19">
        <f t="array" ref="I331">TRIM(_xlfn.XLOOKUP(非皮卡压缩表[[#This Row],[BACKSIZE]],ALL尺码表[内部尺码],ALL尺码表[分类],""))</f>
        <v/>
      </c>
      <c r="J331" s="19">
        <f t="array" ref="J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" s="20">
        <f>LEN(非皮卡压缩表[[#This Row],[LONG-TYPE]])</f>
        <v/>
      </c>
      <c r="L331" s="21">
        <f t="array" ref="L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" s="22">
        <f>LEN(非皮卡压缩表[[#This Row],[TYPE]])</f>
        <v/>
      </c>
      <c r="N331" s="22">
        <f t="array" ref="N331">_xlfn.XLOOKUP(非皮卡压缩表[[#This Row],[MODEL]],MODEL缩写表[长MODEL],MODEL缩写表[短MODEL],非皮卡压缩表[[#This Row],[MODEL]])</f>
        <v/>
      </c>
      <c r="O331" s="22">
        <f>LEN(非皮卡压缩表[[#This Row],[SHORT-MODEL]])</f>
        <v/>
      </c>
      <c r="P331" s="11">
        <f t="array" ref="P331">TRIM(_xlfn.XLOOKUP(非皮卡压缩表[[#This Row],[BACKSIZE]],ALL尺码表[内部尺码],ALL尺码表[通用尺码]))</f>
        <v/>
      </c>
    </row>
    <row r="332">
      <c r="A332" s="17" t="inlineStr">
        <is>
          <t>ALL</t>
        </is>
      </c>
      <c r="B332" s="18" t="inlineStr">
        <is>
          <t>Chevrolet K5 Blazer</t>
        </is>
      </c>
      <c r="C332" s="18" t="inlineStr">
        <is>
          <t>Chevrolet</t>
        </is>
      </c>
      <c r="D332" s="18" t="inlineStr">
        <is>
          <t>K5 Blazer</t>
        </is>
      </c>
      <c r="E332" s="18" t="inlineStr">
        <is>
          <t>1973-1994</t>
        </is>
      </c>
      <c r="F332" s="18" t="inlineStr"/>
      <c r="G332" s="18" t="inlineStr">
        <is>
          <t>SUV</t>
        </is>
      </c>
      <c r="H332" s="18" t="inlineStr">
        <is>
          <t>YL</t>
        </is>
      </c>
      <c r="I332" s="19">
        <f t="array" ref="I332">TRIM(_xlfn.XLOOKUP(非皮卡压缩表[[#This Row],[BACKSIZE]],ALL尺码表[内部尺码],ALL尺码表[分类],""))</f>
        <v/>
      </c>
      <c r="J332" s="19">
        <f t="array" ref="J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" s="20">
        <f>LEN(非皮卡压缩表[[#This Row],[LONG-TYPE]])</f>
        <v/>
      </c>
      <c r="L332" s="21">
        <f t="array" ref="L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" s="22">
        <f>LEN(非皮卡压缩表[[#This Row],[TYPE]])</f>
        <v/>
      </c>
      <c r="N332" s="22">
        <f t="array" ref="N332">_xlfn.XLOOKUP(非皮卡压缩表[[#This Row],[MODEL]],MODEL缩写表[长MODEL],MODEL缩写表[短MODEL],非皮卡压缩表[[#This Row],[MODEL]])</f>
        <v/>
      </c>
      <c r="O332" s="22">
        <f>LEN(非皮卡压缩表[[#This Row],[SHORT-MODEL]])</f>
        <v/>
      </c>
      <c r="P332" s="11">
        <f t="array" ref="P332">TRIM(_xlfn.XLOOKUP(非皮卡压缩表[[#This Row],[BACKSIZE]],ALL尺码表[内部尺码],ALL尺码表[通用尺码]))</f>
        <v/>
      </c>
    </row>
    <row r="333">
      <c r="A333" s="17" t="inlineStr">
        <is>
          <t>ALL</t>
        </is>
      </c>
      <c r="B333" s="18" t="inlineStr">
        <is>
          <t>Chevrolet Lumina</t>
        </is>
      </c>
      <c r="C333" s="18" t="inlineStr">
        <is>
          <t>Chevrolet</t>
        </is>
      </c>
      <c r="D333" s="18" t="inlineStr">
        <is>
          <t>Lumina</t>
        </is>
      </c>
      <c r="E333" s="18" t="inlineStr">
        <is>
          <t>1990-1994</t>
        </is>
      </c>
      <c r="F333" s="18" t="inlineStr"/>
      <c r="G333" s="18" t="inlineStr">
        <is>
          <t>Coupe</t>
        </is>
      </c>
      <c r="H333" s="18" t="inlineStr">
        <is>
          <t>3XL+0</t>
        </is>
      </c>
      <c r="I333" s="19">
        <f t="array" ref="I333">TRIM(_xlfn.XLOOKUP(非皮卡压缩表[[#This Row],[BACKSIZE]],ALL尺码表[内部尺码],ALL尺码表[分类],""))</f>
        <v/>
      </c>
      <c r="J333" s="19">
        <f t="array" ref="J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" s="20">
        <f>LEN(非皮卡压缩表[[#This Row],[LONG-TYPE]])</f>
        <v/>
      </c>
      <c r="L333" s="21">
        <f t="array" ref="L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" s="22">
        <f>LEN(非皮卡压缩表[[#This Row],[TYPE]])</f>
        <v/>
      </c>
      <c r="N333" s="22">
        <f t="array" ref="N333">_xlfn.XLOOKUP(非皮卡压缩表[[#This Row],[MODEL]],MODEL缩写表[长MODEL],MODEL缩写表[短MODEL],非皮卡压缩表[[#This Row],[MODEL]])</f>
        <v/>
      </c>
      <c r="O333" s="22">
        <f>LEN(非皮卡压缩表[[#This Row],[SHORT-MODEL]])</f>
        <v/>
      </c>
      <c r="P333" s="11">
        <f t="array" ref="P333">TRIM(_xlfn.XLOOKUP(非皮卡压缩表[[#This Row],[BACKSIZE]],ALL尺码表[内部尺码],ALL尺码表[通用尺码]))</f>
        <v/>
      </c>
    </row>
    <row r="334">
      <c r="A334" s="17" t="inlineStr">
        <is>
          <t>ALL</t>
        </is>
      </c>
      <c r="B334" s="18" t="inlineStr">
        <is>
          <t>Chevrolet Lumina</t>
        </is>
      </c>
      <c r="C334" s="18" t="inlineStr">
        <is>
          <t>Chevrolet</t>
        </is>
      </c>
      <c r="D334" s="18" t="inlineStr">
        <is>
          <t>Lumina</t>
        </is>
      </c>
      <c r="E334" s="18" t="inlineStr">
        <is>
          <t>1990-2001</t>
        </is>
      </c>
      <c r="F334" s="18" t="inlineStr"/>
      <c r="G334" s="18" t="inlineStr">
        <is>
          <t>Sedan</t>
        </is>
      </c>
      <c r="H334" s="18" t="inlineStr">
        <is>
          <t>3XXL</t>
        </is>
      </c>
      <c r="I334" s="19">
        <f t="array" ref="I334">TRIM(_xlfn.XLOOKUP(非皮卡压缩表[[#This Row],[BACKSIZE]],ALL尺码表[内部尺码],ALL尺码表[分类],""))</f>
        <v/>
      </c>
      <c r="J334" s="19">
        <f t="array" ref="J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" s="20">
        <f>LEN(非皮卡压缩表[[#This Row],[LONG-TYPE]])</f>
        <v/>
      </c>
      <c r="L334" s="21">
        <f t="array" ref="L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" s="22">
        <f>LEN(非皮卡压缩表[[#This Row],[TYPE]])</f>
        <v/>
      </c>
      <c r="N334" s="22">
        <f t="array" ref="N334">_xlfn.XLOOKUP(非皮卡压缩表[[#This Row],[MODEL]],MODEL缩写表[长MODEL],MODEL缩写表[短MODEL],非皮卡压缩表[[#This Row],[MODEL]])</f>
        <v/>
      </c>
      <c r="O334" s="22">
        <f>LEN(非皮卡压缩表[[#This Row],[SHORT-MODEL]])</f>
        <v/>
      </c>
      <c r="P334" s="11">
        <f t="array" ref="P334">TRIM(_xlfn.XLOOKUP(非皮卡压缩表[[#This Row],[BACKSIZE]],ALL尺码表[内部尺码],ALL尺码表[通用尺码]))</f>
        <v/>
      </c>
    </row>
    <row r="335">
      <c r="A335" s="17" t="inlineStr">
        <is>
          <t>ALL</t>
        </is>
      </c>
      <c r="B335" s="18" t="inlineStr">
        <is>
          <t>Chevrolet Malibu</t>
        </is>
      </c>
      <c r="C335" s="18" t="inlineStr">
        <is>
          <t>Chevrolet</t>
        </is>
      </c>
      <c r="D335" s="18" t="inlineStr">
        <is>
          <t>Malibu</t>
        </is>
      </c>
      <c r="E335" s="18" t="inlineStr">
        <is>
          <t>1964-1974</t>
        </is>
      </c>
      <c r="F335" s="18" t="inlineStr"/>
      <c r="G335" s="18" t="inlineStr">
        <is>
          <t>Wagon</t>
        </is>
      </c>
      <c r="H335" s="18" t="inlineStr">
        <is>
          <t>2XL+</t>
        </is>
      </c>
      <c r="I335" s="19">
        <f t="array" ref="I335">TRIM(_xlfn.XLOOKUP(非皮卡压缩表[[#This Row],[BACKSIZE]],ALL尺码表[内部尺码],ALL尺码表[分类],""))</f>
        <v/>
      </c>
      <c r="J335" s="19">
        <f t="array" ref="J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" s="20">
        <f>LEN(非皮卡压缩表[[#This Row],[LONG-TYPE]])</f>
        <v/>
      </c>
      <c r="L335" s="21">
        <f t="array" ref="L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" s="22">
        <f>LEN(非皮卡压缩表[[#This Row],[TYPE]])</f>
        <v/>
      </c>
      <c r="N335" s="22">
        <f t="array" ref="N335">_xlfn.XLOOKUP(非皮卡压缩表[[#This Row],[MODEL]],MODEL缩写表[长MODEL],MODEL缩写表[短MODEL],非皮卡压缩表[[#This Row],[MODEL]])</f>
        <v/>
      </c>
      <c r="O335" s="22">
        <f>LEN(非皮卡压缩表[[#This Row],[SHORT-MODEL]])</f>
        <v/>
      </c>
      <c r="P335" s="11">
        <f t="array" ref="P335">TRIM(_xlfn.XLOOKUP(非皮卡压缩表[[#This Row],[BACKSIZE]],ALL尺码表[内部尺码],ALL尺码表[通用尺码]))</f>
        <v/>
      </c>
    </row>
    <row r="336">
      <c r="A336" s="17" t="inlineStr">
        <is>
          <t>ALL</t>
        </is>
      </c>
      <c r="B336" s="18" t="inlineStr">
        <is>
          <t>Chevrolet Malibu</t>
        </is>
      </c>
      <c r="C336" s="18" t="inlineStr">
        <is>
          <t>Chevrolet</t>
        </is>
      </c>
      <c r="D336" s="18" t="inlineStr">
        <is>
          <t>Malibu</t>
        </is>
      </c>
      <c r="E336" s="18" t="inlineStr">
        <is>
          <t>1964-1974</t>
        </is>
      </c>
      <c r="F336" s="18" t="inlineStr"/>
      <c r="G336" s="18" t="inlineStr">
        <is>
          <t>Convertible/Coupe</t>
        </is>
      </c>
      <c r="H336" s="18" t="inlineStr">
        <is>
          <t>3XL+0</t>
        </is>
      </c>
      <c r="I336" s="19">
        <f t="array" ref="I336">TRIM(_xlfn.XLOOKUP(非皮卡压缩表[[#This Row],[BACKSIZE]],ALL尺码表[内部尺码],ALL尺码表[分类],""))</f>
        <v/>
      </c>
      <c r="J336" s="19">
        <f t="array" ref="J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" s="20">
        <f>LEN(非皮卡压缩表[[#This Row],[LONG-TYPE]])</f>
        <v/>
      </c>
      <c r="L336" s="21">
        <f t="array" ref="L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" s="22">
        <f>LEN(非皮卡压缩表[[#This Row],[TYPE]])</f>
        <v/>
      </c>
      <c r="N336" s="22">
        <f t="array" ref="N336">_xlfn.XLOOKUP(非皮卡压缩表[[#This Row],[MODEL]],MODEL缩写表[长MODEL],MODEL缩写表[短MODEL],非皮卡压缩表[[#This Row],[MODEL]])</f>
        <v/>
      </c>
      <c r="O336" s="22">
        <f>LEN(非皮卡压缩表[[#This Row],[SHORT-MODEL]])</f>
        <v/>
      </c>
      <c r="P336" s="11">
        <f t="array" ref="P336">TRIM(_xlfn.XLOOKUP(非皮卡压缩表[[#This Row],[BACKSIZE]],ALL尺码表[内部尺码],ALL尺码表[通用尺码]))</f>
        <v/>
      </c>
    </row>
    <row r="337">
      <c r="A337" s="17" t="inlineStr">
        <is>
          <t>ALL</t>
        </is>
      </c>
      <c r="B337" s="18" t="inlineStr">
        <is>
          <t>Chevrolet Malibu</t>
        </is>
      </c>
      <c r="C337" s="18" t="inlineStr">
        <is>
          <t>Chevrolet</t>
        </is>
      </c>
      <c r="D337" s="18" t="inlineStr">
        <is>
          <t>Malibu</t>
        </is>
      </c>
      <c r="E337" s="18" t="inlineStr">
        <is>
          <t>1964-1974</t>
        </is>
      </c>
      <c r="F337" s="18" t="inlineStr"/>
      <c r="G337" s="18" t="inlineStr">
        <is>
          <t>Sedan</t>
        </is>
      </c>
      <c r="H337" s="18" t="inlineStr">
        <is>
          <t>3XXL</t>
        </is>
      </c>
      <c r="I337" s="19">
        <f t="array" ref="I337">TRIM(_xlfn.XLOOKUP(非皮卡压缩表[[#This Row],[BACKSIZE]],ALL尺码表[内部尺码],ALL尺码表[分类],""))</f>
        <v/>
      </c>
      <c r="J337" s="19">
        <f t="array" ref="J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" s="20">
        <f>LEN(非皮卡压缩表[[#This Row],[LONG-TYPE]])</f>
        <v/>
      </c>
      <c r="L337" s="21">
        <f t="array" ref="L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" s="22">
        <f>LEN(非皮卡压缩表[[#This Row],[TYPE]])</f>
        <v/>
      </c>
      <c r="N337" s="22">
        <f t="array" ref="N337">_xlfn.XLOOKUP(非皮卡压缩表[[#This Row],[MODEL]],MODEL缩写表[长MODEL],MODEL缩写表[短MODEL],非皮卡压缩表[[#This Row],[MODEL]])</f>
        <v/>
      </c>
      <c r="O337" s="22">
        <f>LEN(非皮卡压缩表[[#This Row],[SHORT-MODEL]])</f>
        <v/>
      </c>
      <c r="P337" s="11">
        <f t="array" ref="P337">TRIM(_xlfn.XLOOKUP(非皮卡压缩表[[#This Row],[BACKSIZE]],ALL尺码表[内部尺码],ALL尺码表[通用尺码]))</f>
        <v/>
      </c>
    </row>
    <row r="338">
      <c r="A338" s="17" t="inlineStr">
        <is>
          <t>ALL</t>
        </is>
      </c>
      <c r="B338" s="18" t="inlineStr">
        <is>
          <t>Chevrolet Malibu</t>
        </is>
      </c>
      <c r="C338" s="18" t="inlineStr">
        <is>
          <t>Chevrolet</t>
        </is>
      </c>
      <c r="D338" s="18" t="inlineStr">
        <is>
          <t>Malibu</t>
        </is>
      </c>
      <c r="E338" s="18" t="inlineStr">
        <is>
          <t>1975-1977</t>
        </is>
      </c>
      <c r="F338" s="18" t="inlineStr"/>
      <c r="G338" s="18" t="inlineStr">
        <is>
          <t>Coupe</t>
        </is>
      </c>
      <c r="H338" s="18" t="inlineStr">
        <is>
          <t>3XXL-0</t>
        </is>
      </c>
      <c r="I338" s="19">
        <f t="array" ref="I338">TRIM(_xlfn.XLOOKUP(非皮卡压缩表[[#This Row],[BACKSIZE]],ALL尺码表[内部尺码],ALL尺码表[分类],""))</f>
        <v/>
      </c>
      <c r="J338" s="19">
        <f t="array" ref="J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" s="20">
        <f>LEN(非皮卡压缩表[[#This Row],[LONG-TYPE]])</f>
        <v/>
      </c>
      <c r="L338" s="21">
        <f t="array" ref="L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" s="22">
        <f>LEN(非皮卡压缩表[[#This Row],[TYPE]])</f>
        <v/>
      </c>
      <c r="N338" s="22">
        <f t="array" ref="N338">_xlfn.XLOOKUP(非皮卡压缩表[[#This Row],[MODEL]],MODEL缩写表[长MODEL],MODEL缩写表[短MODEL],非皮卡压缩表[[#This Row],[MODEL]])</f>
        <v/>
      </c>
      <c r="O338" s="22">
        <f>LEN(非皮卡压缩表[[#This Row],[SHORT-MODEL]])</f>
        <v/>
      </c>
      <c r="P338" s="11">
        <f t="array" ref="P338">TRIM(_xlfn.XLOOKUP(非皮卡压缩表[[#This Row],[BACKSIZE]],ALL尺码表[内部尺码],ALL尺码表[通用尺码]))</f>
        <v/>
      </c>
    </row>
    <row r="339">
      <c r="A339" s="17" t="inlineStr">
        <is>
          <t>ALL</t>
        </is>
      </c>
      <c r="B339" s="18" t="inlineStr">
        <is>
          <t>Chevrolet Malibu</t>
        </is>
      </c>
      <c r="C339" s="18" t="inlineStr">
        <is>
          <t>Chevrolet</t>
        </is>
      </c>
      <c r="D339" s="18" t="inlineStr">
        <is>
          <t>Malibu</t>
        </is>
      </c>
      <c r="E339" s="18" t="inlineStr">
        <is>
          <t>1975-1977</t>
        </is>
      </c>
      <c r="F339" s="18" t="inlineStr"/>
      <c r="G339" s="18" t="inlineStr">
        <is>
          <t>Sedan</t>
        </is>
      </c>
      <c r="H339" s="18" t="inlineStr">
        <is>
          <t>3XXXL</t>
        </is>
      </c>
      <c r="I339" s="19">
        <f t="array" ref="I339">TRIM(_xlfn.XLOOKUP(非皮卡压缩表[[#This Row],[BACKSIZE]],ALL尺码表[内部尺码],ALL尺码表[分类],""))</f>
        <v/>
      </c>
      <c r="J339" s="19">
        <f t="array" ref="J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" s="20">
        <f>LEN(非皮卡压缩表[[#This Row],[LONG-TYPE]])</f>
        <v/>
      </c>
      <c r="L339" s="21">
        <f t="array" ref="L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" s="22">
        <f>LEN(非皮卡压缩表[[#This Row],[TYPE]])</f>
        <v/>
      </c>
      <c r="N339" s="22">
        <f t="array" ref="N339">_xlfn.XLOOKUP(非皮卡压缩表[[#This Row],[MODEL]],MODEL缩写表[长MODEL],MODEL缩写表[短MODEL],非皮卡压缩表[[#This Row],[MODEL]])</f>
        <v/>
      </c>
      <c r="O339" s="22">
        <f>LEN(非皮卡压缩表[[#This Row],[SHORT-MODEL]])</f>
        <v/>
      </c>
      <c r="P339" s="11">
        <f t="array" ref="P339">TRIM(_xlfn.XLOOKUP(非皮卡压缩表[[#This Row],[BACKSIZE]],ALL尺码表[内部尺码],ALL尺码表[通用尺码]))</f>
        <v/>
      </c>
    </row>
    <row r="340">
      <c r="A340" s="17" t="inlineStr">
        <is>
          <t>ALL</t>
        </is>
      </c>
      <c r="B340" s="18" t="inlineStr">
        <is>
          <t>Chevrolet Malibu</t>
        </is>
      </c>
      <c r="C340" s="18" t="inlineStr">
        <is>
          <t>Chevrolet</t>
        </is>
      </c>
      <c r="D340" s="18" t="inlineStr">
        <is>
          <t>Malibu</t>
        </is>
      </c>
      <c r="E340" s="18" t="inlineStr">
        <is>
          <t>1975-1977</t>
        </is>
      </c>
      <c r="F340" s="18" t="inlineStr"/>
      <c r="G340" s="18" t="inlineStr">
        <is>
          <t>Wagon</t>
        </is>
      </c>
      <c r="H340" s="18" t="inlineStr">
        <is>
          <t>无可用尺码</t>
        </is>
      </c>
      <c r="I340" s="19">
        <f t="array" ref="I340">TRIM(_xlfn.XLOOKUP(非皮卡压缩表[[#This Row],[BACKSIZE]],ALL尺码表[内部尺码],ALL尺码表[分类],""))</f>
        <v/>
      </c>
      <c r="J340" s="19">
        <f t="array" ref="J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" s="20">
        <f>LEN(非皮卡压缩表[[#This Row],[LONG-TYPE]])</f>
        <v/>
      </c>
      <c r="L340" s="21">
        <f t="array" ref="L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" s="22">
        <f>LEN(非皮卡压缩表[[#This Row],[TYPE]])</f>
        <v/>
      </c>
      <c r="N340" s="22">
        <f t="array" ref="N340">_xlfn.XLOOKUP(非皮卡压缩表[[#This Row],[MODEL]],MODEL缩写表[长MODEL],MODEL缩写表[短MODEL],非皮卡压缩表[[#This Row],[MODEL]])</f>
        <v/>
      </c>
      <c r="O340" s="22">
        <f>LEN(非皮卡压缩表[[#This Row],[SHORT-MODEL]])</f>
        <v/>
      </c>
      <c r="P340" s="11">
        <f t="array" ref="P340">TRIM(_xlfn.XLOOKUP(非皮卡压缩表[[#This Row],[BACKSIZE]],ALL尺码表[内部尺码],ALL尺码表[通用尺码]))</f>
        <v/>
      </c>
    </row>
    <row r="341">
      <c r="A341" s="17" t="inlineStr">
        <is>
          <t>ALL</t>
        </is>
      </c>
      <c r="B341" s="18" t="inlineStr">
        <is>
          <t>Chevrolet Malibu</t>
        </is>
      </c>
      <c r="C341" s="18" t="inlineStr">
        <is>
          <t>Chevrolet</t>
        </is>
      </c>
      <c r="D341" s="18" t="inlineStr">
        <is>
          <t>Malibu</t>
        </is>
      </c>
      <c r="E341" s="18" t="inlineStr">
        <is>
          <t>1978-1983</t>
        </is>
      </c>
      <c r="F341" s="18" t="inlineStr"/>
      <c r="G341" s="18" t="inlineStr">
        <is>
          <t>Wagon</t>
        </is>
      </c>
      <c r="H341" s="18" t="inlineStr">
        <is>
          <t>2XL+</t>
        </is>
      </c>
      <c r="I341" s="19">
        <f t="array" ref="I341">TRIM(_xlfn.XLOOKUP(非皮卡压缩表[[#This Row],[BACKSIZE]],ALL尺码表[内部尺码],ALL尺码表[分类],""))</f>
        <v/>
      </c>
      <c r="J341" s="19">
        <f t="array" ref="J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" s="20">
        <f>LEN(非皮卡压缩表[[#This Row],[LONG-TYPE]])</f>
        <v/>
      </c>
      <c r="L341" s="21">
        <f t="array" ref="L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" s="22">
        <f>LEN(非皮卡压缩表[[#This Row],[TYPE]])</f>
        <v/>
      </c>
      <c r="N341" s="22">
        <f t="array" ref="N341">_xlfn.XLOOKUP(非皮卡压缩表[[#This Row],[MODEL]],MODEL缩写表[长MODEL],MODEL缩写表[短MODEL],非皮卡压缩表[[#This Row],[MODEL]])</f>
        <v/>
      </c>
      <c r="O341" s="22">
        <f>LEN(非皮卡压缩表[[#This Row],[SHORT-MODEL]])</f>
        <v/>
      </c>
      <c r="P341" s="11">
        <f t="array" ref="P341">TRIM(_xlfn.XLOOKUP(非皮卡压缩表[[#This Row],[BACKSIZE]],ALL尺码表[内部尺码],ALL尺码表[通用尺码]))</f>
        <v/>
      </c>
    </row>
    <row r="342">
      <c r="A342" s="17" t="inlineStr">
        <is>
          <t>ALL</t>
        </is>
      </c>
      <c r="B342" s="18" t="inlineStr">
        <is>
          <t>Chevrolet Malibu</t>
        </is>
      </c>
      <c r="C342" s="18" t="inlineStr">
        <is>
          <t>Chevrolet</t>
        </is>
      </c>
      <c r="D342" s="18" t="inlineStr">
        <is>
          <t>Malibu</t>
        </is>
      </c>
      <c r="E342" s="18" t="inlineStr">
        <is>
          <t>1978-1981</t>
        </is>
      </c>
      <c r="F342" s="18" t="inlineStr"/>
      <c r="G342" s="18" t="inlineStr">
        <is>
          <t>Coupe</t>
        </is>
      </c>
      <c r="H342" s="18" t="inlineStr">
        <is>
          <t>3XL-0</t>
        </is>
      </c>
      <c r="I342" s="19">
        <f t="array" ref="I342">TRIM(_xlfn.XLOOKUP(非皮卡压缩表[[#This Row],[BACKSIZE]],ALL尺码表[内部尺码],ALL尺码表[分类],""))</f>
        <v/>
      </c>
      <c r="J342" s="19">
        <f t="array" ref="J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" s="20">
        <f>LEN(非皮卡压缩表[[#This Row],[LONG-TYPE]])</f>
        <v/>
      </c>
      <c r="L342" s="21">
        <f t="array" ref="L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" s="22">
        <f>LEN(非皮卡压缩表[[#This Row],[TYPE]])</f>
        <v/>
      </c>
      <c r="N342" s="22">
        <f t="array" ref="N342">_xlfn.XLOOKUP(非皮卡压缩表[[#This Row],[MODEL]],MODEL缩写表[长MODEL],MODEL缩写表[短MODEL],非皮卡压缩表[[#This Row],[MODEL]])</f>
        <v/>
      </c>
      <c r="O342" s="22">
        <f>LEN(非皮卡压缩表[[#This Row],[SHORT-MODEL]])</f>
        <v/>
      </c>
      <c r="P342" s="11">
        <f t="array" ref="P342">TRIM(_xlfn.XLOOKUP(非皮卡压缩表[[#This Row],[BACKSIZE]],ALL尺码表[内部尺码],ALL尺码表[通用尺码]))</f>
        <v/>
      </c>
    </row>
    <row r="343">
      <c r="A343" s="17" t="inlineStr">
        <is>
          <t>ALL</t>
        </is>
      </c>
      <c r="B343" s="18" t="inlineStr">
        <is>
          <t>Chevrolet Malibu</t>
        </is>
      </c>
      <c r="C343" s="18" t="inlineStr">
        <is>
          <t>Chevrolet</t>
        </is>
      </c>
      <c r="D343" s="18" t="inlineStr">
        <is>
          <t>Malibu</t>
        </is>
      </c>
      <c r="E343" s="18" t="inlineStr">
        <is>
          <t>1978-1983</t>
        </is>
      </c>
      <c r="F343" s="18" t="inlineStr"/>
      <c r="G343" s="18" t="inlineStr">
        <is>
          <t>Sedan</t>
        </is>
      </c>
      <c r="H343" s="18" t="inlineStr">
        <is>
          <t>3XXL</t>
        </is>
      </c>
      <c r="I343" s="19">
        <f t="array" ref="I343">TRIM(_xlfn.XLOOKUP(非皮卡压缩表[[#This Row],[BACKSIZE]],ALL尺码表[内部尺码],ALL尺码表[分类],""))</f>
        <v/>
      </c>
      <c r="J343" s="19">
        <f t="array" ref="J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" s="20">
        <f>LEN(非皮卡压缩表[[#This Row],[LONG-TYPE]])</f>
        <v/>
      </c>
      <c r="L343" s="21">
        <f t="array" ref="L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" s="22">
        <f>LEN(非皮卡压缩表[[#This Row],[TYPE]])</f>
        <v/>
      </c>
      <c r="N343" s="22">
        <f t="array" ref="N343">_xlfn.XLOOKUP(非皮卡压缩表[[#This Row],[MODEL]],MODEL缩写表[长MODEL],MODEL缩写表[短MODEL],非皮卡压缩表[[#This Row],[MODEL]])</f>
        <v/>
      </c>
      <c r="O343" s="22">
        <f>LEN(非皮卡压缩表[[#This Row],[SHORT-MODEL]])</f>
        <v/>
      </c>
      <c r="P343" s="11">
        <f t="array" ref="P343">TRIM(_xlfn.XLOOKUP(非皮卡压缩表[[#This Row],[BACKSIZE]],ALL尺码表[内部尺码],ALL尺码表[通用尺码]))</f>
        <v/>
      </c>
    </row>
    <row r="344">
      <c r="A344" s="17" t="inlineStr">
        <is>
          <t>ALL</t>
        </is>
      </c>
      <c r="B344" s="18" t="inlineStr">
        <is>
          <t>Chevrolet Malibu</t>
        </is>
      </c>
      <c r="C344" s="18" t="inlineStr">
        <is>
          <t>Chevrolet</t>
        </is>
      </c>
      <c r="D344" s="18" t="inlineStr">
        <is>
          <t>Malibu</t>
        </is>
      </c>
      <c r="E344" s="18" t="inlineStr">
        <is>
          <t>1997-2015</t>
        </is>
      </c>
      <c r="F344" s="18" t="inlineStr"/>
      <c r="G344" s="18" t="inlineStr">
        <is>
          <t>Sedan</t>
        </is>
      </c>
      <c r="H344" s="18" t="inlineStr">
        <is>
          <t>3XL</t>
        </is>
      </c>
      <c r="I344" s="19">
        <f t="array" ref="I344">TRIM(_xlfn.XLOOKUP(非皮卡压缩表[[#This Row],[BACKSIZE]],ALL尺码表[内部尺码],ALL尺码表[分类],""))</f>
        <v/>
      </c>
      <c r="J344" s="19">
        <f t="array" ref="J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" s="20">
        <f>LEN(非皮卡压缩表[[#This Row],[LONG-TYPE]])</f>
        <v/>
      </c>
      <c r="L344" s="21">
        <f t="array" ref="L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" s="22">
        <f>LEN(非皮卡压缩表[[#This Row],[TYPE]])</f>
        <v/>
      </c>
      <c r="N344" s="22">
        <f t="array" ref="N344">_xlfn.XLOOKUP(非皮卡压缩表[[#This Row],[MODEL]],MODEL缩写表[长MODEL],MODEL缩写表[短MODEL],非皮卡压缩表[[#This Row],[MODEL]])</f>
        <v/>
      </c>
      <c r="O344" s="22">
        <f>LEN(非皮卡压缩表[[#This Row],[SHORT-MODEL]])</f>
        <v/>
      </c>
      <c r="P344" s="11">
        <f t="array" ref="P344">TRIM(_xlfn.XLOOKUP(非皮卡压缩表[[#This Row],[BACKSIZE]],ALL尺码表[内部尺码],ALL尺码表[通用尺码]))</f>
        <v/>
      </c>
    </row>
    <row r="345">
      <c r="A345" s="17" t="inlineStr">
        <is>
          <t>ALL</t>
        </is>
      </c>
      <c r="B345" s="18" t="inlineStr">
        <is>
          <t>Chevrolet Malibu</t>
        </is>
      </c>
      <c r="C345" s="18" t="inlineStr">
        <is>
          <t>Chevrolet</t>
        </is>
      </c>
      <c r="D345" s="18" t="inlineStr">
        <is>
          <t>Malibu</t>
        </is>
      </c>
      <c r="E345" s="18" t="inlineStr">
        <is>
          <t>2016-2025</t>
        </is>
      </c>
      <c r="F345" s="18" t="inlineStr"/>
      <c r="G345" s="18" t="inlineStr">
        <is>
          <t>Sedan</t>
        </is>
      </c>
      <c r="H345" s="18" t="inlineStr">
        <is>
          <t>3XXL</t>
        </is>
      </c>
      <c r="I345" s="19">
        <f t="array" ref="I345">TRIM(_xlfn.XLOOKUP(非皮卡压缩表[[#This Row],[BACKSIZE]],ALL尺码表[内部尺码],ALL尺码表[分类],""))</f>
        <v/>
      </c>
      <c r="J345" s="19">
        <f t="array" ref="J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" s="20">
        <f>LEN(非皮卡压缩表[[#This Row],[LONG-TYPE]])</f>
        <v/>
      </c>
      <c r="L345" s="21">
        <f t="array" ref="L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" s="22">
        <f>LEN(非皮卡压缩表[[#This Row],[TYPE]])</f>
        <v/>
      </c>
      <c r="N345" s="22">
        <f t="array" ref="N345">_xlfn.XLOOKUP(非皮卡压缩表[[#This Row],[MODEL]],MODEL缩写表[长MODEL],MODEL缩写表[短MODEL],非皮卡压缩表[[#This Row],[MODEL]])</f>
        <v/>
      </c>
      <c r="O345" s="22">
        <f>LEN(非皮卡压缩表[[#This Row],[SHORT-MODEL]])</f>
        <v/>
      </c>
      <c r="P345" s="11">
        <f t="array" ref="P345">TRIM(_xlfn.XLOOKUP(非皮卡压缩表[[#This Row],[BACKSIZE]],ALL尺码表[内部尺码],ALL尺码表[通用尺码]))</f>
        <v/>
      </c>
    </row>
    <row r="346">
      <c r="A346" s="17" t="inlineStr">
        <is>
          <t>ALL</t>
        </is>
      </c>
      <c r="B346" s="18" t="inlineStr">
        <is>
          <t>Chevrolet Monte Carlo</t>
        </is>
      </c>
      <c r="C346" s="18" t="inlineStr">
        <is>
          <t>Chevrolet</t>
        </is>
      </c>
      <c r="D346" s="18" t="inlineStr">
        <is>
          <t>Monte Carlo</t>
        </is>
      </c>
      <c r="E346" s="18" t="inlineStr">
        <is>
          <t>1970-1972</t>
        </is>
      </c>
      <c r="F346" s="18" t="inlineStr"/>
      <c r="G346" s="18" t="inlineStr">
        <is>
          <t>Coupe</t>
        </is>
      </c>
      <c r="H346" s="18" t="inlineStr">
        <is>
          <t>3XXL-0</t>
        </is>
      </c>
      <c r="I346" s="19">
        <f t="array" ref="I346">TRIM(_xlfn.XLOOKUP(非皮卡压缩表[[#This Row],[BACKSIZE]],ALL尺码表[内部尺码],ALL尺码表[分类],""))</f>
        <v/>
      </c>
      <c r="J346" s="19">
        <f t="array" ref="J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" s="20">
        <f>LEN(非皮卡压缩表[[#This Row],[LONG-TYPE]])</f>
        <v/>
      </c>
      <c r="L346" s="21">
        <f t="array" ref="L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" s="22">
        <f>LEN(非皮卡压缩表[[#This Row],[TYPE]])</f>
        <v/>
      </c>
      <c r="N346" s="22">
        <f t="array" ref="N346">_xlfn.XLOOKUP(非皮卡压缩表[[#This Row],[MODEL]],MODEL缩写表[长MODEL],MODEL缩写表[短MODEL],非皮卡压缩表[[#This Row],[MODEL]])</f>
        <v/>
      </c>
      <c r="O346" s="22">
        <f>LEN(非皮卡压缩表[[#This Row],[SHORT-MODEL]])</f>
        <v/>
      </c>
      <c r="P346" s="11">
        <f t="array" ref="P346">TRIM(_xlfn.XLOOKUP(非皮卡压缩表[[#This Row],[BACKSIZE]],ALL尺码表[内部尺码],ALL尺码表[通用尺码]))</f>
        <v/>
      </c>
    </row>
    <row r="347">
      <c r="A347" s="17" t="inlineStr">
        <is>
          <t>ALL</t>
        </is>
      </c>
      <c r="B347" s="18" t="inlineStr">
        <is>
          <t>Chevrolet Monte Carlo</t>
        </is>
      </c>
      <c r="C347" s="18" t="inlineStr">
        <is>
          <t>Chevrolet</t>
        </is>
      </c>
      <c r="D347" s="18" t="inlineStr">
        <is>
          <t>Monte Carlo</t>
        </is>
      </c>
      <c r="E347" s="18" t="inlineStr">
        <is>
          <t>1973-1977</t>
        </is>
      </c>
      <c r="F347" s="18" t="inlineStr"/>
      <c r="G347" s="18" t="inlineStr">
        <is>
          <t>Coupe</t>
        </is>
      </c>
      <c r="H347" s="18" t="inlineStr">
        <is>
          <t>3XXXL-0</t>
        </is>
      </c>
      <c r="I347" s="19">
        <f t="array" ref="I347">TRIM(_xlfn.XLOOKUP(非皮卡压缩表[[#This Row],[BACKSIZE]],ALL尺码表[内部尺码],ALL尺码表[分类],""))</f>
        <v/>
      </c>
      <c r="J347" s="19">
        <f t="array" ref="J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" s="20">
        <f>LEN(非皮卡压缩表[[#This Row],[LONG-TYPE]])</f>
        <v/>
      </c>
      <c r="L347" s="21">
        <f t="array" ref="L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" s="22">
        <f>LEN(非皮卡压缩表[[#This Row],[TYPE]])</f>
        <v/>
      </c>
      <c r="N347" s="22">
        <f t="array" ref="N347">_xlfn.XLOOKUP(非皮卡压缩表[[#This Row],[MODEL]],MODEL缩写表[长MODEL],MODEL缩写表[短MODEL],非皮卡压缩表[[#This Row],[MODEL]])</f>
        <v/>
      </c>
      <c r="O347" s="22">
        <f>LEN(非皮卡压缩表[[#This Row],[SHORT-MODEL]])</f>
        <v/>
      </c>
      <c r="P347" s="11">
        <f t="array" ref="P347">TRIM(_xlfn.XLOOKUP(非皮卡压缩表[[#This Row],[BACKSIZE]],ALL尺码表[内部尺码],ALL尺码表[通用尺码]))</f>
        <v/>
      </c>
    </row>
    <row r="348">
      <c r="A348" s="17" t="inlineStr">
        <is>
          <t>ALL</t>
        </is>
      </c>
      <c r="B348" s="18" t="inlineStr">
        <is>
          <t>Chevrolet Monte Carlo</t>
        </is>
      </c>
      <c r="C348" s="18" t="inlineStr">
        <is>
          <t>Chevrolet</t>
        </is>
      </c>
      <c r="D348" s="18" t="inlineStr">
        <is>
          <t>Monte Carlo</t>
        </is>
      </c>
      <c r="E348" s="18" t="inlineStr">
        <is>
          <t>1978-2007</t>
        </is>
      </c>
      <c r="F348" s="18" t="inlineStr">
        <is>
          <t>Incl: SS</t>
        </is>
      </c>
      <c r="G348" s="18" t="inlineStr">
        <is>
          <t>Coupe</t>
        </is>
      </c>
      <c r="H348" s="18" t="inlineStr">
        <is>
          <t>3XL+0</t>
        </is>
      </c>
      <c r="I348" s="19">
        <f t="array" ref="I348">TRIM(_xlfn.XLOOKUP(非皮卡压缩表[[#This Row],[BACKSIZE]],ALL尺码表[内部尺码],ALL尺码表[分类],""))</f>
        <v/>
      </c>
      <c r="J348" s="19">
        <f t="array" ref="J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" s="20">
        <f>LEN(非皮卡压缩表[[#This Row],[LONG-TYPE]])</f>
        <v/>
      </c>
      <c r="L348" s="21">
        <f t="array" ref="L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" s="22">
        <f>LEN(非皮卡压缩表[[#This Row],[TYPE]])</f>
        <v/>
      </c>
      <c r="N348" s="22">
        <f t="array" ref="N348">_xlfn.XLOOKUP(非皮卡压缩表[[#This Row],[MODEL]],MODEL缩写表[长MODEL],MODEL缩写表[短MODEL],非皮卡压缩表[[#This Row],[MODEL]])</f>
        <v/>
      </c>
      <c r="O348" s="22">
        <f>LEN(非皮卡压缩表[[#This Row],[SHORT-MODEL]])</f>
        <v/>
      </c>
      <c r="P348" s="11">
        <f t="array" ref="P348">TRIM(_xlfn.XLOOKUP(非皮卡压缩表[[#This Row],[BACKSIZE]],ALL尺码表[内部尺码],ALL尺码表[通用尺码]))</f>
        <v/>
      </c>
    </row>
    <row r="349">
      <c r="A349" s="17" t="inlineStr">
        <is>
          <t>ALL</t>
        </is>
      </c>
      <c r="B349" s="18" t="inlineStr">
        <is>
          <t>Chevrolet Nova</t>
        </is>
      </c>
      <c r="C349" s="18" t="inlineStr">
        <is>
          <t>Chevrolet</t>
        </is>
      </c>
      <c r="D349" s="18" t="inlineStr">
        <is>
          <t>Nova</t>
        </is>
      </c>
      <c r="E349" s="18" t="inlineStr">
        <is>
          <t>1962-1963</t>
        </is>
      </c>
      <c r="F349" s="18" t="inlineStr"/>
      <c r="G349" s="18" t="inlineStr">
        <is>
          <t>Wagon</t>
        </is>
      </c>
      <c r="H349" s="18" t="inlineStr">
        <is>
          <t>2XL</t>
        </is>
      </c>
      <c r="I349" s="19">
        <f t="array" ref="I349">TRIM(_xlfn.XLOOKUP(非皮卡压缩表[[#This Row],[BACKSIZE]],ALL尺码表[内部尺码],ALL尺码表[分类],""))</f>
        <v/>
      </c>
      <c r="J349" s="19">
        <f t="array" ref="J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" s="20">
        <f>LEN(非皮卡压缩表[[#This Row],[LONG-TYPE]])</f>
        <v/>
      </c>
      <c r="L349" s="21">
        <f t="array" ref="L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" s="22">
        <f>LEN(非皮卡压缩表[[#This Row],[TYPE]])</f>
        <v/>
      </c>
      <c r="N349" s="22">
        <f t="array" ref="N349">_xlfn.XLOOKUP(非皮卡压缩表[[#This Row],[MODEL]],MODEL缩写表[长MODEL],MODEL缩写表[短MODEL],非皮卡压缩表[[#This Row],[MODEL]])</f>
        <v/>
      </c>
      <c r="O349" s="22">
        <f>LEN(非皮卡压缩表[[#This Row],[SHORT-MODEL]])</f>
        <v/>
      </c>
      <c r="P349" s="11">
        <f t="array" ref="P349">TRIM(_xlfn.XLOOKUP(非皮卡压缩表[[#This Row],[BACKSIZE]],ALL尺码表[内部尺码],ALL尺码表[通用尺码]))</f>
        <v/>
      </c>
    </row>
    <row r="350">
      <c r="A350" s="17" t="inlineStr">
        <is>
          <t>ALL</t>
        </is>
      </c>
      <c r="B350" s="18" t="inlineStr">
        <is>
          <t>Chevrolet Nova</t>
        </is>
      </c>
      <c r="C350" s="18" t="inlineStr">
        <is>
          <t>Chevrolet</t>
        </is>
      </c>
      <c r="D350" s="18" t="inlineStr">
        <is>
          <t>Nova</t>
        </is>
      </c>
      <c r="E350" s="18" t="inlineStr">
        <is>
          <t>1962-1967</t>
        </is>
      </c>
      <c r="F350" s="18" t="inlineStr"/>
      <c r="G350" s="18" t="inlineStr">
        <is>
          <t>Sedan</t>
        </is>
      </c>
      <c r="H350" s="18" t="inlineStr">
        <is>
          <t>3L</t>
        </is>
      </c>
      <c r="I350" s="19">
        <f t="array" ref="I350">TRIM(_xlfn.XLOOKUP(非皮卡压缩表[[#This Row],[BACKSIZE]],ALL尺码表[内部尺码],ALL尺码表[分类],""))</f>
        <v/>
      </c>
      <c r="J350" s="19">
        <f t="array" ref="J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" s="20">
        <f>LEN(非皮卡压缩表[[#This Row],[LONG-TYPE]])</f>
        <v/>
      </c>
      <c r="L350" s="21">
        <f t="array" ref="L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" s="22">
        <f>LEN(非皮卡压缩表[[#This Row],[TYPE]])</f>
        <v/>
      </c>
      <c r="N350" s="22">
        <f t="array" ref="N350">_xlfn.XLOOKUP(非皮卡压缩表[[#This Row],[MODEL]],MODEL缩写表[长MODEL],MODEL缩写表[短MODEL],非皮卡压缩表[[#This Row],[MODEL]])</f>
        <v/>
      </c>
      <c r="O350" s="22">
        <f>LEN(非皮卡压缩表[[#This Row],[SHORT-MODEL]])</f>
        <v/>
      </c>
      <c r="P350" s="11">
        <f t="array" ref="P350">TRIM(_xlfn.XLOOKUP(非皮卡压缩表[[#This Row],[BACKSIZE]],ALL尺码表[内部尺码],ALL尺码表[通用尺码]))</f>
        <v/>
      </c>
    </row>
    <row r="351">
      <c r="A351" s="17" t="inlineStr">
        <is>
          <t>ALL</t>
        </is>
      </c>
      <c r="B351" s="18" t="inlineStr">
        <is>
          <t>Chevrolet Nova</t>
        </is>
      </c>
      <c r="C351" s="18" t="inlineStr">
        <is>
          <t>Chevrolet</t>
        </is>
      </c>
      <c r="D351" s="18" t="inlineStr">
        <is>
          <t>Nova</t>
        </is>
      </c>
      <c r="E351" s="18" t="inlineStr">
        <is>
          <t>1962-1967</t>
        </is>
      </c>
      <c r="F351" s="18" t="inlineStr"/>
      <c r="G351" s="18" t="inlineStr">
        <is>
          <t>Coupe</t>
        </is>
      </c>
      <c r="H351" s="18" t="inlineStr">
        <is>
          <t>3L-0</t>
        </is>
      </c>
      <c r="I351" s="19">
        <f t="array" ref="I351">TRIM(_xlfn.XLOOKUP(非皮卡压缩表[[#This Row],[BACKSIZE]],ALL尺码表[内部尺码],ALL尺码表[分类],""))</f>
        <v/>
      </c>
      <c r="J351" s="19">
        <f t="array" ref="J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" s="20">
        <f>LEN(非皮卡压缩表[[#This Row],[LONG-TYPE]])</f>
        <v/>
      </c>
      <c r="L351" s="21">
        <f t="array" ref="L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" s="22">
        <f>LEN(非皮卡压缩表[[#This Row],[TYPE]])</f>
        <v/>
      </c>
      <c r="N351" s="22">
        <f t="array" ref="N351">_xlfn.XLOOKUP(非皮卡压缩表[[#This Row],[MODEL]],MODEL缩写表[长MODEL],MODEL缩写表[短MODEL],非皮卡压缩表[[#This Row],[MODEL]])</f>
        <v/>
      </c>
      <c r="O351" s="22">
        <f>LEN(非皮卡压缩表[[#This Row],[SHORT-MODEL]])</f>
        <v/>
      </c>
      <c r="P351" s="11">
        <f t="array" ref="P351">TRIM(_xlfn.XLOOKUP(非皮卡压缩表[[#This Row],[BACKSIZE]],ALL尺码表[内部尺码],ALL尺码表[通用尺码]))</f>
        <v/>
      </c>
    </row>
    <row r="352">
      <c r="A352" s="17" t="inlineStr">
        <is>
          <t>ALL</t>
        </is>
      </c>
      <c r="B352" s="18" t="inlineStr">
        <is>
          <t>Chevrolet Nova</t>
        </is>
      </c>
      <c r="C352" s="18" t="inlineStr">
        <is>
          <t>Chevrolet</t>
        </is>
      </c>
      <c r="D352" s="18" t="inlineStr">
        <is>
          <t>Nova</t>
        </is>
      </c>
      <c r="E352" s="18" t="inlineStr">
        <is>
          <t>1964-1965</t>
        </is>
      </c>
      <c r="F352" s="18" t="inlineStr"/>
      <c r="G352" s="18" t="inlineStr">
        <is>
          <t>Wagon</t>
        </is>
      </c>
      <c r="H352" s="18" t="inlineStr">
        <is>
          <t>2XL+</t>
        </is>
      </c>
      <c r="I352" s="19">
        <f t="array" ref="I352">TRIM(_xlfn.XLOOKUP(非皮卡压缩表[[#This Row],[BACKSIZE]],ALL尺码表[内部尺码],ALL尺码表[分类],""))</f>
        <v/>
      </c>
      <c r="J352" s="19">
        <f t="array" ref="J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" s="20">
        <f>LEN(非皮卡压缩表[[#This Row],[LONG-TYPE]])</f>
        <v/>
      </c>
      <c r="L352" s="21">
        <f t="array" ref="L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" s="22">
        <f>LEN(非皮卡压缩表[[#This Row],[TYPE]])</f>
        <v/>
      </c>
      <c r="N352" s="22">
        <f t="array" ref="N352">_xlfn.XLOOKUP(非皮卡压缩表[[#This Row],[MODEL]],MODEL缩写表[长MODEL],MODEL缩写表[短MODEL],非皮卡压缩表[[#This Row],[MODEL]])</f>
        <v/>
      </c>
      <c r="O352" s="22">
        <f>LEN(非皮卡压缩表[[#This Row],[SHORT-MODEL]])</f>
        <v/>
      </c>
      <c r="P352" s="11">
        <f t="array" ref="P352">TRIM(_xlfn.XLOOKUP(非皮卡压缩表[[#This Row],[BACKSIZE]],ALL尺码表[内部尺码],ALL尺码表[通用尺码]))</f>
        <v/>
      </c>
    </row>
    <row r="353">
      <c r="A353" s="17" t="inlineStr">
        <is>
          <t>ALL</t>
        </is>
      </c>
      <c r="B353" s="18" t="inlineStr">
        <is>
          <t>Chevrolet Nova</t>
        </is>
      </c>
      <c r="C353" s="18" t="inlineStr">
        <is>
          <t>Chevrolet</t>
        </is>
      </c>
      <c r="D353" s="18" t="inlineStr">
        <is>
          <t>Nova</t>
        </is>
      </c>
      <c r="E353" s="18" t="inlineStr">
        <is>
          <t>1966-1972</t>
        </is>
      </c>
      <c r="F353" s="18" t="inlineStr"/>
      <c r="G353" s="18" t="inlineStr">
        <is>
          <t>Hatchback/Wagon</t>
        </is>
      </c>
      <c r="H353" s="18" t="inlineStr">
        <is>
          <t>2XL</t>
        </is>
      </c>
      <c r="I353" s="19">
        <f t="array" ref="I353">TRIM(_xlfn.XLOOKUP(非皮卡压缩表[[#This Row],[BACKSIZE]],ALL尺码表[内部尺码],ALL尺码表[分类],""))</f>
        <v/>
      </c>
      <c r="J353" s="19">
        <f t="array" ref="J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" s="20">
        <f>LEN(非皮卡压缩表[[#This Row],[LONG-TYPE]])</f>
        <v/>
      </c>
      <c r="L353" s="21">
        <f t="array" ref="L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" s="22">
        <f>LEN(非皮卡压缩表[[#This Row],[TYPE]])</f>
        <v/>
      </c>
      <c r="N353" s="22">
        <f t="array" ref="N353">_xlfn.XLOOKUP(非皮卡压缩表[[#This Row],[MODEL]],MODEL缩写表[长MODEL],MODEL缩写表[短MODEL],非皮卡压缩表[[#This Row],[MODEL]])</f>
        <v/>
      </c>
      <c r="O353" s="22">
        <f>LEN(非皮卡压缩表[[#This Row],[SHORT-MODEL]])</f>
        <v/>
      </c>
      <c r="P353" s="11">
        <f t="array" ref="P353">TRIM(_xlfn.XLOOKUP(非皮卡压缩表[[#This Row],[BACKSIZE]],ALL尺码表[内部尺码],ALL尺码表[通用尺码]))</f>
        <v/>
      </c>
    </row>
    <row r="354">
      <c r="A354" s="17" t="inlineStr">
        <is>
          <t>ALL</t>
        </is>
      </c>
      <c r="B354" s="18" t="inlineStr">
        <is>
          <t>Chevrolet Nova</t>
        </is>
      </c>
      <c r="C354" s="18" t="inlineStr">
        <is>
          <t>Chevrolet</t>
        </is>
      </c>
      <c r="D354" s="18" t="inlineStr">
        <is>
          <t>Nova</t>
        </is>
      </c>
      <c r="E354" s="18" t="inlineStr">
        <is>
          <t>1968-1972</t>
        </is>
      </c>
      <c r="F354" s="18" t="inlineStr"/>
      <c r="G354" s="18" t="inlineStr">
        <is>
          <t>Sedan</t>
        </is>
      </c>
      <c r="H354" s="18" t="inlineStr">
        <is>
          <t>3XL</t>
        </is>
      </c>
      <c r="I354" s="19">
        <f t="array" ref="I354">TRIM(_xlfn.XLOOKUP(非皮卡压缩表[[#This Row],[BACKSIZE]],ALL尺码表[内部尺码],ALL尺码表[分类],""))</f>
        <v/>
      </c>
      <c r="J354" s="19">
        <f t="array" ref="J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" s="20">
        <f>LEN(非皮卡压缩表[[#This Row],[LONG-TYPE]])</f>
        <v/>
      </c>
      <c r="L354" s="21">
        <f t="array" ref="L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" s="22">
        <f>LEN(非皮卡压缩表[[#This Row],[TYPE]])</f>
        <v/>
      </c>
      <c r="N354" s="22">
        <f t="array" ref="N354">_xlfn.XLOOKUP(非皮卡压缩表[[#This Row],[MODEL]],MODEL缩写表[长MODEL],MODEL缩写表[短MODEL],非皮卡压缩表[[#This Row],[MODEL]])</f>
        <v/>
      </c>
      <c r="O354" s="22">
        <f>LEN(非皮卡压缩表[[#This Row],[SHORT-MODEL]])</f>
        <v/>
      </c>
      <c r="P354" s="11">
        <f t="array" ref="P354">TRIM(_xlfn.XLOOKUP(非皮卡压缩表[[#This Row],[BACKSIZE]],ALL尺码表[内部尺码],ALL尺码表[通用尺码]))</f>
        <v/>
      </c>
    </row>
    <row r="355">
      <c r="A355" s="17" t="inlineStr">
        <is>
          <t>ALL</t>
        </is>
      </c>
      <c r="B355" s="18" t="inlineStr">
        <is>
          <t>Chevrolet Nova</t>
        </is>
      </c>
      <c r="C355" s="18" t="inlineStr">
        <is>
          <t>Chevrolet</t>
        </is>
      </c>
      <c r="D355" s="18" t="inlineStr">
        <is>
          <t>Nova</t>
        </is>
      </c>
      <c r="E355" s="18" t="inlineStr">
        <is>
          <t>1968-1972</t>
        </is>
      </c>
      <c r="F355" s="18" t="inlineStr"/>
      <c r="G355" s="18" t="inlineStr">
        <is>
          <t>Coupe</t>
        </is>
      </c>
      <c r="H355" s="18" t="inlineStr">
        <is>
          <t>3XL-0</t>
        </is>
      </c>
      <c r="I355" s="19">
        <f t="array" ref="I355">TRIM(_xlfn.XLOOKUP(非皮卡压缩表[[#This Row],[BACKSIZE]],ALL尺码表[内部尺码],ALL尺码表[分类],""))</f>
        <v/>
      </c>
      <c r="J355" s="19">
        <f t="array" ref="J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" s="20">
        <f>LEN(非皮卡压缩表[[#This Row],[LONG-TYPE]])</f>
        <v/>
      </c>
      <c r="L355" s="21">
        <f t="array" ref="L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" s="22">
        <f>LEN(非皮卡压缩表[[#This Row],[TYPE]])</f>
        <v/>
      </c>
      <c r="N355" s="22">
        <f t="array" ref="N355">_xlfn.XLOOKUP(非皮卡压缩表[[#This Row],[MODEL]],MODEL缩写表[长MODEL],MODEL缩写表[短MODEL],非皮卡压缩表[[#This Row],[MODEL]])</f>
        <v/>
      </c>
      <c r="O355" s="22">
        <f>LEN(非皮卡压缩表[[#This Row],[SHORT-MODEL]])</f>
        <v/>
      </c>
      <c r="P355" s="11">
        <f t="array" ref="P355">TRIM(_xlfn.XLOOKUP(非皮卡压缩表[[#This Row],[BACKSIZE]],ALL尺码表[内部尺码],ALL尺码表[通用尺码]))</f>
        <v/>
      </c>
    </row>
    <row r="356">
      <c r="A356" s="17" t="inlineStr">
        <is>
          <t>ALL</t>
        </is>
      </c>
      <c r="B356" s="18" t="inlineStr">
        <is>
          <t>Chevrolet Nova</t>
        </is>
      </c>
      <c r="C356" s="18" t="inlineStr">
        <is>
          <t>Chevrolet</t>
        </is>
      </c>
      <c r="D356" s="18" t="inlineStr">
        <is>
          <t>Nova</t>
        </is>
      </c>
      <c r="E356" s="18" t="inlineStr">
        <is>
          <t>1973-1979</t>
        </is>
      </c>
      <c r="F356" s="18" t="inlineStr"/>
      <c r="G356" s="18" t="inlineStr">
        <is>
          <t>Hatchback</t>
        </is>
      </c>
      <c r="H356" s="18" t="inlineStr">
        <is>
          <t>2XL+</t>
        </is>
      </c>
      <c r="I356" s="19">
        <f t="array" ref="I356">TRIM(_xlfn.XLOOKUP(非皮卡压缩表[[#This Row],[BACKSIZE]],ALL尺码表[内部尺码],ALL尺码表[分类],""))</f>
        <v/>
      </c>
      <c r="J356" s="19">
        <f t="array" ref="J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" s="20">
        <f>LEN(非皮卡压缩表[[#This Row],[LONG-TYPE]])</f>
        <v/>
      </c>
      <c r="L356" s="21">
        <f t="array" ref="L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" s="22">
        <f>LEN(非皮卡压缩表[[#This Row],[TYPE]])</f>
        <v/>
      </c>
      <c r="N356" s="22">
        <f t="array" ref="N356">_xlfn.XLOOKUP(非皮卡压缩表[[#This Row],[MODEL]],MODEL缩写表[长MODEL],MODEL缩写表[短MODEL],非皮卡压缩表[[#This Row],[MODEL]])</f>
        <v/>
      </c>
      <c r="O356" s="22">
        <f>LEN(非皮卡压缩表[[#This Row],[SHORT-MODEL]])</f>
        <v/>
      </c>
      <c r="P356" s="11">
        <f t="array" ref="P356">TRIM(_xlfn.XLOOKUP(非皮卡压缩表[[#This Row],[BACKSIZE]],ALL尺码表[内部尺码],ALL尺码表[通用尺码]))</f>
        <v/>
      </c>
    </row>
    <row r="357">
      <c r="A357" s="17" t="inlineStr">
        <is>
          <t>ALL</t>
        </is>
      </c>
      <c r="B357" s="18" t="inlineStr">
        <is>
          <t>Chevrolet Nova</t>
        </is>
      </c>
      <c r="C357" s="18" t="inlineStr">
        <is>
          <t>Chevrolet</t>
        </is>
      </c>
      <c r="D357" s="18" t="inlineStr">
        <is>
          <t>Nova</t>
        </is>
      </c>
      <c r="E357" s="18" t="inlineStr">
        <is>
          <t>1973-1979</t>
        </is>
      </c>
      <c r="F357" s="18" t="inlineStr"/>
      <c r="G357" s="18" t="inlineStr">
        <is>
          <t>Coupe</t>
        </is>
      </c>
      <c r="H357" s="18" t="inlineStr">
        <is>
          <t>3XL+0</t>
        </is>
      </c>
      <c r="I357" s="19">
        <f t="array" ref="I357">TRIM(_xlfn.XLOOKUP(非皮卡压缩表[[#This Row],[BACKSIZE]],ALL尺码表[内部尺码],ALL尺码表[分类],""))</f>
        <v/>
      </c>
      <c r="J357" s="19">
        <f t="array" ref="J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" s="20">
        <f>LEN(非皮卡压缩表[[#This Row],[LONG-TYPE]])</f>
        <v/>
      </c>
      <c r="L357" s="21">
        <f t="array" ref="L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" s="22">
        <f>LEN(非皮卡压缩表[[#This Row],[TYPE]])</f>
        <v/>
      </c>
      <c r="N357" s="22">
        <f t="array" ref="N357">_xlfn.XLOOKUP(非皮卡压缩表[[#This Row],[MODEL]],MODEL缩写表[长MODEL],MODEL缩写表[短MODEL],非皮卡压缩表[[#This Row],[MODEL]])</f>
        <v/>
      </c>
      <c r="O357" s="22">
        <f>LEN(非皮卡压缩表[[#This Row],[SHORT-MODEL]])</f>
        <v/>
      </c>
      <c r="P357" s="11">
        <f t="array" ref="P357">TRIM(_xlfn.XLOOKUP(非皮卡压缩表[[#This Row],[BACKSIZE]],ALL尺码表[内部尺码],ALL尺码表[通用尺码]))</f>
        <v/>
      </c>
    </row>
    <row r="358">
      <c r="A358" s="17" t="inlineStr">
        <is>
          <t>ALL</t>
        </is>
      </c>
      <c r="B358" s="18" t="inlineStr">
        <is>
          <t>Chevrolet Nova</t>
        </is>
      </c>
      <c r="C358" s="18" t="inlineStr">
        <is>
          <t>Chevrolet</t>
        </is>
      </c>
      <c r="D358" s="18" t="inlineStr">
        <is>
          <t>Nova</t>
        </is>
      </c>
      <c r="E358" s="18" t="inlineStr">
        <is>
          <t>1973-1979</t>
        </is>
      </c>
      <c r="F358" s="18" t="inlineStr"/>
      <c r="G358" s="18" t="inlineStr">
        <is>
          <t>Sedan</t>
        </is>
      </c>
      <c r="H358" s="18" t="inlineStr">
        <is>
          <t>3XXL</t>
        </is>
      </c>
      <c r="I358" s="19">
        <f t="array" ref="I358">TRIM(_xlfn.XLOOKUP(非皮卡压缩表[[#This Row],[BACKSIZE]],ALL尺码表[内部尺码],ALL尺码表[分类],""))</f>
        <v/>
      </c>
      <c r="J358" s="19">
        <f t="array" ref="J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" s="20">
        <f>LEN(非皮卡压缩表[[#This Row],[LONG-TYPE]])</f>
        <v/>
      </c>
      <c r="L358" s="21">
        <f t="array" ref="L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" s="22">
        <f>LEN(非皮卡压缩表[[#This Row],[TYPE]])</f>
        <v/>
      </c>
      <c r="N358" s="22">
        <f t="array" ref="N358">_xlfn.XLOOKUP(非皮卡压缩表[[#This Row],[MODEL]],MODEL缩写表[长MODEL],MODEL缩写表[短MODEL],非皮卡压缩表[[#This Row],[MODEL]])</f>
        <v/>
      </c>
      <c r="O358" s="22">
        <f>LEN(非皮卡压缩表[[#This Row],[SHORT-MODEL]])</f>
        <v/>
      </c>
      <c r="P358" s="11">
        <f t="array" ref="P358">TRIM(_xlfn.XLOOKUP(非皮卡压缩表[[#This Row],[BACKSIZE]],ALL尺码表[内部尺码],ALL尺码表[通用尺码]))</f>
        <v/>
      </c>
    </row>
    <row r="359">
      <c r="A359" s="17" t="inlineStr">
        <is>
          <t>ALL</t>
        </is>
      </c>
      <c r="B359" s="18" t="inlineStr">
        <is>
          <t>Chevrolet Nova</t>
        </is>
      </c>
      <c r="C359" s="18" t="inlineStr">
        <is>
          <t>Chevrolet</t>
        </is>
      </c>
      <c r="D359" s="18" t="inlineStr">
        <is>
          <t>Nova</t>
        </is>
      </c>
      <c r="E359" s="18" t="inlineStr">
        <is>
          <t>1985-1988</t>
        </is>
      </c>
      <c r="F359" s="18" t="inlineStr"/>
      <c r="G359" s="18" t="inlineStr">
        <is>
          <t>Sedan</t>
        </is>
      </c>
      <c r="H359" s="18" t="inlineStr">
        <is>
          <t>3L</t>
        </is>
      </c>
      <c r="I359" s="19">
        <f t="array" ref="I359">TRIM(_xlfn.XLOOKUP(非皮卡压缩表[[#This Row],[BACKSIZE]],ALL尺码表[内部尺码],ALL尺码表[分类],""))</f>
        <v/>
      </c>
      <c r="J359" s="19">
        <f t="array" ref="J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" s="20">
        <f>LEN(非皮卡压缩表[[#This Row],[LONG-TYPE]])</f>
        <v/>
      </c>
      <c r="L359" s="21">
        <f t="array" ref="L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" s="22">
        <f>LEN(非皮卡压缩表[[#This Row],[TYPE]])</f>
        <v/>
      </c>
      <c r="N359" s="22">
        <f t="array" ref="N359">_xlfn.XLOOKUP(非皮卡压缩表[[#This Row],[MODEL]],MODEL缩写表[长MODEL],MODEL缩写表[短MODEL],非皮卡压缩表[[#This Row],[MODEL]])</f>
        <v/>
      </c>
      <c r="O359" s="22">
        <f>LEN(非皮卡压缩表[[#This Row],[SHORT-MODEL]])</f>
        <v/>
      </c>
      <c r="P359" s="11">
        <f t="array" ref="P359">TRIM(_xlfn.XLOOKUP(非皮卡压缩表[[#This Row],[BACKSIZE]],ALL尺码表[内部尺码],ALL尺码表[通用尺码]))</f>
        <v/>
      </c>
    </row>
    <row r="360">
      <c r="A360" s="17" t="inlineStr">
        <is>
          <t>ALL</t>
        </is>
      </c>
      <c r="B360" s="18" t="inlineStr">
        <is>
          <t>Chevrolet Nova</t>
        </is>
      </c>
      <c r="C360" s="18" t="inlineStr">
        <is>
          <t>Chevrolet</t>
        </is>
      </c>
      <c r="D360" s="18" t="inlineStr">
        <is>
          <t>Nova</t>
        </is>
      </c>
      <c r="E360" s="18" t="inlineStr">
        <is>
          <t>1987-1988</t>
        </is>
      </c>
      <c r="F360" s="18" t="inlineStr"/>
      <c r="G360" s="18" t="inlineStr">
        <is>
          <t>Hatchback</t>
        </is>
      </c>
      <c r="H360" s="18" t="inlineStr">
        <is>
          <t>2L+</t>
        </is>
      </c>
      <c r="I360" s="19">
        <f t="array" ref="I360">TRIM(_xlfn.XLOOKUP(非皮卡压缩表[[#This Row],[BACKSIZE]],ALL尺码表[内部尺码],ALL尺码表[分类],""))</f>
        <v/>
      </c>
      <c r="J360" s="19">
        <f t="array" ref="J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" s="20">
        <f>LEN(非皮卡压缩表[[#This Row],[LONG-TYPE]])</f>
        <v/>
      </c>
      <c r="L360" s="21">
        <f t="array" ref="L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" s="22">
        <f>LEN(非皮卡压缩表[[#This Row],[TYPE]])</f>
        <v/>
      </c>
      <c r="N360" s="22">
        <f t="array" ref="N360">_xlfn.XLOOKUP(非皮卡压缩表[[#This Row],[MODEL]],MODEL缩写表[长MODEL],MODEL缩写表[短MODEL],非皮卡压缩表[[#This Row],[MODEL]])</f>
        <v/>
      </c>
      <c r="O360" s="22">
        <f>LEN(非皮卡压缩表[[#This Row],[SHORT-MODEL]])</f>
        <v/>
      </c>
      <c r="P360" s="11">
        <f t="array" ref="P360">TRIM(_xlfn.XLOOKUP(非皮卡压缩表[[#This Row],[BACKSIZE]],ALL尺码表[内部尺码],ALL尺码表[通用尺码]))</f>
        <v/>
      </c>
    </row>
    <row r="361">
      <c r="A361" s="17" t="inlineStr">
        <is>
          <t>ALL</t>
        </is>
      </c>
      <c r="B361" s="18" t="inlineStr">
        <is>
          <t>Chevrolet Prizm</t>
        </is>
      </c>
      <c r="C361" s="18" t="inlineStr">
        <is>
          <t>Chevrolet</t>
        </is>
      </c>
      <c r="D361" s="18" t="inlineStr">
        <is>
          <t>Prizm</t>
        </is>
      </c>
      <c r="E361" s="18" t="inlineStr">
        <is>
          <t>1998-2002</t>
        </is>
      </c>
      <c r="F361" s="18" t="inlineStr"/>
      <c r="G361" s="18" t="inlineStr">
        <is>
          <t>Sedan</t>
        </is>
      </c>
      <c r="H361" s="18" t="inlineStr">
        <is>
          <t>3L</t>
        </is>
      </c>
      <c r="I361" s="19">
        <f t="array" ref="I361">TRIM(_xlfn.XLOOKUP(非皮卡压缩表[[#This Row],[BACKSIZE]],ALL尺码表[内部尺码],ALL尺码表[分类],""))</f>
        <v/>
      </c>
      <c r="J361" s="19">
        <f t="array" ref="J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" s="20">
        <f>LEN(非皮卡压缩表[[#This Row],[LONG-TYPE]])</f>
        <v/>
      </c>
      <c r="L361" s="21">
        <f t="array" ref="L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" s="22">
        <f>LEN(非皮卡压缩表[[#This Row],[TYPE]])</f>
        <v/>
      </c>
      <c r="N361" s="22">
        <f t="array" ref="N361">_xlfn.XLOOKUP(非皮卡压缩表[[#This Row],[MODEL]],MODEL缩写表[长MODEL],MODEL缩写表[短MODEL],非皮卡压缩表[[#This Row],[MODEL]])</f>
        <v/>
      </c>
      <c r="O361" s="22">
        <f>LEN(非皮卡压缩表[[#This Row],[SHORT-MODEL]])</f>
        <v/>
      </c>
      <c r="P361" s="11">
        <f t="array" ref="P361">TRIM(_xlfn.XLOOKUP(非皮卡压缩表[[#This Row],[BACKSIZE]],ALL尺码表[内部尺码],ALL尺码表[通用尺码]))</f>
        <v/>
      </c>
    </row>
    <row r="362">
      <c r="A362" s="17" t="inlineStr">
        <is>
          <t>ALL</t>
        </is>
      </c>
      <c r="B362" s="18" t="inlineStr">
        <is>
          <t>Chevrolet S-10 Blazer</t>
        </is>
      </c>
      <c r="C362" s="18" t="inlineStr">
        <is>
          <t>Chevrolet</t>
        </is>
      </c>
      <c r="D362" s="18" t="inlineStr">
        <is>
          <t>S-10 Blazer</t>
        </is>
      </c>
      <c r="E362" s="18" t="inlineStr">
        <is>
          <t>1983-2005</t>
        </is>
      </c>
      <c r="F362" s="18" t="inlineStr"/>
      <c r="G362" s="18" t="inlineStr">
        <is>
          <t>SUV</t>
        </is>
      </c>
      <c r="H362" s="18" t="inlineStr">
        <is>
          <t>YM+</t>
        </is>
      </c>
      <c r="I362" s="19">
        <f t="array" ref="I362">TRIM(_xlfn.XLOOKUP(非皮卡压缩表[[#This Row],[BACKSIZE]],ALL尺码表[内部尺码],ALL尺码表[分类],""))</f>
        <v/>
      </c>
      <c r="J362" s="19">
        <f t="array" ref="J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" s="20">
        <f>LEN(非皮卡压缩表[[#This Row],[LONG-TYPE]])</f>
        <v/>
      </c>
      <c r="L362" s="21">
        <f t="array" ref="L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" s="22">
        <f>LEN(非皮卡压缩表[[#This Row],[TYPE]])</f>
        <v/>
      </c>
      <c r="N362" s="22">
        <f t="array" ref="N362">_xlfn.XLOOKUP(非皮卡压缩表[[#This Row],[MODEL]],MODEL缩写表[长MODEL],MODEL缩写表[短MODEL],非皮卡压缩表[[#This Row],[MODEL]])</f>
        <v/>
      </c>
      <c r="O362" s="22">
        <f>LEN(非皮卡压缩表[[#This Row],[SHORT-MODEL]])</f>
        <v/>
      </c>
      <c r="P362" s="11">
        <f t="array" ref="P362">TRIM(_xlfn.XLOOKUP(非皮卡压缩表[[#This Row],[BACKSIZE]],ALL尺码表[内部尺码],ALL尺码表[通用尺码]))</f>
        <v/>
      </c>
    </row>
    <row r="363">
      <c r="A363" s="17" t="inlineStr">
        <is>
          <t>ALL</t>
        </is>
      </c>
      <c r="B363" s="18" t="inlineStr">
        <is>
          <t>Chevrolet S-10 Blazer</t>
        </is>
      </c>
      <c r="C363" s="18" t="inlineStr">
        <is>
          <t>Chevrolet</t>
        </is>
      </c>
      <c r="D363" s="18" t="inlineStr">
        <is>
          <t>S-10 Blazer</t>
        </is>
      </c>
      <c r="E363" s="18" t="inlineStr">
        <is>
          <t>1995-2004</t>
        </is>
      </c>
      <c r="F363" s="18" t="inlineStr"/>
      <c r="G363" s="18" t="inlineStr">
        <is>
          <t>SUV</t>
        </is>
      </c>
      <c r="H363" s="18" t="inlineStr">
        <is>
          <t>YL</t>
        </is>
      </c>
      <c r="I363" s="19">
        <f t="array" ref="I363">TRIM(_xlfn.XLOOKUP(非皮卡压缩表[[#This Row],[BACKSIZE]],ALL尺码表[内部尺码],ALL尺码表[分类],""))</f>
        <v/>
      </c>
      <c r="J363" s="19">
        <f t="array" ref="J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" s="20">
        <f>LEN(非皮卡压缩表[[#This Row],[LONG-TYPE]])</f>
        <v/>
      </c>
      <c r="L363" s="21">
        <f t="array" ref="L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" s="22">
        <f>LEN(非皮卡压缩表[[#This Row],[TYPE]])</f>
        <v/>
      </c>
      <c r="N363" s="22">
        <f t="array" ref="N363">_xlfn.XLOOKUP(非皮卡压缩表[[#This Row],[MODEL]],MODEL缩写表[长MODEL],MODEL缩写表[短MODEL],非皮卡压缩表[[#This Row],[MODEL]])</f>
        <v/>
      </c>
      <c r="O363" s="22">
        <f>LEN(非皮卡压缩表[[#This Row],[SHORT-MODEL]])</f>
        <v/>
      </c>
      <c r="P363" s="11">
        <f t="array" ref="P363">TRIM(_xlfn.XLOOKUP(非皮卡压缩表[[#This Row],[BACKSIZE]],ALL尺码表[内部尺码],ALL尺码表[通用尺码]))</f>
        <v/>
      </c>
    </row>
    <row r="364">
      <c r="A364" s="17" t="inlineStr">
        <is>
          <t>ALL</t>
        </is>
      </c>
      <c r="B364" s="18" t="inlineStr">
        <is>
          <t>Chevrolet SS</t>
        </is>
      </c>
      <c r="C364" s="18" t="inlineStr">
        <is>
          <t>Chevrolet</t>
        </is>
      </c>
      <c r="D364" s="18" t="inlineStr">
        <is>
          <t>SS</t>
        </is>
      </c>
      <c r="E364" s="18" t="inlineStr">
        <is>
          <t>2014-2017</t>
        </is>
      </c>
      <c r="F364" s="18" t="inlineStr"/>
      <c r="G364" s="18" t="inlineStr">
        <is>
          <t>Sedan</t>
        </is>
      </c>
      <c r="H364" s="18" t="inlineStr">
        <is>
          <t>3XXL</t>
        </is>
      </c>
      <c r="I364" s="19">
        <f t="array" ref="I364">TRIM(_xlfn.XLOOKUP(非皮卡压缩表[[#This Row],[BACKSIZE]],ALL尺码表[内部尺码],ALL尺码表[分类],""))</f>
        <v/>
      </c>
      <c r="J364" s="19">
        <f t="array" ref="J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" s="20">
        <f>LEN(非皮卡压缩表[[#This Row],[LONG-TYPE]])</f>
        <v/>
      </c>
      <c r="L364" s="21">
        <f t="array" ref="L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" s="22">
        <f>LEN(非皮卡压缩表[[#This Row],[TYPE]])</f>
        <v/>
      </c>
      <c r="N364" s="22">
        <f t="array" ref="N364">_xlfn.XLOOKUP(非皮卡压缩表[[#This Row],[MODEL]],MODEL缩写表[长MODEL],MODEL缩写表[短MODEL],非皮卡压缩表[[#This Row],[MODEL]])</f>
        <v/>
      </c>
      <c r="O364" s="22">
        <f>LEN(非皮卡压缩表[[#This Row],[SHORT-MODEL]])</f>
        <v/>
      </c>
      <c r="P364" s="11">
        <f t="array" ref="P364">TRIM(_xlfn.XLOOKUP(非皮卡压缩表[[#This Row],[BACKSIZE]],ALL尺码表[内部尺码],ALL尺码表[通用尺码]))</f>
        <v/>
      </c>
    </row>
    <row r="365">
      <c r="A365" s="17" t="inlineStr">
        <is>
          <t>ALL</t>
        </is>
      </c>
      <c r="B365" s="18" t="inlineStr">
        <is>
          <t>Chevrolet Sonic</t>
        </is>
      </c>
      <c r="C365" s="18" t="inlineStr">
        <is>
          <t>Chevrolet</t>
        </is>
      </c>
      <c r="D365" s="18" t="inlineStr">
        <is>
          <t>Sonic</t>
        </is>
      </c>
      <c r="E365" s="18" t="inlineStr">
        <is>
          <t>2012-2020</t>
        </is>
      </c>
      <c r="F365" s="18" t="inlineStr"/>
      <c r="G365" s="18" t="inlineStr">
        <is>
          <t>Hatchback</t>
        </is>
      </c>
      <c r="H365" s="18" t="inlineStr">
        <is>
          <t>2M</t>
        </is>
      </c>
      <c r="I365" s="19">
        <f t="array" ref="I365">TRIM(_xlfn.XLOOKUP(非皮卡压缩表[[#This Row],[BACKSIZE]],ALL尺码表[内部尺码],ALL尺码表[分类],""))</f>
        <v/>
      </c>
      <c r="J365" s="19">
        <f t="array" ref="J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" s="20">
        <f>LEN(非皮卡压缩表[[#This Row],[LONG-TYPE]])</f>
        <v/>
      </c>
      <c r="L365" s="21">
        <f t="array" ref="L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" s="22">
        <f>LEN(非皮卡压缩表[[#This Row],[TYPE]])</f>
        <v/>
      </c>
      <c r="N365" s="22">
        <f t="array" ref="N365">_xlfn.XLOOKUP(非皮卡压缩表[[#This Row],[MODEL]],MODEL缩写表[长MODEL],MODEL缩写表[短MODEL],非皮卡压缩表[[#This Row],[MODEL]])</f>
        <v/>
      </c>
      <c r="O365" s="22">
        <f>LEN(非皮卡压缩表[[#This Row],[SHORT-MODEL]])</f>
        <v/>
      </c>
      <c r="P365" s="11">
        <f t="array" ref="P365">TRIM(_xlfn.XLOOKUP(非皮卡压缩表[[#This Row],[BACKSIZE]],ALL尺码表[内部尺码],ALL尺码表[通用尺码]))</f>
        <v/>
      </c>
    </row>
    <row r="366">
      <c r="A366" s="17" t="inlineStr">
        <is>
          <t>ALL</t>
        </is>
      </c>
      <c r="B366" s="18" t="inlineStr">
        <is>
          <t>Chevrolet Sonic</t>
        </is>
      </c>
      <c r="C366" s="18" t="inlineStr">
        <is>
          <t>Chevrolet</t>
        </is>
      </c>
      <c r="D366" s="18" t="inlineStr">
        <is>
          <t>Sonic</t>
        </is>
      </c>
      <c r="E366" s="18" t="inlineStr">
        <is>
          <t>2012-2020</t>
        </is>
      </c>
      <c r="F366" s="18" t="inlineStr"/>
      <c r="G366" s="18" t="inlineStr">
        <is>
          <t>Sedan</t>
        </is>
      </c>
      <c r="H366" s="18" t="inlineStr">
        <is>
          <t>3L</t>
        </is>
      </c>
      <c r="I366" s="19">
        <f t="array" ref="I366">TRIM(_xlfn.XLOOKUP(非皮卡压缩表[[#This Row],[BACKSIZE]],ALL尺码表[内部尺码],ALL尺码表[分类],""))</f>
        <v/>
      </c>
      <c r="J366" s="19">
        <f t="array" ref="J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" s="20">
        <f>LEN(非皮卡压缩表[[#This Row],[LONG-TYPE]])</f>
        <v/>
      </c>
      <c r="L366" s="21">
        <f t="array" ref="L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" s="22">
        <f>LEN(非皮卡压缩表[[#This Row],[TYPE]])</f>
        <v/>
      </c>
      <c r="N366" s="22">
        <f t="array" ref="N366">_xlfn.XLOOKUP(非皮卡压缩表[[#This Row],[MODEL]],MODEL缩写表[长MODEL],MODEL缩写表[短MODEL],非皮卡压缩表[[#This Row],[MODEL]])</f>
        <v/>
      </c>
      <c r="O366" s="22">
        <f>LEN(非皮卡压缩表[[#This Row],[SHORT-MODEL]])</f>
        <v/>
      </c>
      <c r="P366" s="11">
        <f t="array" ref="P366">TRIM(_xlfn.XLOOKUP(非皮卡压缩表[[#This Row],[BACKSIZE]],ALL尺码表[内部尺码],ALL尺码表[通用尺码]))</f>
        <v/>
      </c>
    </row>
    <row r="367">
      <c r="A367" s="17" t="inlineStr">
        <is>
          <t>ALL</t>
        </is>
      </c>
      <c r="B367" s="18" t="inlineStr">
        <is>
          <t>Chevrolet Spark</t>
        </is>
      </c>
      <c r="C367" s="18" t="inlineStr">
        <is>
          <t>Chevrolet</t>
        </is>
      </c>
      <c r="D367" s="18" t="inlineStr">
        <is>
          <t>Spark</t>
        </is>
      </c>
      <c r="E367" s="18" t="inlineStr">
        <is>
          <t>2013-2022</t>
        </is>
      </c>
      <c r="F367" s="18" t="inlineStr"/>
      <c r="G367" s="18" t="inlineStr">
        <is>
          <t>Hatchback</t>
        </is>
      </c>
      <c r="H367" s="18" t="inlineStr">
        <is>
          <t>2M</t>
        </is>
      </c>
      <c r="I367" s="19">
        <f t="array" ref="I367">TRIM(_xlfn.XLOOKUP(非皮卡压缩表[[#This Row],[BACKSIZE]],ALL尺码表[内部尺码],ALL尺码表[分类],""))</f>
        <v/>
      </c>
      <c r="J367" s="19">
        <f t="array" ref="J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" s="20">
        <f>LEN(非皮卡压缩表[[#This Row],[LONG-TYPE]])</f>
        <v/>
      </c>
      <c r="L367" s="21">
        <f t="array" ref="L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" s="22">
        <f>LEN(非皮卡压缩表[[#This Row],[TYPE]])</f>
        <v/>
      </c>
      <c r="N367" s="22">
        <f t="array" ref="N367">_xlfn.XLOOKUP(非皮卡压缩表[[#This Row],[MODEL]],MODEL缩写表[长MODEL],MODEL缩写表[短MODEL],非皮卡压缩表[[#This Row],[MODEL]])</f>
        <v/>
      </c>
      <c r="O367" s="22">
        <f>LEN(非皮卡压缩表[[#This Row],[SHORT-MODEL]])</f>
        <v/>
      </c>
      <c r="P367" s="11">
        <f t="array" ref="P367">TRIM(_xlfn.XLOOKUP(非皮卡压缩表[[#This Row],[BACKSIZE]],ALL尺码表[内部尺码],ALL尺码表[通用尺码]))</f>
        <v/>
      </c>
    </row>
    <row r="368">
      <c r="A368" s="17" t="inlineStr">
        <is>
          <t>ALL</t>
        </is>
      </c>
      <c r="B368" s="18" t="inlineStr">
        <is>
          <t>Chevrolet Suburban</t>
        </is>
      </c>
      <c r="C368" s="18" t="inlineStr">
        <is>
          <t>Chevrolet</t>
        </is>
      </c>
      <c r="D368" s="18" t="inlineStr">
        <is>
          <t>Suburban</t>
        </is>
      </c>
      <c r="E368" s="18" t="inlineStr">
        <is>
          <t>1935-1940</t>
        </is>
      </c>
      <c r="F368" s="18" t="inlineStr"/>
      <c r="G368" s="18" t="inlineStr">
        <is>
          <t>SUV</t>
        </is>
      </c>
      <c r="H368" s="18" t="inlineStr">
        <is>
          <t>YM+</t>
        </is>
      </c>
      <c r="I368" s="19">
        <f t="array" ref="I368">TRIM(_xlfn.XLOOKUP(非皮卡压缩表[[#This Row],[BACKSIZE]],ALL尺码表[内部尺码],ALL尺码表[分类],""))</f>
        <v/>
      </c>
      <c r="J368" s="19">
        <f t="array" ref="J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" s="20">
        <f>LEN(非皮卡压缩表[[#This Row],[LONG-TYPE]])</f>
        <v/>
      </c>
      <c r="L368" s="21">
        <f t="array" ref="L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" s="22">
        <f>LEN(非皮卡压缩表[[#This Row],[TYPE]])</f>
        <v/>
      </c>
      <c r="N368" s="22">
        <f t="array" ref="N368">_xlfn.XLOOKUP(非皮卡压缩表[[#This Row],[MODEL]],MODEL缩写表[长MODEL],MODEL缩写表[短MODEL],非皮卡压缩表[[#This Row],[MODEL]])</f>
        <v/>
      </c>
      <c r="O368" s="22">
        <f>LEN(非皮卡压缩表[[#This Row],[SHORT-MODEL]])</f>
        <v/>
      </c>
      <c r="P368" s="11">
        <f t="array" ref="P368">TRIM(_xlfn.XLOOKUP(非皮卡压缩表[[#This Row],[BACKSIZE]],ALL尺码表[内部尺码],ALL尺码表[通用尺码]))</f>
        <v/>
      </c>
    </row>
    <row r="369">
      <c r="A369" s="17" t="inlineStr">
        <is>
          <t>ALL</t>
        </is>
      </c>
      <c r="B369" s="18" t="inlineStr">
        <is>
          <t>Chevrolet Suburban</t>
        </is>
      </c>
      <c r="C369" s="18" t="inlineStr">
        <is>
          <t>Chevrolet</t>
        </is>
      </c>
      <c r="D369" s="18" t="inlineStr">
        <is>
          <t>Suburban</t>
        </is>
      </c>
      <c r="E369" s="18" t="inlineStr">
        <is>
          <t>1941-1946</t>
        </is>
      </c>
      <c r="F369" s="18" t="inlineStr"/>
      <c r="G369" s="18" t="inlineStr">
        <is>
          <t>SUV</t>
        </is>
      </c>
      <c r="H369" s="18" t="inlineStr">
        <is>
          <t>YXL</t>
        </is>
      </c>
      <c r="I369" s="19">
        <f t="array" ref="I369">TRIM(_xlfn.XLOOKUP(非皮卡压缩表[[#This Row],[BACKSIZE]],ALL尺码表[内部尺码],ALL尺码表[分类],""))</f>
        <v/>
      </c>
      <c r="J369" s="19">
        <f t="array" ref="J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" s="20">
        <f>LEN(非皮卡压缩表[[#This Row],[LONG-TYPE]])</f>
        <v/>
      </c>
      <c r="L369" s="21">
        <f t="array" ref="L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" s="22">
        <f>LEN(非皮卡压缩表[[#This Row],[TYPE]])</f>
        <v/>
      </c>
      <c r="N369" s="22">
        <f t="array" ref="N369">_xlfn.XLOOKUP(非皮卡压缩表[[#This Row],[MODEL]],MODEL缩写表[长MODEL],MODEL缩写表[短MODEL],非皮卡压缩表[[#This Row],[MODEL]])</f>
        <v/>
      </c>
      <c r="O369" s="22">
        <f>LEN(非皮卡压缩表[[#This Row],[SHORT-MODEL]])</f>
        <v/>
      </c>
      <c r="P369" s="11">
        <f t="array" ref="P369">TRIM(_xlfn.XLOOKUP(非皮卡压缩表[[#This Row],[BACKSIZE]],ALL尺码表[内部尺码],ALL尺码表[通用尺码]))</f>
        <v/>
      </c>
    </row>
    <row r="370">
      <c r="A370" s="17" t="inlineStr">
        <is>
          <t>ALL</t>
        </is>
      </c>
      <c r="B370" s="18" t="inlineStr">
        <is>
          <t>Chevrolet Suburban</t>
        </is>
      </c>
      <c r="C370" s="18" t="inlineStr">
        <is>
          <t>Chevrolet</t>
        </is>
      </c>
      <c r="D370" s="18" t="inlineStr">
        <is>
          <t>Suburban</t>
        </is>
      </c>
      <c r="E370" s="18" t="inlineStr">
        <is>
          <t>1947-1954</t>
        </is>
      </c>
      <c r="F370" s="18" t="inlineStr"/>
      <c r="G370" s="18" t="inlineStr">
        <is>
          <t>Pickup</t>
        </is>
      </c>
      <c r="H370" s="18" t="inlineStr">
        <is>
          <t>YL</t>
        </is>
      </c>
      <c r="I370" s="19">
        <f t="array" ref="I370">TRIM(_xlfn.XLOOKUP(非皮卡压缩表[[#This Row],[BACKSIZE]],ALL尺码表[内部尺码],ALL尺码表[分类],""))</f>
        <v/>
      </c>
      <c r="J370" s="19">
        <f t="array" ref="J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" s="20">
        <f>LEN(非皮卡压缩表[[#This Row],[LONG-TYPE]])</f>
        <v/>
      </c>
      <c r="L370" s="21">
        <f t="array" ref="L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" s="22">
        <f>LEN(非皮卡压缩表[[#This Row],[TYPE]])</f>
        <v/>
      </c>
      <c r="N370" s="22">
        <f t="array" ref="N370">_xlfn.XLOOKUP(非皮卡压缩表[[#This Row],[MODEL]],MODEL缩写表[长MODEL],MODEL缩写表[短MODEL],非皮卡压缩表[[#This Row],[MODEL]])</f>
        <v/>
      </c>
      <c r="O370" s="22">
        <f>LEN(非皮卡压缩表[[#This Row],[SHORT-MODEL]])</f>
        <v/>
      </c>
      <c r="P370" s="11">
        <f t="array" ref="P370">TRIM(_xlfn.XLOOKUP(非皮卡压缩表[[#This Row],[BACKSIZE]],ALL尺码表[内部尺码],ALL尺码表[通用尺码]))</f>
        <v/>
      </c>
    </row>
    <row r="371">
      <c r="A371" s="17" t="inlineStr">
        <is>
          <t>ALL</t>
        </is>
      </c>
      <c r="B371" s="18" t="inlineStr">
        <is>
          <t>Chevrolet Suburban</t>
        </is>
      </c>
      <c r="C371" s="18" t="inlineStr">
        <is>
          <t>Chevrolet</t>
        </is>
      </c>
      <c r="D371" s="18" t="inlineStr">
        <is>
          <t>Suburban</t>
        </is>
      </c>
      <c r="E371" s="18" t="inlineStr">
        <is>
          <t>1955-1966</t>
        </is>
      </c>
      <c r="F371" s="18" t="inlineStr"/>
      <c r="G371" s="18" t="inlineStr">
        <is>
          <t>Pickup</t>
        </is>
      </c>
      <c r="H371" s="18" t="inlineStr">
        <is>
          <t>YXL</t>
        </is>
      </c>
      <c r="I371" s="19">
        <f t="array" ref="I371">TRIM(_xlfn.XLOOKUP(非皮卡压缩表[[#This Row],[BACKSIZE]],ALL尺码表[内部尺码],ALL尺码表[分类],""))</f>
        <v/>
      </c>
      <c r="J371" s="19">
        <f t="array" ref="J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" s="20">
        <f>LEN(非皮卡压缩表[[#This Row],[LONG-TYPE]])</f>
        <v/>
      </c>
      <c r="L371" s="21">
        <f t="array" ref="L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" s="22">
        <f>LEN(非皮卡压缩表[[#This Row],[TYPE]])</f>
        <v/>
      </c>
      <c r="N371" s="22">
        <f t="array" ref="N371">_xlfn.XLOOKUP(非皮卡压缩表[[#This Row],[MODEL]],MODEL缩写表[长MODEL],MODEL缩写表[短MODEL],非皮卡压缩表[[#This Row],[MODEL]])</f>
        <v/>
      </c>
      <c r="O371" s="22">
        <f>LEN(非皮卡压缩表[[#This Row],[SHORT-MODEL]])</f>
        <v/>
      </c>
      <c r="P371" s="11">
        <f t="array" ref="P371">TRIM(_xlfn.XLOOKUP(非皮卡压缩表[[#This Row],[BACKSIZE]],ALL尺码表[内部尺码],ALL尺码表[通用尺码]))</f>
        <v/>
      </c>
    </row>
    <row r="372">
      <c r="A372" s="17" t="inlineStr">
        <is>
          <t>ALL</t>
        </is>
      </c>
      <c r="B372" s="18" t="inlineStr">
        <is>
          <t>Chevrolet Suburban</t>
        </is>
      </c>
      <c r="C372" s="18" t="inlineStr">
        <is>
          <t>Chevrolet</t>
        </is>
      </c>
      <c r="D372" s="18" t="inlineStr">
        <is>
          <t>Suburban</t>
        </is>
      </c>
      <c r="E372" s="18" t="inlineStr">
        <is>
          <t>1967-1969</t>
        </is>
      </c>
      <c r="F372" s="18" t="inlineStr"/>
      <c r="G372" s="18" t="inlineStr">
        <is>
          <t>Pickup</t>
        </is>
      </c>
      <c r="H372" s="18" t="inlineStr">
        <is>
          <t>YXXL</t>
        </is>
      </c>
      <c r="I372" s="19">
        <f t="array" ref="I372">TRIM(_xlfn.XLOOKUP(非皮卡压缩表[[#This Row],[BACKSIZE]],ALL尺码表[内部尺码],ALL尺码表[分类],""))</f>
        <v/>
      </c>
      <c r="J372" s="19">
        <f t="array" ref="J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" s="20">
        <f>LEN(非皮卡压缩表[[#This Row],[LONG-TYPE]])</f>
        <v/>
      </c>
      <c r="L372" s="21">
        <f t="array" ref="L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" s="22">
        <f>LEN(非皮卡压缩表[[#This Row],[TYPE]])</f>
        <v/>
      </c>
      <c r="N372" s="22">
        <f t="array" ref="N372">_xlfn.XLOOKUP(非皮卡压缩表[[#This Row],[MODEL]],MODEL缩写表[长MODEL],MODEL缩写表[短MODEL],非皮卡压缩表[[#This Row],[MODEL]])</f>
        <v/>
      </c>
      <c r="O372" s="22">
        <f>LEN(非皮卡压缩表[[#This Row],[SHORT-MODEL]])</f>
        <v/>
      </c>
      <c r="P372" s="11">
        <f t="array" ref="P372">TRIM(_xlfn.XLOOKUP(非皮卡压缩表[[#This Row],[BACKSIZE]],ALL尺码表[内部尺码],ALL尺码表[通用尺码]))</f>
        <v/>
      </c>
    </row>
    <row r="373">
      <c r="A373" s="17" t="inlineStr">
        <is>
          <t>ALL</t>
        </is>
      </c>
      <c r="B373" s="18" t="inlineStr">
        <is>
          <t>Chevrolet Suburban</t>
        </is>
      </c>
      <c r="C373" s="18" t="inlineStr">
        <is>
          <t>Chevrolet</t>
        </is>
      </c>
      <c r="D373" s="18" t="inlineStr">
        <is>
          <t>Suburban</t>
        </is>
      </c>
      <c r="E373" s="18" t="inlineStr">
        <is>
          <t>1970-2026</t>
        </is>
      </c>
      <c r="F373" s="18" t="inlineStr"/>
      <c r="G373" s="18" t="inlineStr">
        <is>
          <t>Pickup/SUV</t>
        </is>
      </c>
      <c r="H373" s="18" t="inlineStr">
        <is>
          <t>YXXL-585</t>
        </is>
      </c>
      <c r="I373" s="19">
        <f t="array" ref="I373">TRIM(_xlfn.XLOOKUP(非皮卡压缩表[[#This Row],[BACKSIZE]],ALL尺码表[内部尺码],ALL尺码表[分类],""))</f>
        <v/>
      </c>
      <c r="J373" s="19">
        <f t="array" ref="J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" s="20">
        <f>LEN(非皮卡压缩表[[#This Row],[LONG-TYPE]])</f>
        <v/>
      </c>
      <c r="L373" s="21">
        <f t="array" ref="L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" s="22">
        <f>LEN(非皮卡压缩表[[#This Row],[TYPE]])</f>
        <v/>
      </c>
      <c r="N373" s="22">
        <f t="array" ref="N373">_xlfn.XLOOKUP(非皮卡压缩表[[#This Row],[MODEL]],MODEL缩写表[长MODEL],MODEL缩写表[短MODEL],非皮卡压缩表[[#This Row],[MODEL]])</f>
        <v/>
      </c>
      <c r="O373" s="22">
        <f>LEN(非皮卡压缩表[[#This Row],[SHORT-MODEL]])</f>
        <v/>
      </c>
      <c r="P373" s="11">
        <f t="array" ref="P373">TRIM(_xlfn.XLOOKUP(非皮卡压缩表[[#This Row],[BACKSIZE]],ALL尺码表[内部尺码],ALL尺码表[通用尺码]))</f>
        <v/>
      </c>
    </row>
    <row r="374">
      <c r="A374" s="17" t="inlineStr">
        <is>
          <t>ALL</t>
        </is>
      </c>
      <c r="B374" s="18" t="inlineStr">
        <is>
          <t>Chevrolet Tahoe</t>
        </is>
      </c>
      <c r="C374" s="18" t="inlineStr">
        <is>
          <t>Chevrolet</t>
        </is>
      </c>
      <c r="D374" s="18" t="inlineStr">
        <is>
          <t>Tahoe</t>
        </is>
      </c>
      <c r="E374" s="18" t="inlineStr">
        <is>
          <t>1995-1999</t>
        </is>
      </c>
      <c r="F374" s="18" t="inlineStr"/>
      <c r="G374" s="18" t="inlineStr">
        <is>
          <t>SUV</t>
        </is>
      </c>
      <c r="H374" s="18" t="inlineStr">
        <is>
          <t>YL</t>
        </is>
      </c>
      <c r="I374" s="19">
        <f t="array" ref="I374">TRIM(_xlfn.XLOOKUP(非皮卡压缩表[[#This Row],[BACKSIZE]],ALL尺码表[内部尺码],ALL尺码表[分类],""))</f>
        <v/>
      </c>
      <c r="J374" s="19">
        <f t="array" ref="J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" s="20">
        <f>LEN(非皮卡压缩表[[#This Row],[LONG-TYPE]])</f>
        <v/>
      </c>
      <c r="L374" s="21">
        <f t="array" ref="L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" s="22">
        <f>LEN(非皮卡压缩表[[#This Row],[TYPE]])</f>
        <v/>
      </c>
      <c r="N374" s="22">
        <f t="array" ref="N374">_xlfn.XLOOKUP(非皮卡压缩表[[#This Row],[MODEL]],MODEL缩写表[长MODEL],MODEL缩写表[短MODEL],非皮卡压缩表[[#This Row],[MODEL]])</f>
        <v/>
      </c>
      <c r="O374" s="22">
        <f>LEN(非皮卡压缩表[[#This Row],[SHORT-MODEL]])</f>
        <v/>
      </c>
      <c r="P374" s="11">
        <f t="array" ref="P374">TRIM(_xlfn.XLOOKUP(非皮卡压缩表[[#This Row],[BACKSIZE]],ALL尺码表[内部尺码],ALL尺码表[通用尺码]))</f>
        <v/>
      </c>
    </row>
    <row r="375">
      <c r="A375" s="17" t="inlineStr">
        <is>
          <t>ALL</t>
        </is>
      </c>
      <c r="B375" s="18" t="inlineStr">
        <is>
          <t>Chevrolet Tahoe</t>
        </is>
      </c>
      <c r="C375" s="18" t="inlineStr">
        <is>
          <t>Chevrolet</t>
        </is>
      </c>
      <c r="D375" s="18" t="inlineStr">
        <is>
          <t>Tahoe</t>
        </is>
      </c>
      <c r="E375" s="18" t="inlineStr">
        <is>
          <t>1995-2006</t>
        </is>
      </c>
      <c r="F375" s="18" t="inlineStr"/>
      <c r="G375" s="18" t="inlineStr">
        <is>
          <t>SUV</t>
        </is>
      </c>
      <c r="H375" s="18" t="inlineStr">
        <is>
          <t>YXL</t>
        </is>
      </c>
      <c r="I375" s="19">
        <f t="array" ref="I375">TRIM(_xlfn.XLOOKUP(非皮卡压缩表[[#This Row],[BACKSIZE]],ALL尺码表[内部尺码],ALL尺码表[分类],""))</f>
        <v/>
      </c>
      <c r="J375" s="19">
        <f t="array" ref="J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" s="20">
        <f>LEN(非皮卡压缩表[[#This Row],[LONG-TYPE]])</f>
        <v/>
      </c>
      <c r="L375" s="21">
        <f t="array" ref="L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" s="22">
        <f>LEN(非皮卡压缩表[[#This Row],[TYPE]])</f>
        <v/>
      </c>
      <c r="N375" s="22">
        <f t="array" ref="N375">_xlfn.XLOOKUP(非皮卡压缩表[[#This Row],[MODEL]],MODEL缩写表[长MODEL],MODEL缩写表[短MODEL],非皮卡压缩表[[#This Row],[MODEL]])</f>
        <v/>
      </c>
      <c r="O375" s="22">
        <f>LEN(非皮卡压缩表[[#This Row],[SHORT-MODEL]])</f>
        <v/>
      </c>
      <c r="P375" s="11">
        <f t="array" ref="P375">TRIM(_xlfn.XLOOKUP(非皮卡压缩表[[#This Row],[BACKSIZE]],ALL尺码表[内部尺码],ALL尺码表[通用尺码]))</f>
        <v/>
      </c>
    </row>
    <row r="376">
      <c r="A376" s="17" t="inlineStr">
        <is>
          <t>ALL</t>
        </is>
      </c>
      <c r="B376" s="18" t="inlineStr">
        <is>
          <t>Chevrolet Tahoe</t>
        </is>
      </c>
      <c r="C376" s="18" t="inlineStr">
        <is>
          <t>Chevrolet</t>
        </is>
      </c>
      <c r="D376" s="18" t="inlineStr">
        <is>
          <t>Tahoe</t>
        </is>
      </c>
      <c r="E376" s="18" t="inlineStr">
        <is>
          <t>2007-2020</t>
        </is>
      </c>
      <c r="F376" s="18" t="inlineStr"/>
      <c r="G376" s="18" t="inlineStr">
        <is>
          <t>SUV</t>
        </is>
      </c>
      <c r="H376" s="18" t="inlineStr">
        <is>
          <t>YXXL</t>
        </is>
      </c>
      <c r="I376" s="19">
        <f t="array" ref="I376">TRIM(_xlfn.XLOOKUP(非皮卡压缩表[[#This Row],[BACKSIZE]],ALL尺码表[内部尺码],ALL尺码表[分类],""))</f>
        <v/>
      </c>
      <c r="J376" s="19">
        <f t="array" ref="J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" s="20">
        <f>LEN(非皮卡压缩表[[#This Row],[LONG-TYPE]])</f>
        <v/>
      </c>
      <c r="L376" s="21">
        <f t="array" ref="L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" s="22">
        <f>LEN(非皮卡压缩表[[#This Row],[TYPE]])</f>
        <v/>
      </c>
      <c r="N376" s="22">
        <f t="array" ref="N376">_xlfn.XLOOKUP(非皮卡压缩表[[#This Row],[MODEL]],MODEL缩写表[长MODEL],MODEL缩写表[短MODEL],非皮卡压缩表[[#This Row],[MODEL]])</f>
        <v/>
      </c>
      <c r="O376" s="22">
        <f>LEN(非皮卡压缩表[[#This Row],[SHORT-MODEL]])</f>
        <v/>
      </c>
      <c r="P376" s="11">
        <f t="array" ref="P376">TRIM(_xlfn.XLOOKUP(非皮卡压缩表[[#This Row],[BACKSIZE]],ALL尺码表[内部尺码],ALL尺码表[通用尺码]))</f>
        <v/>
      </c>
    </row>
    <row r="377">
      <c r="A377" s="17" t="inlineStr">
        <is>
          <t>ALL</t>
        </is>
      </c>
      <c r="B377" s="18" t="inlineStr">
        <is>
          <t>Chevrolet Tahoe</t>
        </is>
      </c>
      <c r="C377" s="18" t="inlineStr">
        <is>
          <t>Chevrolet</t>
        </is>
      </c>
      <c r="D377" s="18" t="inlineStr">
        <is>
          <t>Tahoe</t>
        </is>
      </c>
      <c r="E377" s="18" t="inlineStr">
        <is>
          <t>2021-2026</t>
        </is>
      </c>
      <c r="F377" s="18" t="inlineStr"/>
      <c r="G377" s="18" t="inlineStr">
        <is>
          <t>SUV</t>
        </is>
      </c>
      <c r="H377" s="18" t="inlineStr">
        <is>
          <t>YXXL-545</t>
        </is>
      </c>
      <c r="I377" s="19">
        <f t="array" ref="I377">TRIM(_xlfn.XLOOKUP(非皮卡压缩表[[#This Row],[BACKSIZE]],ALL尺码表[内部尺码],ALL尺码表[分类],""))</f>
        <v/>
      </c>
      <c r="J377" s="19">
        <f t="array" ref="J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" s="20">
        <f>LEN(非皮卡压缩表[[#This Row],[LONG-TYPE]])</f>
        <v/>
      </c>
      <c r="L377" s="21">
        <f t="array" ref="L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" s="22">
        <f>LEN(非皮卡压缩表[[#This Row],[TYPE]])</f>
        <v/>
      </c>
      <c r="N377" s="22">
        <f t="array" ref="N377">_xlfn.XLOOKUP(非皮卡压缩表[[#This Row],[MODEL]],MODEL缩写表[长MODEL],MODEL缩写表[短MODEL],非皮卡压缩表[[#This Row],[MODEL]])</f>
        <v/>
      </c>
      <c r="O377" s="22">
        <f>LEN(非皮卡压缩表[[#This Row],[SHORT-MODEL]])</f>
        <v/>
      </c>
      <c r="P377" s="11">
        <f t="array" ref="P377">TRIM(_xlfn.XLOOKUP(非皮卡压缩表[[#This Row],[BACKSIZE]],ALL尺码表[内部尺码],ALL尺码表[通用尺码]))</f>
        <v/>
      </c>
    </row>
    <row r="378">
      <c r="A378" s="17" t="inlineStr">
        <is>
          <t>ALL</t>
        </is>
      </c>
      <c r="B378" s="18" t="inlineStr">
        <is>
          <t>Chevrolet Tracker</t>
        </is>
      </c>
      <c r="C378" s="18" t="inlineStr">
        <is>
          <t>Chevrolet</t>
        </is>
      </c>
      <c r="D378" s="18" t="inlineStr">
        <is>
          <t>Tracker</t>
        </is>
      </c>
      <c r="E378" s="18" t="inlineStr">
        <is>
          <t>1998-2004</t>
        </is>
      </c>
      <c r="F378" s="18" t="inlineStr"/>
      <c r="G378" s="18" t="inlineStr">
        <is>
          <t>SUV</t>
        </is>
      </c>
      <c r="H378" s="18" t="inlineStr">
        <is>
          <t>无可用尺码</t>
        </is>
      </c>
      <c r="I378" s="19">
        <f t="array" ref="I378">TRIM(_xlfn.XLOOKUP(非皮卡压缩表[[#This Row],[BACKSIZE]],ALL尺码表[内部尺码],ALL尺码表[分类],""))</f>
        <v/>
      </c>
      <c r="J378" s="19">
        <f t="array" ref="J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" s="20">
        <f>LEN(非皮卡压缩表[[#This Row],[LONG-TYPE]])</f>
        <v/>
      </c>
      <c r="L378" s="21">
        <f t="array" ref="L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" s="22">
        <f>LEN(非皮卡压缩表[[#This Row],[TYPE]])</f>
        <v/>
      </c>
      <c r="N378" s="22">
        <f t="array" ref="N378">_xlfn.XLOOKUP(非皮卡压缩表[[#This Row],[MODEL]],MODEL缩写表[长MODEL],MODEL缩写表[短MODEL],非皮卡压缩表[[#This Row],[MODEL]])</f>
        <v/>
      </c>
      <c r="O378" s="22">
        <f>LEN(非皮卡压缩表[[#This Row],[SHORT-MODEL]])</f>
        <v/>
      </c>
      <c r="P378" s="11">
        <f t="array" ref="P378">TRIM(_xlfn.XLOOKUP(非皮卡压缩表[[#This Row],[BACKSIZE]],ALL尺码表[内部尺码],ALL尺码表[通用尺码]))</f>
        <v/>
      </c>
    </row>
    <row r="379">
      <c r="A379" s="17" t="inlineStr">
        <is>
          <t>ALL</t>
        </is>
      </c>
      <c r="B379" s="18" t="inlineStr">
        <is>
          <t>Chevrolet Tracker</t>
        </is>
      </c>
      <c r="C379" s="18" t="inlineStr">
        <is>
          <t>Chevrolet</t>
        </is>
      </c>
      <c r="D379" s="18" t="inlineStr">
        <is>
          <t>Tracker</t>
        </is>
      </c>
      <c r="E379" s="18" t="inlineStr">
        <is>
          <t>1999-2004</t>
        </is>
      </c>
      <c r="F379" s="18" t="inlineStr"/>
      <c r="G379" s="18" t="inlineStr">
        <is>
          <t>SUV</t>
        </is>
      </c>
      <c r="H379" s="18" t="inlineStr">
        <is>
          <t>YM+</t>
        </is>
      </c>
      <c r="I379" s="19">
        <f t="array" ref="I379">TRIM(_xlfn.XLOOKUP(非皮卡压缩表[[#This Row],[BACKSIZE]],ALL尺码表[内部尺码],ALL尺码表[分类],""))</f>
        <v/>
      </c>
      <c r="J379" s="19">
        <f t="array" ref="J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" s="20">
        <f>LEN(非皮卡压缩表[[#This Row],[LONG-TYPE]])</f>
        <v/>
      </c>
      <c r="L379" s="21">
        <f t="array" ref="L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" s="22">
        <f>LEN(非皮卡压缩表[[#This Row],[TYPE]])</f>
        <v/>
      </c>
      <c r="N379" s="22">
        <f t="array" ref="N379">_xlfn.XLOOKUP(非皮卡压缩表[[#This Row],[MODEL]],MODEL缩写表[长MODEL],MODEL缩写表[短MODEL],非皮卡压缩表[[#This Row],[MODEL]])</f>
        <v/>
      </c>
      <c r="O379" s="22">
        <f>LEN(非皮卡压缩表[[#This Row],[SHORT-MODEL]])</f>
        <v/>
      </c>
      <c r="P379" s="11">
        <f t="array" ref="P379">TRIM(_xlfn.XLOOKUP(非皮卡压缩表[[#This Row],[BACKSIZE]],ALL尺码表[内部尺码],ALL尺码表[通用尺码]))</f>
        <v/>
      </c>
    </row>
    <row r="380">
      <c r="A380" s="17" t="inlineStr">
        <is>
          <t>ALL</t>
        </is>
      </c>
      <c r="B380" s="18" t="inlineStr">
        <is>
          <t>Chevrolet Trailblazer</t>
        </is>
      </c>
      <c r="C380" s="18" t="inlineStr">
        <is>
          <t>Chevrolet</t>
        </is>
      </c>
      <c r="D380" s="18" t="inlineStr">
        <is>
          <t>Trailblazer</t>
        </is>
      </c>
      <c r="E380" s="18" t="inlineStr">
        <is>
          <t>2002-2009</t>
        </is>
      </c>
      <c r="F380" s="18" t="inlineStr">
        <is>
          <t>Incl: SS</t>
        </is>
      </c>
      <c r="G380" s="18" t="inlineStr">
        <is>
          <t>SUV</t>
        </is>
      </c>
      <c r="H380" s="18" t="inlineStr">
        <is>
          <t>YXL</t>
        </is>
      </c>
      <c r="I380" s="19">
        <f t="array" ref="I380">TRIM(_xlfn.XLOOKUP(非皮卡压缩表[[#This Row],[BACKSIZE]],ALL尺码表[内部尺码],ALL尺码表[分类],""))</f>
        <v/>
      </c>
      <c r="J380" s="19">
        <f t="array" ref="J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" s="20">
        <f>LEN(非皮卡压缩表[[#This Row],[LONG-TYPE]])</f>
        <v/>
      </c>
      <c r="L380" s="21">
        <f t="array" ref="L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" s="22">
        <f>LEN(非皮卡压缩表[[#This Row],[TYPE]])</f>
        <v/>
      </c>
      <c r="N380" s="22">
        <f t="array" ref="N380">_xlfn.XLOOKUP(非皮卡压缩表[[#This Row],[MODEL]],MODEL缩写表[长MODEL],MODEL缩写表[短MODEL],非皮卡压缩表[[#This Row],[MODEL]])</f>
        <v/>
      </c>
      <c r="O380" s="22">
        <f>LEN(非皮卡压缩表[[#This Row],[SHORT-MODEL]])</f>
        <v/>
      </c>
      <c r="P380" s="11">
        <f t="array" ref="P380">TRIM(_xlfn.XLOOKUP(非皮卡压缩表[[#This Row],[BACKSIZE]],ALL尺码表[内部尺码],ALL尺码表[通用尺码]))</f>
        <v/>
      </c>
    </row>
    <row r="381">
      <c r="A381" s="17" t="inlineStr">
        <is>
          <t>ALL</t>
        </is>
      </c>
      <c r="B381" s="18" t="inlineStr">
        <is>
          <t>Chevrolet Trailblazer</t>
        </is>
      </c>
      <c r="C381" s="18" t="inlineStr">
        <is>
          <t>Chevrolet</t>
        </is>
      </c>
      <c r="D381" s="18" t="inlineStr">
        <is>
          <t>Trailblazer</t>
        </is>
      </c>
      <c r="E381" s="18" t="inlineStr">
        <is>
          <t>2021-2026</t>
        </is>
      </c>
      <c r="F381" s="18" t="inlineStr"/>
      <c r="G381" s="18" t="inlineStr">
        <is>
          <t>SUV</t>
        </is>
      </c>
      <c r="H381" s="18" t="inlineStr">
        <is>
          <t>YM+</t>
        </is>
      </c>
      <c r="I381" s="19">
        <f t="array" ref="I381">TRIM(_xlfn.XLOOKUP(非皮卡压缩表[[#This Row],[BACKSIZE]],ALL尺码表[内部尺码],ALL尺码表[分类],""))</f>
        <v/>
      </c>
      <c r="J381" s="19">
        <f t="array" ref="J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" s="20">
        <f>LEN(非皮卡压缩表[[#This Row],[LONG-TYPE]])</f>
        <v/>
      </c>
      <c r="L381" s="21">
        <f t="array" ref="L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" s="22">
        <f>LEN(非皮卡压缩表[[#This Row],[TYPE]])</f>
        <v/>
      </c>
      <c r="N381" s="22">
        <f t="array" ref="N381">_xlfn.XLOOKUP(非皮卡压缩表[[#This Row],[MODEL]],MODEL缩写表[长MODEL],MODEL缩写表[短MODEL],非皮卡压缩表[[#This Row],[MODEL]])</f>
        <v/>
      </c>
      <c r="O381" s="22">
        <f>LEN(非皮卡压缩表[[#This Row],[SHORT-MODEL]])</f>
        <v/>
      </c>
      <c r="P381" s="11">
        <f t="array" ref="P381">TRIM(_xlfn.XLOOKUP(非皮卡压缩表[[#This Row],[BACKSIZE]],ALL尺码表[内部尺码],ALL尺码表[通用尺码]))</f>
        <v/>
      </c>
    </row>
    <row r="382">
      <c r="A382" s="17" t="inlineStr">
        <is>
          <t>ALL</t>
        </is>
      </c>
      <c r="B382" s="18" t="inlineStr">
        <is>
          <t>Chevrolet Traverse</t>
        </is>
      </c>
      <c r="C382" s="18" t="inlineStr">
        <is>
          <t>Chevrolet</t>
        </is>
      </c>
      <c r="D382" s="18" t="inlineStr">
        <is>
          <t>Traverse</t>
        </is>
      </c>
      <c r="E382" s="18" t="inlineStr">
        <is>
          <t>2009-2026</t>
        </is>
      </c>
      <c r="F382" s="18" t="inlineStr">
        <is>
          <t>Incl: Limited</t>
        </is>
      </c>
      <c r="G382" s="18" t="inlineStr">
        <is>
          <t>SUV</t>
        </is>
      </c>
      <c r="H382" s="18" t="inlineStr">
        <is>
          <t>YXXL</t>
        </is>
      </c>
      <c r="I382" s="19">
        <f t="array" ref="I382">TRIM(_xlfn.XLOOKUP(非皮卡压缩表[[#This Row],[BACKSIZE]],ALL尺码表[内部尺码],ALL尺码表[分类],""))</f>
        <v/>
      </c>
      <c r="J382" s="19">
        <f t="array" ref="J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" s="20">
        <f>LEN(非皮卡压缩表[[#This Row],[LONG-TYPE]])</f>
        <v/>
      </c>
      <c r="L382" s="21">
        <f t="array" ref="L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" s="22">
        <f>LEN(非皮卡压缩表[[#This Row],[TYPE]])</f>
        <v/>
      </c>
      <c r="N382" s="22">
        <f t="array" ref="N382">_xlfn.XLOOKUP(非皮卡压缩表[[#This Row],[MODEL]],MODEL缩写表[长MODEL],MODEL缩写表[短MODEL],非皮卡压缩表[[#This Row],[MODEL]])</f>
        <v/>
      </c>
      <c r="O382" s="22">
        <f>LEN(非皮卡压缩表[[#This Row],[SHORT-MODEL]])</f>
        <v/>
      </c>
      <c r="P382" s="11">
        <f t="array" ref="P382">TRIM(_xlfn.XLOOKUP(非皮卡压缩表[[#This Row],[BACKSIZE]],ALL尺码表[内部尺码],ALL尺码表[通用尺码]))</f>
        <v/>
      </c>
    </row>
    <row r="383">
      <c r="A383" s="17" t="inlineStr">
        <is>
          <t>ALL</t>
        </is>
      </c>
      <c r="B383" s="18" t="inlineStr">
        <is>
          <t>Chevrolet Trax</t>
        </is>
      </c>
      <c r="C383" s="18" t="inlineStr">
        <is>
          <t>Chevrolet</t>
        </is>
      </c>
      <c r="D383" s="18" t="inlineStr">
        <is>
          <t>Trax</t>
        </is>
      </c>
      <c r="E383" s="18" t="inlineStr">
        <is>
          <t>2015-2026</t>
        </is>
      </c>
      <c r="F383" s="18" t="inlineStr"/>
      <c r="G383" s="18" t="inlineStr">
        <is>
          <t>SUV</t>
        </is>
      </c>
      <c r="H383" s="18" t="inlineStr">
        <is>
          <t>YM+</t>
        </is>
      </c>
      <c r="I383" s="19">
        <f t="array" ref="I383">TRIM(_xlfn.XLOOKUP(非皮卡压缩表[[#This Row],[BACKSIZE]],ALL尺码表[内部尺码],ALL尺码表[分类],""))</f>
        <v/>
      </c>
      <c r="J383" s="19">
        <f t="array" ref="J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" s="20">
        <f>LEN(非皮卡压缩表[[#This Row],[LONG-TYPE]])</f>
        <v/>
      </c>
      <c r="L383" s="21">
        <f t="array" ref="L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" s="22">
        <f>LEN(非皮卡压缩表[[#This Row],[TYPE]])</f>
        <v/>
      </c>
      <c r="N383" s="22">
        <f t="array" ref="N383">_xlfn.XLOOKUP(非皮卡压缩表[[#This Row],[MODEL]],MODEL缩写表[长MODEL],MODEL缩写表[短MODEL],非皮卡压缩表[[#This Row],[MODEL]])</f>
        <v/>
      </c>
      <c r="O383" s="22">
        <f>LEN(非皮卡压缩表[[#This Row],[SHORT-MODEL]])</f>
        <v/>
      </c>
      <c r="P383" s="11">
        <f t="array" ref="P383">TRIM(_xlfn.XLOOKUP(非皮卡压缩表[[#This Row],[BACKSIZE]],ALL尺码表[内部尺码],ALL尺码表[通用尺码]))</f>
        <v/>
      </c>
    </row>
    <row r="384">
      <c r="A384" s="17" t="inlineStr">
        <is>
          <t>ALL</t>
        </is>
      </c>
      <c r="B384" s="18" t="inlineStr">
        <is>
          <t>Chevrolet Volt</t>
        </is>
      </c>
      <c r="C384" s="18" t="inlineStr">
        <is>
          <t>Chevrolet</t>
        </is>
      </c>
      <c r="D384" s="18" t="inlineStr">
        <is>
          <t>Volt</t>
        </is>
      </c>
      <c r="E384" s="18" t="inlineStr">
        <is>
          <t>2011-2015</t>
        </is>
      </c>
      <c r="F384" s="18" t="inlineStr"/>
      <c r="G384" s="18" t="inlineStr">
        <is>
          <t>Hatchback</t>
        </is>
      </c>
      <c r="H384" s="18" t="inlineStr">
        <is>
          <t>2L+</t>
        </is>
      </c>
      <c r="I384" s="19">
        <f t="array" ref="I384">TRIM(_xlfn.XLOOKUP(非皮卡压缩表[[#This Row],[BACKSIZE]],ALL尺码表[内部尺码],ALL尺码表[分类],""))</f>
        <v/>
      </c>
      <c r="J384" s="19">
        <f t="array" ref="J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" s="20">
        <f>LEN(非皮卡压缩表[[#This Row],[LONG-TYPE]])</f>
        <v/>
      </c>
      <c r="L384" s="21">
        <f t="array" ref="L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" s="22">
        <f>LEN(非皮卡压缩表[[#This Row],[TYPE]])</f>
        <v/>
      </c>
      <c r="N384" s="22">
        <f t="array" ref="N384">_xlfn.XLOOKUP(非皮卡压缩表[[#This Row],[MODEL]],MODEL缩写表[长MODEL],MODEL缩写表[短MODEL],非皮卡压缩表[[#This Row],[MODEL]])</f>
        <v/>
      </c>
      <c r="O384" s="22">
        <f>LEN(非皮卡压缩表[[#This Row],[SHORT-MODEL]])</f>
        <v/>
      </c>
      <c r="P384" s="11">
        <f t="array" ref="P384">TRIM(_xlfn.XLOOKUP(非皮卡压缩表[[#This Row],[BACKSIZE]],ALL尺码表[内部尺码],ALL尺码表[通用尺码]))</f>
        <v/>
      </c>
    </row>
    <row r="385">
      <c r="A385" s="17" t="inlineStr">
        <is>
          <t>ALL</t>
        </is>
      </c>
      <c r="B385" s="18" t="inlineStr">
        <is>
          <t>Chevrolet Volt</t>
        </is>
      </c>
      <c r="C385" s="18" t="inlineStr">
        <is>
          <t>Chevrolet</t>
        </is>
      </c>
      <c r="D385" s="18" t="inlineStr">
        <is>
          <t>Volt</t>
        </is>
      </c>
      <c r="E385" s="18" t="inlineStr">
        <is>
          <t>2016-2019</t>
        </is>
      </c>
      <c r="F385" s="18" t="inlineStr"/>
      <c r="G385" s="18" t="inlineStr">
        <is>
          <t>Hatchback</t>
        </is>
      </c>
      <c r="H385" s="18" t="inlineStr">
        <is>
          <t>2XL</t>
        </is>
      </c>
      <c r="I385" s="19">
        <f t="array" ref="I385">TRIM(_xlfn.XLOOKUP(非皮卡压缩表[[#This Row],[BACKSIZE]],ALL尺码表[内部尺码],ALL尺码表[分类],""))</f>
        <v/>
      </c>
      <c r="J385" s="19">
        <f t="array" ref="J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" s="20">
        <f>LEN(非皮卡压缩表[[#This Row],[LONG-TYPE]])</f>
        <v/>
      </c>
      <c r="L385" s="21">
        <f t="array" ref="L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" s="22">
        <f>LEN(非皮卡压缩表[[#This Row],[TYPE]])</f>
        <v/>
      </c>
      <c r="N385" s="22">
        <f t="array" ref="N385">_xlfn.XLOOKUP(非皮卡压缩表[[#This Row],[MODEL]],MODEL缩写表[长MODEL],MODEL缩写表[短MODEL],非皮卡压缩表[[#This Row],[MODEL]])</f>
        <v/>
      </c>
      <c r="O385" s="22">
        <f>LEN(非皮卡压缩表[[#This Row],[SHORT-MODEL]])</f>
        <v/>
      </c>
      <c r="P385" s="11">
        <f t="array" ref="P385">TRIM(_xlfn.XLOOKUP(非皮卡压缩表[[#This Row],[BACKSIZE]],ALL尺码表[内部尺码],ALL尺码表[通用尺码]))</f>
        <v/>
      </c>
    </row>
    <row r="386">
      <c r="A386" s="17" t="inlineStr">
        <is>
          <t>ALL</t>
        </is>
      </c>
      <c r="B386" s="18" t="inlineStr">
        <is>
          <t>Chrysler 200</t>
        </is>
      </c>
      <c r="C386" s="18" t="inlineStr">
        <is>
          <t>Chrysler</t>
        </is>
      </c>
      <c r="D386" s="18" t="inlineStr">
        <is>
          <t>200</t>
        </is>
      </c>
      <c r="E386" s="18" t="inlineStr">
        <is>
          <t>2011-2014</t>
        </is>
      </c>
      <c r="F386" s="18" t="inlineStr"/>
      <c r="G386" s="18" t="inlineStr">
        <is>
          <t>Sedan</t>
        </is>
      </c>
      <c r="H386" s="18" t="inlineStr">
        <is>
          <t>3XL</t>
        </is>
      </c>
      <c r="I386" s="19">
        <f t="array" ref="I386">TRIM(_xlfn.XLOOKUP(非皮卡压缩表[[#This Row],[BACKSIZE]],ALL尺码表[内部尺码],ALL尺码表[分类],""))</f>
        <v/>
      </c>
      <c r="J386" s="19">
        <f t="array" ref="J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" s="20">
        <f>LEN(非皮卡压缩表[[#This Row],[LONG-TYPE]])</f>
        <v/>
      </c>
      <c r="L386" s="21">
        <f t="array" ref="L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" s="22">
        <f>LEN(非皮卡压缩表[[#This Row],[TYPE]])</f>
        <v/>
      </c>
      <c r="N386" s="22">
        <f t="array" ref="N386">_xlfn.XLOOKUP(非皮卡压缩表[[#This Row],[MODEL]],MODEL缩写表[长MODEL],MODEL缩写表[短MODEL],非皮卡压缩表[[#This Row],[MODEL]])</f>
        <v/>
      </c>
      <c r="O386" s="22">
        <f>LEN(非皮卡压缩表[[#This Row],[SHORT-MODEL]])</f>
        <v/>
      </c>
      <c r="P386" s="11">
        <f t="array" ref="P386">TRIM(_xlfn.XLOOKUP(非皮卡压缩表[[#This Row],[BACKSIZE]],ALL尺码表[内部尺码],ALL尺码表[通用尺码]))</f>
        <v/>
      </c>
    </row>
    <row r="387">
      <c r="A387" s="17" t="inlineStr">
        <is>
          <t>ALL</t>
        </is>
      </c>
      <c r="B387" s="18" t="inlineStr">
        <is>
          <t>Chrysler 200</t>
        </is>
      </c>
      <c r="C387" s="18" t="inlineStr">
        <is>
          <t>Chrysler</t>
        </is>
      </c>
      <c r="D387" s="18" t="inlineStr">
        <is>
          <t>200</t>
        </is>
      </c>
      <c r="E387" s="18" t="inlineStr">
        <is>
          <t>2011-2014</t>
        </is>
      </c>
      <c r="F387" s="18" t="inlineStr"/>
      <c r="G387" s="18" t="inlineStr">
        <is>
          <t>Convertible</t>
        </is>
      </c>
      <c r="H387" s="18" t="inlineStr">
        <is>
          <t>3XL+0</t>
        </is>
      </c>
      <c r="I387" s="19">
        <f t="array" ref="I387">TRIM(_xlfn.XLOOKUP(非皮卡压缩表[[#This Row],[BACKSIZE]],ALL尺码表[内部尺码],ALL尺码表[分类],""))</f>
        <v/>
      </c>
      <c r="J387" s="19">
        <f t="array" ref="J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" s="20">
        <f>LEN(非皮卡压缩表[[#This Row],[LONG-TYPE]])</f>
        <v/>
      </c>
      <c r="L387" s="21">
        <f t="array" ref="L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" s="22">
        <f>LEN(非皮卡压缩表[[#This Row],[TYPE]])</f>
        <v/>
      </c>
      <c r="N387" s="22">
        <f t="array" ref="N387">_xlfn.XLOOKUP(非皮卡压缩表[[#This Row],[MODEL]],MODEL缩写表[长MODEL],MODEL缩写表[短MODEL],非皮卡压缩表[[#This Row],[MODEL]])</f>
        <v/>
      </c>
      <c r="O387" s="22">
        <f>LEN(非皮卡压缩表[[#This Row],[SHORT-MODEL]])</f>
        <v/>
      </c>
      <c r="P387" s="11">
        <f t="array" ref="P387">TRIM(_xlfn.XLOOKUP(非皮卡压缩表[[#This Row],[BACKSIZE]],ALL尺码表[内部尺码],ALL尺码表[通用尺码]))</f>
        <v/>
      </c>
    </row>
    <row r="388">
      <c r="A388" s="17" t="inlineStr">
        <is>
          <t>ALL</t>
        </is>
      </c>
      <c r="B388" s="18" t="inlineStr">
        <is>
          <t>Chrysler 200</t>
        </is>
      </c>
      <c r="C388" s="18" t="inlineStr">
        <is>
          <t>Chrysler</t>
        </is>
      </c>
      <c r="D388" s="18" t="inlineStr">
        <is>
          <t>200</t>
        </is>
      </c>
      <c r="E388" s="18" t="inlineStr">
        <is>
          <t>2015-2017</t>
        </is>
      </c>
      <c r="F388" s="18" t="inlineStr"/>
      <c r="G388" s="18" t="inlineStr">
        <is>
          <t>Sedan</t>
        </is>
      </c>
      <c r="H388" s="18" t="inlineStr">
        <is>
          <t>3XXL</t>
        </is>
      </c>
      <c r="I388" s="19">
        <f t="array" ref="I388">TRIM(_xlfn.XLOOKUP(非皮卡压缩表[[#This Row],[BACKSIZE]],ALL尺码表[内部尺码],ALL尺码表[分类],""))</f>
        <v/>
      </c>
      <c r="J388" s="19">
        <f t="array" ref="J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" s="20">
        <f>LEN(非皮卡压缩表[[#This Row],[LONG-TYPE]])</f>
        <v/>
      </c>
      <c r="L388" s="21">
        <f t="array" ref="L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" s="22">
        <f>LEN(非皮卡压缩表[[#This Row],[TYPE]])</f>
        <v/>
      </c>
      <c r="N388" s="22">
        <f t="array" ref="N388">_xlfn.XLOOKUP(非皮卡压缩表[[#This Row],[MODEL]],MODEL缩写表[长MODEL],MODEL缩写表[短MODEL],非皮卡压缩表[[#This Row],[MODEL]])</f>
        <v/>
      </c>
      <c r="O388" s="22">
        <f>LEN(非皮卡压缩表[[#This Row],[SHORT-MODEL]])</f>
        <v/>
      </c>
      <c r="P388" s="11">
        <f t="array" ref="P388">TRIM(_xlfn.XLOOKUP(非皮卡压缩表[[#This Row],[BACKSIZE]],ALL尺码表[内部尺码],ALL尺码表[通用尺码]))</f>
        <v/>
      </c>
    </row>
    <row r="389">
      <c r="A389" s="17" t="inlineStr">
        <is>
          <t>ALL</t>
        </is>
      </c>
      <c r="B389" s="18" t="inlineStr">
        <is>
          <t>Chrysler 200 Series</t>
        </is>
      </c>
      <c r="C389" s="18" t="inlineStr">
        <is>
          <t>Chrysler</t>
        </is>
      </c>
      <c r="D389" s="18" t="inlineStr">
        <is>
          <t>200 Series</t>
        </is>
      </c>
      <c r="E389" s="18" t="inlineStr">
        <is>
          <t>2011-2014</t>
        </is>
      </c>
      <c r="F389" s="18" t="inlineStr"/>
      <c r="G389" s="18" t="inlineStr">
        <is>
          <t>Sedan</t>
        </is>
      </c>
      <c r="H389" s="18" t="inlineStr">
        <is>
          <t>3XL</t>
        </is>
      </c>
      <c r="I389" s="19">
        <f t="array" ref="I389">TRIM(_xlfn.XLOOKUP(非皮卡压缩表[[#This Row],[BACKSIZE]],ALL尺码表[内部尺码],ALL尺码表[分类],""))</f>
        <v/>
      </c>
      <c r="J389" s="19">
        <f t="array" ref="J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" s="20">
        <f>LEN(非皮卡压缩表[[#This Row],[LONG-TYPE]])</f>
        <v/>
      </c>
      <c r="L389" s="21">
        <f t="array" ref="L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" s="22">
        <f>LEN(非皮卡压缩表[[#This Row],[TYPE]])</f>
        <v/>
      </c>
      <c r="N389" s="22">
        <f t="array" ref="N389">_xlfn.XLOOKUP(非皮卡压缩表[[#This Row],[MODEL]],MODEL缩写表[长MODEL],MODEL缩写表[短MODEL],非皮卡压缩表[[#This Row],[MODEL]])</f>
        <v/>
      </c>
      <c r="O389" s="22">
        <f>LEN(非皮卡压缩表[[#This Row],[SHORT-MODEL]])</f>
        <v/>
      </c>
      <c r="P389" s="11">
        <f t="array" ref="P389">TRIM(_xlfn.XLOOKUP(非皮卡压缩表[[#This Row],[BACKSIZE]],ALL尺码表[内部尺码],ALL尺码表[通用尺码]))</f>
        <v/>
      </c>
    </row>
    <row r="390">
      <c r="A390" s="17" t="inlineStr">
        <is>
          <t>ALL</t>
        </is>
      </c>
      <c r="B390" s="18" t="inlineStr">
        <is>
          <t>Chrysler 200 Series</t>
        </is>
      </c>
      <c r="C390" s="18" t="inlineStr">
        <is>
          <t>Chrysler</t>
        </is>
      </c>
      <c r="D390" s="18" t="inlineStr">
        <is>
          <t>200 Series</t>
        </is>
      </c>
      <c r="E390" s="18" t="inlineStr">
        <is>
          <t>2011-2014</t>
        </is>
      </c>
      <c r="F390" s="18" t="inlineStr"/>
      <c r="G390" s="18" t="inlineStr">
        <is>
          <t>Convertible</t>
        </is>
      </c>
      <c r="H390" s="18" t="inlineStr">
        <is>
          <t>3XL+0</t>
        </is>
      </c>
      <c r="I390" s="19">
        <f t="array" ref="I390">TRIM(_xlfn.XLOOKUP(非皮卡压缩表[[#This Row],[BACKSIZE]],ALL尺码表[内部尺码],ALL尺码表[分类],""))</f>
        <v/>
      </c>
      <c r="J390" s="19">
        <f t="array" ref="J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" s="20">
        <f>LEN(非皮卡压缩表[[#This Row],[LONG-TYPE]])</f>
        <v/>
      </c>
      <c r="L390" s="21">
        <f t="array" ref="L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" s="22">
        <f>LEN(非皮卡压缩表[[#This Row],[TYPE]])</f>
        <v/>
      </c>
      <c r="N390" s="22">
        <f t="array" ref="N390">_xlfn.XLOOKUP(非皮卡压缩表[[#This Row],[MODEL]],MODEL缩写表[长MODEL],MODEL缩写表[短MODEL],非皮卡压缩表[[#This Row],[MODEL]])</f>
        <v/>
      </c>
      <c r="O390" s="22">
        <f>LEN(非皮卡压缩表[[#This Row],[SHORT-MODEL]])</f>
        <v/>
      </c>
      <c r="P390" s="11">
        <f t="array" ref="P390">TRIM(_xlfn.XLOOKUP(非皮卡压缩表[[#This Row],[BACKSIZE]],ALL尺码表[内部尺码],ALL尺码表[通用尺码]))</f>
        <v/>
      </c>
    </row>
    <row r="391">
      <c r="A391" s="17" t="inlineStr">
        <is>
          <t>ALL</t>
        </is>
      </c>
      <c r="B391" s="18" t="inlineStr">
        <is>
          <t>Chrysler 200 Series</t>
        </is>
      </c>
      <c r="C391" s="18" t="inlineStr">
        <is>
          <t>Chrysler</t>
        </is>
      </c>
      <c r="D391" s="18" t="inlineStr">
        <is>
          <t>200 Series</t>
        </is>
      </c>
      <c r="E391" s="18" t="inlineStr">
        <is>
          <t>2015-2017</t>
        </is>
      </c>
      <c r="F391" s="18" t="inlineStr"/>
      <c r="G391" s="18" t="inlineStr">
        <is>
          <t>Sedan</t>
        </is>
      </c>
      <c r="H391" s="18" t="inlineStr">
        <is>
          <t>3XXL</t>
        </is>
      </c>
      <c r="I391" s="19">
        <f t="array" ref="I391">TRIM(_xlfn.XLOOKUP(非皮卡压缩表[[#This Row],[BACKSIZE]],ALL尺码表[内部尺码],ALL尺码表[分类],""))</f>
        <v/>
      </c>
      <c r="J391" s="19">
        <f t="array" ref="J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" s="20">
        <f>LEN(非皮卡压缩表[[#This Row],[LONG-TYPE]])</f>
        <v/>
      </c>
      <c r="L391" s="21">
        <f t="array" ref="L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" s="22">
        <f>LEN(非皮卡压缩表[[#This Row],[TYPE]])</f>
        <v/>
      </c>
      <c r="N391" s="22">
        <f t="array" ref="N391">_xlfn.XLOOKUP(非皮卡压缩表[[#This Row],[MODEL]],MODEL缩写表[长MODEL],MODEL缩写表[短MODEL],非皮卡压缩表[[#This Row],[MODEL]])</f>
        <v/>
      </c>
      <c r="O391" s="22">
        <f>LEN(非皮卡压缩表[[#This Row],[SHORT-MODEL]])</f>
        <v/>
      </c>
      <c r="P391" s="11">
        <f t="array" ref="P391">TRIM(_xlfn.XLOOKUP(非皮卡压缩表[[#This Row],[BACKSIZE]],ALL尺码表[内部尺码],ALL尺码表[通用尺码]))</f>
        <v/>
      </c>
    </row>
    <row r="392">
      <c r="A392" s="17" t="inlineStr">
        <is>
          <t>ALL</t>
        </is>
      </c>
      <c r="B392" s="18" t="inlineStr">
        <is>
          <t>Chrysler 300</t>
        </is>
      </c>
      <c r="C392" s="18" t="inlineStr">
        <is>
          <t>Chrysler</t>
        </is>
      </c>
      <c r="D392" s="18" t="inlineStr">
        <is>
          <t>300</t>
        </is>
      </c>
      <c r="E392" s="18" t="inlineStr">
        <is>
          <t>2005-2023</t>
        </is>
      </c>
      <c r="F392" s="18" t="inlineStr"/>
      <c r="G392" s="18" t="inlineStr">
        <is>
          <t>Sedan</t>
        </is>
      </c>
      <c r="H392" s="18" t="inlineStr">
        <is>
          <t>3XXL</t>
        </is>
      </c>
      <c r="I392" s="19">
        <f t="array" ref="I392">TRIM(_xlfn.XLOOKUP(非皮卡压缩表[[#This Row],[BACKSIZE]],ALL尺码表[内部尺码],ALL尺码表[分类],""))</f>
        <v/>
      </c>
      <c r="J392" s="19">
        <f t="array" ref="J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" s="20">
        <f>LEN(非皮卡压缩表[[#This Row],[LONG-TYPE]])</f>
        <v/>
      </c>
      <c r="L392" s="21">
        <f t="array" ref="L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" s="22">
        <f>LEN(非皮卡压缩表[[#This Row],[TYPE]])</f>
        <v/>
      </c>
      <c r="N392" s="22">
        <f t="array" ref="N392">_xlfn.XLOOKUP(非皮卡压缩表[[#This Row],[MODEL]],MODEL缩写表[长MODEL],MODEL缩写表[短MODEL],非皮卡压缩表[[#This Row],[MODEL]])</f>
        <v/>
      </c>
      <c r="O392" s="22">
        <f>LEN(非皮卡压缩表[[#This Row],[SHORT-MODEL]])</f>
        <v/>
      </c>
      <c r="P392" s="11">
        <f t="array" ref="P392">TRIM(_xlfn.XLOOKUP(非皮卡压缩表[[#This Row],[BACKSIZE]],ALL尺码表[内部尺码],ALL尺码表[通用尺码]))</f>
        <v/>
      </c>
    </row>
    <row r="393">
      <c r="A393" s="17" t="inlineStr">
        <is>
          <t>ALL</t>
        </is>
      </c>
      <c r="B393" s="18" t="inlineStr">
        <is>
          <t>Chrysler 300 series</t>
        </is>
      </c>
      <c r="C393" s="18" t="inlineStr">
        <is>
          <t>Chrysler</t>
        </is>
      </c>
      <c r="D393" s="18" t="inlineStr">
        <is>
          <t>300 series</t>
        </is>
      </c>
      <c r="E393" s="18" t="inlineStr">
        <is>
          <t>1999-2023</t>
        </is>
      </c>
      <c r="F393" s="18" t="inlineStr">
        <is>
          <t>Incl: 300M</t>
        </is>
      </c>
      <c r="G393" s="18" t="inlineStr">
        <is>
          <t>Sedan</t>
        </is>
      </c>
      <c r="H393" s="18" t="inlineStr">
        <is>
          <t>3XXL</t>
        </is>
      </c>
      <c r="I393" s="19">
        <f t="array" ref="I393">TRIM(_xlfn.XLOOKUP(非皮卡压缩表[[#This Row],[BACKSIZE]],ALL尺码表[内部尺码],ALL尺码表[分类],""))</f>
        <v/>
      </c>
      <c r="J393" s="19">
        <f t="array" ref="J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" s="20">
        <f>LEN(非皮卡压缩表[[#This Row],[LONG-TYPE]])</f>
        <v/>
      </c>
      <c r="L393" s="21">
        <f t="array" ref="L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" s="22">
        <f>LEN(非皮卡压缩表[[#This Row],[TYPE]])</f>
        <v/>
      </c>
      <c r="N393" s="22">
        <f t="array" ref="N393">_xlfn.XLOOKUP(非皮卡压缩表[[#This Row],[MODEL]],MODEL缩写表[长MODEL],MODEL缩写表[短MODEL],非皮卡压缩表[[#This Row],[MODEL]])</f>
        <v/>
      </c>
      <c r="O393" s="22">
        <f>LEN(非皮卡压缩表[[#This Row],[SHORT-MODEL]])</f>
        <v/>
      </c>
      <c r="P393" s="11">
        <f t="array" ref="P393">TRIM(_xlfn.XLOOKUP(非皮卡压缩表[[#This Row],[BACKSIZE]],ALL尺码表[内部尺码],ALL尺码表[通用尺码]))</f>
        <v/>
      </c>
    </row>
    <row r="394">
      <c r="A394" s="17" t="inlineStr">
        <is>
          <t>ALL</t>
        </is>
      </c>
      <c r="B394" s="18" t="inlineStr">
        <is>
          <t>Chrysler 300M</t>
        </is>
      </c>
      <c r="C394" s="18" t="inlineStr">
        <is>
          <t>Chrysler</t>
        </is>
      </c>
      <c r="D394" s="18" t="inlineStr">
        <is>
          <t>300M</t>
        </is>
      </c>
      <c r="E394" s="18" t="inlineStr">
        <is>
          <t>1999-2004</t>
        </is>
      </c>
      <c r="F394" s="18" t="inlineStr"/>
      <c r="G394" s="18" t="inlineStr">
        <is>
          <t>Sedan</t>
        </is>
      </c>
      <c r="H394" s="18" t="inlineStr">
        <is>
          <t>3XXL</t>
        </is>
      </c>
      <c r="I394" s="19">
        <f t="array" ref="I394">TRIM(_xlfn.XLOOKUP(非皮卡压缩表[[#This Row],[BACKSIZE]],ALL尺码表[内部尺码],ALL尺码表[分类],""))</f>
        <v/>
      </c>
      <c r="J394" s="19">
        <f t="array" ref="J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" s="20">
        <f>LEN(非皮卡压缩表[[#This Row],[LONG-TYPE]])</f>
        <v/>
      </c>
      <c r="L394" s="21">
        <f t="array" ref="L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" s="22">
        <f>LEN(非皮卡压缩表[[#This Row],[TYPE]])</f>
        <v/>
      </c>
      <c r="N394" s="22">
        <f t="array" ref="N394">_xlfn.XLOOKUP(非皮卡压缩表[[#This Row],[MODEL]],MODEL缩写表[长MODEL],MODEL缩写表[短MODEL],非皮卡压缩表[[#This Row],[MODEL]])</f>
        <v/>
      </c>
      <c r="O394" s="22">
        <f>LEN(非皮卡压缩表[[#This Row],[SHORT-MODEL]])</f>
        <v/>
      </c>
      <c r="P394" s="11">
        <f t="array" ref="P394">TRIM(_xlfn.XLOOKUP(非皮卡压缩表[[#This Row],[BACKSIZE]],ALL尺码表[内部尺码],ALL尺码表[通用尺码]))</f>
        <v/>
      </c>
    </row>
    <row r="395">
      <c r="A395" s="17" t="inlineStr">
        <is>
          <t>ALL</t>
        </is>
      </c>
      <c r="B395" s="18" t="inlineStr">
        <is>
          <t>Chrysler Aspen</t>
        </is>
      </c>
      <c r="C395" s="18" t="inlineStr">
        <is>
          <t>Chrysler</t>
        </is>
      </c>
      <c r="D395" s="18" t="inlineStr">
        <is>
          <t>Aspen</t>
        </is>
      </c>
      <c r="E395" s="18" t="inlineStr">
        <is>
          <t>2007-2009</t>
        </is>
      </c>
      <c r="F395" s="18" t="inlineStr"/>
      <c r="G395" s="18" t="inlineStr">
        <is>
          <t>SUV</t>
        </is>
      </c>
      <c r="H395" s="18" t="inlineStr">
        <is>
          <t>YXXL</t>
        </is>
      </c>
      <c r="I395" s="19">
        <f t="array" ref="I395">TRIM(_xlfn.XLOOKUP(非皮卡压缩表[[#This Row],[BACKSIZE]],ALL尺码表[内部尺码],ALL尺码表[分类],""))</f>
        <v/>
      </c>
      <c r="J395" s="19">
        <f t="array" ref="J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" s="20">
        <f>LEN(非皮卡压缩表[[#This Row],[LONG-TYPE]])</f>
        <v/>
      </c>
      <c r="L395" s="21">
        <f t="array" ref="L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" s="22">
        <f>LEN(非皮卡压缩表[[#This Row],[TYPE]])</f>
        <v/>
      </c>
      <c r="N395" s="22">
        <f t="array" ref="N395">_xlfn.XLOOKUP(非皮卡压缩表[[#This Row],[MODEL]],MODEL缩写表[长MODEL],MODEL缩写表[短MODEL],非皮卡压缩表[[#This Row],[MODEL]])</f>
        <v/>
      </c>
      <c r="O395" s="22">
        <f>LEN(非皮卡压缩表[[#This Row],[SHORT-MODEL]])</f>
        <v/>
      </c>
      <c r="P395" s="11">
        <f t="array" ref="P395">TRIM(_xlfn.XLOOKUP(非皮卡压缩表[[#This Row],[BACKSIZE]],ALL尺码表[内部尺码],ALL尺码表[通用尺码]))</f>
        <v/>
      </c>
    </row>
    <row r="396">
      <c r="A396" s="17" t="inlineStr">
        <is>
          <t>ALL</t>
        </is>
      </c>
      <c r="B396" s="18" t="inlineStr">
        <is>
          <t>Chrysler Cirrus</t>
        </is>
      </c>
      <c r="C396" s="18" t="inlineStr">
        <is>
          <t>Chrysler</t>
        </is>
      </c>
      <c r="D396" s="18" t="inlineStr">
        <is>
          <t>Cirrus</t>
        </is>
      </c>
      <c r="E396" s="18" t="inlineStr">
        <is>
          <t>1995-2000</t>
        </is>
      </c>
      <c r="F396" s="18" t="inlineStr"/>
      <c r="G396" s="18" t="inlineStr">
        <is>
          <t>Sedan</t>
        </is>
      </c>
      <c r="H396" s="18" t="inlineStr">
        <is>
          <t>3XL</t>
        </is>
      </c>
      <c r="I396" s="19">
        <f t="array" ref="I396">TRIM(_xlfn.XLOOKUP(非皮卡压缩表[[#This Row],[BACKSIZE]],ALL尺码表[内部尺码],ALL尺码表[分类],""))</f>
        <v/>
      </c>
      <c r="J396" s="19">
        <f t="array" ref="J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" s="20">
        <f>LEN(非皮卡压缩表[[#This Row],[LONG-TYPE]])</f>
        <v/>
      </c>
      <c r="L396" s="21">
        <f t="array" ref="L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" s="22">
        <f>LEN(非皮卡压缩表[[#This Row],[TYPE]])</f>
        <v/>
      </c>
      <c r="N396" s="22">
        <f t="array" ref="N396">_xlfn.XLOOKUP(非皮卡压缩表[[#This Row],[MODEL]],MODEL缩写表[长MODEL],MODEL缩写表[短MODEL],非皮卡压缩表[[#This Row],[MODEL]])</f>
        <v/>
      </c>
      <c r="O396" s="22">
        <f>LEN(非皮卡压缩表[[#This Row],[SHORT-MODEL]])</f>
        <v/>
      </c>
      <c r="P396" s="11">
        <f t="array" ref="P396">TRIM(_xlfn.XLOOKUP(非皮卡压缩表[[#This Row],[BACKSIZE]],ALL尺码表[内部尺码],ALL尺码表[通用尺码]))</f>
        <v/>
      </c>
    </row>
    <row r="397">
      <c r="A397" s="17" t="inlineStr">
        <is>
          <t>ALL</t>
        </is>
      </c>
      <c r="B397" s="18" t="inlineStr">
        <is>
          <t>Chrysler Concorde</t>
        </is>
      </c>
      <c r="C397" s="18" t="inlineStr">
        <is>
          <t>Chrysler</t>
        </is>
      </c>
      <c r="D397" s="18" t="inlineStr">
        <is>
          <t>Concorde</t>
        </is>
      </c>
      <c r="E397" s="18" t="inlineStr">
        <is>
          <t>1993-1997</t>
        </is>
      </c>
      <c r="F397" s="18" t="inlineStr"/>
      <c r="G397" s="18" t="inlineStr">
        <is>
          <t>Sedan</t>
        </is>
      </c>
      <c r="H397" s="18" t="inlineStr">
        <is>
          <t>3XXL</t>
        </is>
      </c>
      <c r="I397" s="19">
        <f t="array" ref="I397">TRIM(_xlfn.XLOOKUP(非皮卡压缩表[[#This Row],[BACKSIZE]],ALL尺码表[内部尺码],ALL尺码表[分类],""))</f>
        <v/>
      </c>
      <c r="J397" s="19">
        <f t="array" ref="J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" s="20">
        <f>LEN(非皮卡压缩表[[#This Row],[LONG-TYPE]])</f>
        <v/>
      </c>
      <c r="L397" s="21">
        <f t="array" ref="L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" s="22">
        <f>LEN(非皮卡压缩表[[#This Row],[TYPE]])</f>
        <v/>
      </c>
      <c r="N397" s="22">
        <f t="array" ref="N397">_xlfn.XLOOKUP(非皮卡压缩表[[#This Row],[MODEL]],MODEL缩写表[长MODEL],MODEL缩写表[短MODEL],非皮卡压缩表[[#This Row],[MODEL]])</f>
        <v/>
      </c>
      <c r="O397" s="22">
        <f>LEN(非皮卡压缩表[[#This Row],[SHORT-MODEL]])</f>
        <v/>
      </c>
      <c r="P397" s="11">
        <f t="array" ref="P397">TRIM(_xlfn.XLOOKUP(非皮卡压缩表[[#This Row],[BACKSIZE]],ALL尺码表[内部尺码],ALL尺码表[通用尺码]))</f>
        <v/>
      </c>
    </row>
    <row r="398">
      <c r="A398" s="17" t="inlineStr">
        <is>
          <t>ALL</t>
        </is>
      </c>
      <c r="B398" s="18" t="inlineStr">
        <is>
          <t>Chrysler Concorde</t>
        </is>
      </c>
      <c r="C398" s="18" t="inlineStr">
        <is>
          <t>Chrysler</t>
        </is>
      </c>
      <c r="D398" s="18" t="inlineStr">
        <is>
          <t>Concorde</t>
        </is>
      </c>
      <c r="E398" s="18" t="inlineStr">
        <is>
          <t>1998-2001</t>
        </is>
      </c>
      <c r="F398" s="18" t="inlineStr"/>
      <c r="G398" s="18" t="inlineStr">
        <is>
          <t>Sedan</t>
        </is>
      </c>
      <c r="H398" s="18" t="inlineStr">
        <is>
          <t>3XXXL</t>
        </is>
      </c>
      <c r="I398" s="19">
        <f t="array" ref="I398">TRIM(_xlfn.XLOOKUP(非皮卡压缩表[[#This Row],[BACKSIZE]],ALL尺码表[内部尺码],ALL尺码表[分类],""))</f>
        <v/>
      </c>
      <c r="J398" s="19">
        <f t="array" ref="J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" s="20">
        <f>LEN(非皮卡压缩表[[#This Row],[LONG-TYPE]])</f>
        <v/>
      </c>
      <c r="L398" s="21">
        <f t="array" ref="L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" s="22">
        <f>LEN(非皮卡压缩表[[#This Row],[TYPE]])</f>
        <v/>
      </c>
      <c r="N398" s="22">
        <f t="array" ref="N398">_xlfn.XLOOKUP(非皮卡压缩表[[#This Row],[MODEL]],MODEL缩写表[长MODEL],MODEL缩写表[短MODEL],非皮卡压缩表[[#This Row],[MODEL]])</f>
        <v/>
      </c>
      <c r="O398" s="22">
        <f>LEN(非皮卡压缩表[[#This Row],[SHORT-MODEL]])</f>
        <v/>
      </c>
      <c r="P398" s="11">
        <f t="array" ref="P398">TRIM(_xlfn.XLOOKUP(非皮卡压缩表[[#This Row],[BACKSIZE]],ALL尺码表[内部尺码],ALL尺码表[通用尺码]))</f>
        <v/>
      </c>
    </row>
    <row r="399">
      <c r="A399" s="17" t="inlineStr">
        <is>
          <t>ALL</t>
        </is>
      </c>
      <c r="B399" s="18" t="inlineStr">
        <is>
          <t>Chrysler Concorde</t>
        </is>
      </c>
      <c r="C399" s="18" t="inlineStr">
        <is>
          <t>Chrysler</t>
        </is>
      </c>
      <c r="D399" s="18" t="inlineStr">
        <is>
          <t>Concorde</t>
        </is>
      </c>
      <c r="E399" s="18" t="inlineStr">
        <is>
          <t>2002-2004</t>
        </is>
      </c>
      <c r="F399" s="18" t="inlineStr"/>
      <c r="G399" s="18" t="inlineStr">
        <is>
          <t>Sedan</t>
        </is>
      </c>
      <c r="H399" s="18" t="inlineStr">
        <is>
          <t>3XXL</t>
        </is>
      </c>
      <c r="I399" s="19">
        <f t="array" ref="I399">TRIM(_xlfn.XLOOKUP(非皮卡压缩表[[#This Row],[BACKSIZE]],ALL尺码表[内部尺码],ALL尺码表[分类],""))</f>
        <v/>
      </c>
      <c r="J399" s="19">
        <f t="array" ref="J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" s="20">
        <f>LEN(非皮卡压缩表[[#This Row],[LONG-TYPE]])</f>
        <v/>
      </c>
      <c r="L399" s="21">
        <f t="array" ref="L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" s="22">
        <f>LEN(非皮卡压缩表[[#This Row],[TYPE]])</f>
        <v/>
      </c>
      <c r="N399" s="22">
        <f t="array" ref="N399">_xlfn.XLOOKUP(非皮卡压缩表[[#This Row],[MODEL]],MODEL缩写表[长MODEL],MODEL缩写表[短MODEL],非皮卡压缩表[[#This Row],[MODEL]])</f>
        <v/>
      </c>
      <c r="O399" s="22">
        <f>LEN(非皮卡压缩表[[#This Row],[SHORT-MODEL]])</f>
        <v/>
      </c>
      <c r="P399" s="11">
        <f t="array" ref="P399">TRIM(_xlfn.XLOOKUP(非皮卡压缩表[[#This Row],[BACKSIZE]],ALL尺码表[内部尺码],ALL尺码表[通用尺码]))</f>
        <v/>
      </c>
    </row>
    <row r="400">
      <c r="A400" s="17" t="inlineStr">
        <is>
          <t>ALL</t>
        </is>
      </c>
      <c r="B400" s="18" t="inlineStr">
        <is>
          <t>Chrysler Crossfire</t>
        </is>
      </c>
      <c r="C400" s="18" t="inlineStr">
        <is>
          <t>Chrysler</t>
        </is>
      </c>
      <c r="D400" s="18" t="inlineStr">
        <is>
          <t>Crossfire</t>
        </is>
      </c>
      <c r="E400" s="18" t="inlineStr">
        <is>
          <t>2004-2008</t>
        </is>
      </c>
      <c r="F400" s="18" t="inlineStr"/>
      <c r="G400" s="18" t="inlineStr">
        <is>
          <t>Coupe/Roadster</t>
        </is>
      </c>
      <c r="H400" s="18" t="inlineStr">
        <is>
          <t>3S-0</t>
        </is>
      </c>
      <c r="I400" s="19">
        <f t="array" ref="I400">TRIM(_xlfn.XLOOKUP(非皮卡压缩表[[#This Row],[BACKSIZE]],ALL尺码表[内部尺码],ALL尺码表[分类],""))</f>
        <v/>
      </c>
      <c r="J400" s="19">
        <f t="array" ref="J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" s="20">
        <f>LEN(非皮卡压缩表[[#This Row],[LONG-TYPE]])</f>
        <v/>
      </c>
      <c r="L400" s="21">
        <f t="array" ref="L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" s="22">
        <f>LEN(非皮卡压缩表[[#This Row],[TYPE]])</f>
        <v/>
      </c>
      <c r="N400" s="22">
        <f t="array" ref="N400">_xlfn.XLOOKUP(非皮卡压缩表[[#This Row],[MODEL]],MODEL缩写表[长MODEL],MODEL缩写表[短MODEL],非皮卡压缩表[[#This Row],[MODEL]])</f>
        <v/>
      </c>
      <c r="O400" s="22">
        <f>LEN(非皮卡压缩表[[#This Row],[SHORT-MODEL]])</f>
        <v/>
      </c>
      <c r="P400" s="11">
        <f t="array" ref="P400">TRIM(_xlfn.XLOOKUP(非皮卡压缩表[[#This Row],[BACKSIZE]],ALL尺码表[内部尺码],ALL尺码表[通用尺码]))</f>
        <v/>
      </c>
    </row>
    <row r="401">
      <c r="A401" s="17" t="inlineStr">
        <is>
          <t>ALL</t>
        </is>
      </c>
      <c r="B401" s="18" t="inlineStr">
        <is>
          <t>Chrysler LHS</t>
        </is>
      </c>
      <c r="C401" s="18" t="inlineStr">
        <is>
          <t>Chrysler</t>
        </is>
      </c>
      <c r="D401" s="18" t="inlineStr">
        <is>
          <t>LHS</t>
        </is>
      </c>
      <c r="E401" s="18" t="inlineStr">
        <is>
          <t>1994-2001</t>
        </is>
      </c>
      <c r="F401" s="18" t="inlineStr"/>
      <c r="G401" s="18" t="inlineStr">
        <is>
          <t>Sedan</t>
        </is>
      </c>
      <c r="H401" s="18" t="inlineStr">
        <is>
          <t>3XXL</t>
        </is>
      </c>
      <c r="I401" s="19">
        <f t="array" ref="I401">TRIM(_xlfn.XLOOKUP(非皮卡压缩表[[#This Row],[BACKSIZE]],ALL尺码表[内部尺码],ALL尺码表[分类],""))</f>
        <v/>
      </c>
      <c r="J401" s="19">
        <f t="array" ref="J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" s="20">
        <f>LEN(非皮卡压缩表[[#This Row],[LONG-TYPE]])</f>
        <v/>
      </c>
      <c r="L401" s="21">
        <f t="array" ref="L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" s="22">
        <f>LEN(非皮卡压缩表[[#This Row],[TYPE]])</f>
        <v/>
      </c>
      <c r="N401" s="22">
        <f t="array" ref="N401">_xlfn.XLOOKUP(非皮卡压缩表[[#This Row],[MODEL]],MODEL缩写表[长MODEL],MODEL缩写表[短MODEL],非皮卡压缩表[[#This Row],[MODEL]])</f>
        <v/>
      </c>
      <c r="O401" s="22">
        <f>LEN(非皮卡压缩表[[#This Row],[SHORT-MODEL]])</f>
        <v/>
      </c>
      <c r="P401" s="11">
        <f t="array" ref="P401">TRIM(_xlfn.XLOOKUP(非皮卡压缩表[[#This Row],[BACKSIZE]],ALL尺码表[内部尺码],ALL尺码表[通用尺码]))</f>
        <v/>
      </c>
    </row>
    <row r="402">
      <c r="A402" s="17" t="inlineStr">
        <is>
          <t>ALL</t>
        </is>
      </c>
      <c r="B402" s="18" t="inlineStr">
        <is>
          <t>Chrysler PT Cruiser</t>
        </is>
      </c>
      <c r="C402" s="18" t="inlineStr">
        <is>
          <t>Chrysler</t>
        </is>
      </c>
      <c r="D402" s="18" t="inlineStr">
        <is>
          <t>PT Cruiser</t>
        </is>
      </c>
      <c r="E402" s="18" t="inlineStr">
        <is>
          <t>2001-2010</t>
        </is>
      </c>
      <c r="F402" s="18" t="inlineStr"/>
      <c r="G402" s="18" t="inlineStr">
        <is>
          <t>Wagon</t>
        </is>
      </c>
      <c r="H402" s="18" t="inlineStr">
        <is>
          <t>2L+</t>
        </is>
      </c>
      <c r="I402" s="19">
        <f t="array" ref="I402">TRIM(_xlfn.XLOOKUP(非皮卡压缩表[[#This Row],[BACKSIZE]],ALL尺码表[内部尺码],ALL尺码表[分类],""))</f>
        <v/>
      </c>
      <c r="J402" s="19">
        <f t="array" ref="J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" s="20">
        <f>LEN(非皮卡压缩表[[#This Row],[LONG-TYPE]])</f>
        <v/>
      </c>
      <c r="L402" s="21">
        <f t="array" ref="L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" s="22">
        <f>LEN(非皮卡压缩表[[#This Row],[TYPE]])</f>
        <v/>
      </c>
      <c r="N402" s="22">
        <f t="array" ref="N402">_xlfn.XLOOKUP(非皮卡压缩表[[#This Row],[MODEL]],MODEL缩写表[长MODEL],MODEL缩写表[短MODEL],非皮卡压缩表[[#This Row],[MODEL]])</f>
        <v/>
      </c>
      <c r="O402" s="22">
        <f>LEN(非皮卡压缩表[[#This Row],[SHORT-MODEL]])</f>
        <v/>
      </c>
      <c r="P402" s="11">
        <f t="array" ref="P402">TRIM(_xlfn.XLOOKUP(非皮卡压缩表[[#This Row],[BACKSIZE]],ALL尺码表[内部尺码],ALL尺码表[通用尺码]))</f>
        <v/>
      </c>
    </row>
    <row r="403">
      <c r="A403" s="17" t="inlineStr">
        <is>
          <t>ALL</t>
        </is>
      </c>
      <c r="B403" s="18" t="inlineStr">
        <is>
          <t>Chrysler Pacifica</t>
        </is>
      </c>
      <c r="C403" s="18" t="inlineStr">
        <is>
          <t>Chrysler</t>
        </is>
      </c>
      <c r="D403" s="18" t="inlineStr">
        <is>
          <t>Pacifica</t>
        </is>
      </c>
      <c r="E403" s="18" t="inlineStr">
        <is>
          <t>2004-2008</t>
        </is>
      </c>
      <c r="F403" s="18" t="inlineStr"/>
      <c r="G403" s="18" t="inlineStr">
        <is>
          <t>CUV</t>
        </is>
      </c>
      <c r="H403" s="18" t="inlineStr">
        <is>
          <t>YXL</t>
        </is>
      </c>
      <c r="I403" s="19">
        <f t="array" ref="I403">TRIM(_xlfn.XLOOKUP(非皮卡压缩表[[#This Row],[BACKSIZE]],ALL尺码表[内部尺码],ALL尺码表[分类],""))</f>
        <v/>
      </c>
      <c r="J403" s="19">
        <f t="array" ref="J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" s="20">
        <f>LEN(非皮卡压缩表[[#This Row],[LONG-TYPE]])</f>
        <v/>
      </c>
      <c r="L403" s="21">
        <f t="array" ref="L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" s="22">
        <f>LEN(非皮卡压缩表[[#This Row],[TYPE]])</f>
        <v/>
      </c>
      <c r="N403" s="22">
        <f t="array" ref="N403">_xlfn.XLOOKUP(非皮卡压缩表[[#This Row],[MODEL]],MODEL缩写表[长MODEL],MODEL缩写表[短MODEL],非皮卡压缩表[[#This Row],[MODEL]])</f>
        <v/>
      </c>
      <c r="O403" s="22">
        <f>LEN(非皮卡压缩表[[#This Row],[SHORT-MODEL]])</f>
        <v/>
      </c>
      <c r="P403" s="11">
        <f t="array" ref="P403">TRIM(_xlfn.XLOOKUP(非皮卡压缩表[[#This Row],[BACKSIZE]],ALL尺码表[内部尺码],ALL尺码表[通用尺码]))</f>
        <v/>
      </c>
    </row>
    <row r="404">
      <c r="A404" s="17" t="inlineStr">
        <is>
          <t>ALL</t>
        </is>
      </c>
      <c r="B404" s="18" t="inlineStr">
        <is>
          <t>Chrysler Pacifica</t>
        </is>
      </c>
      <c r="C404" s="18" t="inlineStr">
        <is>
          <t>Chrysler</t>
        </is>
      </c>
      <c r="D404" s="18" t="inlineStr">
        <is>
          <t>Pacifica</t>
        </is>
      </c>
      <c r="E404" s="18" t="inlineStr">
        <is>
          <t>2017-2026</t>
        </is>
      </c>
      <c r="F404" s="18" t="inlineStr"/>
      <c r="G404" s="18" t="inlineStr">
        <is>
          <t>Minivan</t>
        </is>
      </c>
      <c r="H404" s="18" t="inlineStr">
        <is>
          <t>2XXL</t>
        </is>
      </c>
      <c r="I404" s="19">
        <f t="array" ref="I404">TRIM(_xlfn.XLOOKUP(非皮卡压缩表[[#This Row],[BACKSIZE]],ALL尺码表[内部尺码],ALL尺码表[分类],""))</f>
        <v/>
      </c>
      <c r="J404" s="19">
        <f t="array" ref="J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" s="20">
        <f>LEN(非皮卡压缩表[[#This Row],[LONG-TYPE]])</f>
        <v/>
      </c>
      <c r="L404" s="21">
        <f t="array" ref="L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" s="22">
        <f>LEN(非皮卡压缩表[[#This Row],[TYPE]])</f>
        <v/>
      </c>
      <c r="N404" s="22">
        <f t="array" ref="N404">_xlfn.XLOOKUP(非皮卡压缩表[[#This Row],[MODEL]],MODEL缩写表[长MODEL],MODEL缩写表[短MODEL],非皮卡压缩表[[#This Row],[MODEL]])</f>
        <v/>
      </c>
      <c r="O404" s="22">
        <f>LEN(非皮卡压缩表[[#This Row],[SHORT-MODEL]])</f>
        <v/>
      </c>
      <c r="P404" s="11">
        <f t="array" ref="P404">TRIM(_xlfn.XLOOKUP(非皮卡压缩表[[#This Row],[BACKSIZE]],ALL尺码表[内部尺码],ALL尺码表[通用尺码]))</f>
        <v/>
      </c>
    </row>
    <row r="405">
      <c r="A405" s="17" t="inlineStr">
        <is>
          <t>ALL</t>
        </is>
      </c>
      <c r="B405" s="18" t="inlineStr">
        <is>
          <t>Chrysler Sebring</t>
        </is>
      </c>
      <c r="C405" s="18" t="inlineStr">
        <is>
          <t>Chrysler</t>
        </is>
      </c>
      <c r="D405" s="18" t="inlineStr">
        <is>
          <t>Sebring</t>
        </is>
      </c>
      <c r="E405" s="18" t="inlineStr">
        <is>
          <t>1995-2005</t>
        </is>
      </c>
      <c r="F405" s="18" t="inlineStr"/>
      <c r="G405" s="18" t="inlineStr">
        <is>
          <t>Coupe</t>
        </is>
      </c>
      <c r="H405" s="18" t="inlineStr">
        <is>
          <t>3XL-0</t>
        </is>
      </c>
      <c r="I405" s="19">
        <f t="array" ref="I405">TRIM(_xlfn.XLOOKUP(非皮卡压缩表[[#This Row],[BACKSIZE]],ALL尺码表[内部尺码],ALL尺码表[分类],""))</f>
        <v/>
      </c>
      <c r="J405" s="19">
        <f t="array" ref="J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" s="20">
        <f>LEN(非皮卡压缩表[[#This Row],[LONG-TYPE]])</f>
        <v/>
      </c>
      <c r="L405" s="21">
        <f t="array" ref="L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" s="22">
        <f>LEN(非皮卡压缩表[[#This Row],[TYPE]])</f>
        <v/>
      </c>
      <c r="N405" s="22">
        <f t="array" ref="N405">_xlfn.XLOOKUP(非皮卡压缩表[[#This Row],[MODEL]],MODEL缩写表[长MODEL],MODEL缩写表[短MODEL],非皮卡压缩表[[#This Row],[MODEL]])</f>
        <v/>
      </c>
      <c r="O405" s="22">
        <f>LEN(非皮卡压缩表[[#This Row],[SHORT-MODEL]])</f>
        <v/>
      </c>
      <c r="P405" s="11">
        <f t="array" ref="P405">TRIM(_xlfn.XLOOKUP(非皮卡压缩表[[#This Row],[BACKSIZE]],ALL尺码表[内部尺码],ALL尺码表[通用尺码]))</f>
        <v/>
      </c>
    </row>
    <row r="406">
      <c r="A406" s="17" t="inlineStr">
        <is>
          <t>ALL</t>
        </is>
      </c>
      <c r="B406" s="18" t="inlineStr">
        <is>
          <t>Chrysler Sebring</t>
        </is>
      </c>
      <c r="C406" s="18" t="inlineStr">
        <is>
          <t>Chrysler</t>
        </is>
      </c>
      <c r="D406" s="18" t="inlineStr">
        <is>
          <t>Sebring</t>
        </is>
      </c>
      <c r="E406" s="18" t="inlineStr">
        <is>
          <t>1996-2000</t>
        </is>
      </c>
      <c r="F406" s="18" t="inlineStr"/>
      <c r="G406" s="18" t="inlineStr">
        <is>
          <t>Convertible</t>
        </is>
      </c>
      <c r="H406" s="18" t="inlineStr">
        <is>
          <t>3XL-0</t>
        </is>
      </c>
      <c r="I406" s="19">
        <f t="array" ref="I406">TRIM(_xlfn.XLOOKUP(非皮卡压缩表[[#This Row],[BACKSIZE]],ALL尺码表[内部尺码],ALL尺码表[分类],""))</f>
        <v/>
      </c>
      <c r="J406" s="19">
        <f t="array" ref="J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" s="20">
        <f>LEN(非皮卡压缩表[[#This Row],[LONG-TYPE]])</f>
        <v/>
      </c>
      <c r="L406" s="21">
        <f t="array" ref="L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" s="22">
        <f>LEN(非皮卡压缩表[[#This Row],[TYPE]])</f>
        <v/>
      </c>
      <c r="N406" s="22">
        <f t="array" ref="N406">_xlfn.XLOOKUP(非皮卡压缩表[[#This Row],[MODEL]],MODEL缩写表[长MODEL],MODEL缩写表[短MODEL],非皮卡压缩表[[#This Row],[MODEL]])</f>
        <v/>
      </c>
      <c r="O406" s="22">
        <f>LEN(非皮卡压缩表[[#This Row],[SHORT-MODEL]])</f>
        <v/>
      </c>
      <c r="P406" s="11">
        <f t="array" ref="P406">TRIM(_xlfn.XLOOKUP(非皮卡压缩表[[#This Row],[BACKSIZE]],ALL尺码表[内部尺码],ALL尺码表[通用尺码]))</f>
        <v/>
      </c>
    </row>
    <row r="407">
      <c r="A407" s="17" t="inlineStr">
        <is>
          <t>ALL</t>
        </is>
      </c>
      <c r="B407" s="18" t="inlineStr">
        <is>
          <t>Chrysler Sebring</t>
        </is>
      </c>
      <c r="C407" s="18" t="inlineStr">
        <is>
          <t>Chrysler</t>
        </is>
      </c>
      <c r="D407" s="18" t="inlineStr">
        <is>
          <t>Sebring</t>
        </is>
      </c>
      <c r="E407" s="18" t="inlineStr">
        <is>
          <t>2001-2010</t>
        </is>
      </c>
      <c r="F407" s="18" t="inlineStr"/>
      <c r="G407" s="18" t="inlineStr">
        <is>
          <t>Sedan</t>
        </is>
      </c>
      <c r="H407" s="18" t="inlineStr">
        <is>
          <t>3XL</t>
        </is>
      </c>
      <c r="I407" s="19">
        <f t="array" ref="I407">TRIM(_xlfn.XLOOKUP(非皮卡压缩表[[#This Row],[BACKSIZE]],ALL尺码表[内部尺码],ALL尺码表[分类],""))</f>
        <v/>
      </c>
      <c r="J407" s="19">
        <f t="array" ref="J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" s="20">
        <f>LEN(非皮卡压缩表[[#This Row],[LONG-TYPE]])</f>
        <v/>
      </c>
      <c r="L407" s="21">
        <f t="array" ref="L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" s="22">
        <f>LEN(非皮卡压缩表[[#This Row],[TYPE]])</f>
        <v/>
      </c>
      <c r="N407" s="22">
        <f t="array" ref="N407">_xlfn.XLOOKUP(非皮卡压缩表[[#This Row],[MODEL]],MODEL缩写表[长MODEL],MODEL缩写表[短MODEL],非皮卡压缩表[[#This Row],[MODEL]])</f>
        <v/>
      </c>
      <c r="O407" s="22">
        <f>LEN(非皮卡压缩表[[#This Row],[SHORT-MODEL]])</f>
        <v/>
      </c>
      <c r="P407" s="11">
        <f t="array" ref="P407">TRIM(_xlfn.XLOOKUP(非皮卡压缩表[[#This Row],[BACKSIZE]],ALL尺码表[内部尺码],ALL尺码表[通用尺码]))</f>
        <v/>
      </c>
    </row>
    <row r="408">
      <c r="A408" s="17" t="inlineStr">
        <is>
          <t>ALL</t>
        </is>
      </c>
      <c r="B408" s="18" t="inlineStr">
        <is>
          <t>Chrysler Sebring</t>
        </is>
      </c>
      <c r="C408" s="18" t="inlineStr">
        <is>
          <t>Chrysler</t>
        </is>
      </c>
      <c r="D408" s="18" t="inlineStr">
        <is>
          <t>Sebring</t>
        </is>
      </c>
      <c r="E408" s="18" t="inlineStr">
        <is>
          <t>2001-2010</t>
        </is>
      </c>
      <c r="F408" s="18" t="inlineStr"/>
      <c r="G408" s="18" t="inlineStr">
        <is>
          <t>Convertible</t>
        </is>
      </c>
      <c r="H408" s="18" t="inlineStr">
        <is>
          <t>3XL+0</t>
        </is>
      </c>
      <c r="I408" s="19">
        <f t="array" ref="I408">TRIM(_xlfn.XLOOKUP(非皮卡压缩表[[#This Row],[BACKSIZE]],ALL尺码表[内部尺码],ALL尺码表[分类],""))</f>
        <v/>
      </c>
      <c r="J408" s="19">
        <f t="array" ref="J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" s="20">
        <f>LEN(非皮卡压缩表[[#This Row],[LONG-TYPE]])</f>
        <v/>
      </c>
      <c r="L408" s="21">
        <f t="array" ref="L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" s="22">
        <f>LEN(非皮卡压缩表[[#This Row],[TYPE]])</f>
        <v/>
      </c>
      <c r="N408" s="22">
        <f t="array" ref="N408">_xlfn.XLOOKUP(非皮卡压缩表[[#This Row],[MODEL]],MODEL缩写表[长MODEL],MODEL缩写表[短MODEL],非皮卡压缩表[[#This Row],[MODEL]])</f>
        <v/>
      </c>
      <c r="O408" s="22">
        <f>LEN(非皮卡压缩表[[#This Row],[SHORT-MODEL]])</f>
        <v/>
      </c>
      <c r="P408" s="11">
        <f t="array" ref="P408">TRIM(_xlfn.XLOOKUP(非皮卡压缩表[[#This Row],[BACKSIZE]],ALL尺码表[内部尺码],ALL尺码表[通用尺码]))</f>
        <v/>
      </c>
    </row>
    <row r="409">
      <c r="A409" s="17" t="inlineStr">
        <is>
          <t>ALL</t>
        </is>
      </c>
      <c r="B409" s="18" t="inlineStr">
        <is>
          <t>Chrysler Town &amp; Country</t>
        </is>
      </c>
      <c r="C409" s="18" t="inlineStr">
        <is>
          <t>Chrysler</t>
        </is>
      </c>
      <c r="D409" s="18" t="inlineStr">
        <is>
          <t>Town &amp; Country</t>
        </is>
      </c>
      <c r="E409" s="18" t="inlineStr">
        <is>
          <t>1990-2000</t>
        </is>
      </c>
      <c r="F409" s="18" t="inlineStr"/>
      <c r="G409" s="18" t="inlineStr">
        <is>
          <t>Minivan</t>
        </is>
      </c>
      <c r="H409" s="18" t="inlineStr">
        <is>
          <t>2XL+</t>
        </is>
      </c>
      <c r="I409" s="19">
        <f t="array" ref="I409">TRIM(_xlfn.XLOOKUP(非皮卡压缩表[[#This Row],[BACKSIZE]],ALL尺码表[内部尺码],ALL尺码表[分类],""))</f>
        <v/>
      </c>
      <c r="J409" s="19">
        <f t="array" ref="J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" s="20">
        <f>LEN(非皮卡压缩表[[#This Row],[LONG-TYPE]])</f>
        <v/>
      </c>
      <c r="L409" s="21">
        <f t="array" ref="L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" s="22">
        <f>LEN(非皮卡压缩表[[#This Row],[TYPE]])</f>
        <v/>
      </c>
      <c r="N409" s="22">
        <f t="array" ref="N409">_xlfn.XLOOKUP(非皮卡压缩表[[#This Row],[MODEL]],MODEL缩写表[长MODEL],MODEL缩写表[短MODEL],非皮卡压缩表[[#This Row],[MODEL]])</f>
        <v/>
      </c>
      <c r="O409" s="22">
        <f>LEN(非皮卡压缩表[[#This Row],[SHORT-MODEL]])</f>
        <v/>
      </c>
      <c r="P409" s="11">
        <f t="array" ref="P409">TRIM(_xlfn.XLOOKUP(非皮卡压缩表[[#This Row],[BACKSIZE]],ALL尺码表[内部尺码],ALL尺码表[通用尺码]))</f>
        <v/>
      </c>
    </row>
    <row r="410">
      <c r="A410" s="17" t="inlineStr">
        <is>
          <t>ALL</t>
        </is>
      </c>
      <c r="B410" s="18" t="inlineStr">
        <is>
          <t>Chrysler Town &amp; Country</t>
        </is>
      </c>
      <c r="C410" s="18" t="inlineStr">
        <is>
          <t>Chrysler</t>
        </is>
      </c>
      <c r="D410" s="18" t="inlineStr">
        <is>
          <t>Town &amp; Country</t>
        </is>
      </c>
      <c r="E410" s="18" t="inlineStr">
        <is>
          <t>2001-2016</t>
        </is>
      </c>
      <c r="F410" s="18" t="inlineStr"/>
      <c r="G410" s="18" t="inlineStr">
        <is>
          <t>Minivan</t>
        </is>
      </c>
      <c r="H410" s="18" t="inlineStr">
        <is>
          <t>2XXL</t>
        </is>
      </c>
      <c r="I410" s="19">
        <f t="array" ref="I410">TRIM(_xlfn.XLOOKUP(非皮卡压缩表[[#This Row],[BACKSIZE]],ALL尺码表[内部尺码],ALL尺码表[分类],""))</f>
        <v/>
      </c>
      <c r="J410" s="19">
        <f t="array" ref="J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0" s="20">
        <f>LEN(非皮卡压缩表[[#This Row],[LONG-TYPE]])</f>
        <v/>
      </c>
      <c r="L410" s="21">
        <f t="array" ref="L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0" s="22">
        <f>LEN(非皮卡压缩表[[#This Row],[TYPE]])</f>
        <v/>
      </c>
      <c r="N410" s="22">
        <f t="array" ref="N410">_xlfn.XLOOKUP(非皮卡压缩表[[#This Row],[MODEL]],MODEL缩写表[长MODEL],MODEL缩写表[短MODEL],非皮卡压缩表[[#This Row],[MODEL]])</f>
        <v/>
      </c>
      <c r="O410" s="22">
        <f>LEN(非皮卡压缩表[[#This Row],[SHORT-MODEL]])</f>
        <v/>
      </c>
      <c r="P410" s="11">
        <f t="array" ref="P410">TRIM(_xlfn.XLOOKUP(非皮卡压缩表[[#This Row],[BACKSIZE]],ALL尺码表[内部尺码],ALL尺码表[通用尺码]))</f>
        <v/>
      </c>
    </row>
    <row r="411">
      <c r="A411" s="17" t="inlineStr">
        <is>
          <t>ALL</t>
        </is>
      </c>
      <c r="B411" s="18" t="inlineStr">
        <is>
          <t>Chrysler Voyager</t>
        </is>
      </c>
      <c r="C411" s="18" t="inlineStr">
        <is>
          <t>Chrysler</t>
        </is>
      </c>
      <c r="D411" s="18" t="inlineStr">
        <is>
          <t>Voyager</t>
        </is>
      </c>
      <c r="E411" s="18" t="inlineStr">
        <is>
          <t>2000-2003</t>
        </is>
      </c>
      <c r="F411" s="18" t="inlineStr"/>
      <c r="G411" s="18" t="inlineStr">
        <is>
          <t>Minivan</t>
        </is>
      </c>
      <c r="H411" s="18" t="inlineStr">
        <is>
          <t>2XL</t>
        </is>
      </c>
      <c r="I411" s="19">
        <f t="array" ref="I411">TRIM(_xlfn.XLOOKUP(非皮卡压缩表[[#This Row],[BACKSIZE]],ALL尺码表[内部尺码],ALL尺码表[分类],""))</f>
        <v/>
      </c>
      <c r="J411" s="19">
        <f t="array" ref="J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1" s="20">
        <f>LEN(非皮卡压缩表[[#This Row],[LONG-TYPE]])</f>
        <v/>
      </c>
      <c r="L411" s="21">
        <f t="array" ref="L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1" s="22">
        <f>LEN(非皮卡压缩表[[#This Row],[TYPE]])</f>
        <v/>
      </c>
      <c r="N411" s="22">
        <f t="array" ref="N411">_xlfn.XLOOKUP(非皮卡压缩表[[#This Row],[MODEL]],MODEL缩写表[长MODEL],MODEL缩写表[短MODEL],非皮卡压缩表[[#This Row],[MODEL]])</f>
        <v/>
      </c>
      <c r="O411" s="22">
        <f>LEN(非皮卡压缩表[[#This Row],[SHORT-MODEL]])</f>
        <v/>
      </c>
      <c r="P411" s="11">
        <f t="array" ref="P411">TRIM(_xlfn.XLOOKUP(非皮卡压缩表[[#This Row],[BACKSIZE]],ALL尺码表[内部尺码],ALL尺码表[通用尺码]))</f>
        <v/>
      </c>
    </row>
    <row r="412">
      <c r="A412" s="17" t="inlineStr">
        <is>
          <t>ALL</t>
        </is>
      </c>
      <c r="B412" s="18" t="inlineStr">
        <is>
          <t>Chrysler Voyager</t>
        </is>
      </c>
      <c r="C412" s="18" t="inlineStr">
        <is>
          <t>Chrysler</t>
        </is>
      </c>
      <c r="D412" s="18" t="inlineStr">
        <is>
          <t>Voyager</t>
        </is>
      </c>
      <c r="E412" s="18" t="inlineStr">
        <is>
          <t>2020-2026</t>
        </is>
      </c>
      <c r="F412" s="18" t="inlineStr"/>
      <c r="G412" s="18" t="inlineStr">
        <is>
          <t>Minivan</t>
        </is>
      </c>
      <c r="H412" s="18" t="inlineStr">
        <is>
          <t>2XXL</t>
        </is>
      </c>
      <c r="I412" s="19">
        <f t="array" ref="I412">TRIM(_xlfn.XLOOKUP(非皮卡压缩表[[#This Row],[BACKSIZE]],ALL尺码表[内部尺码],ALL尺码表[分类],""))</f>
        <v/>
      </c>
      <c r="J412" s="19">
        <f t="array" ref="J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2" s="20">
        <f>LEN(非皮卡压缩表[[#This Row],[LONG-TYPE]])</f>
        <v/>
      </c>
      <c r="L412" s="21">
        <f t="array" ref="L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2" s="22">
        <f>LEN(非皮卡压缩表[[#This Row],[TYPE]])</f>
        <v/>
      </c>
      <c r="N412" s="22">
        <f t="array" ref="N412">_xlfn.XLOOKUP(非皮卡压缩表[[#This Row],[MODEL]],MODEL缩写表[长MODEL],MODEL缩写表[短MODEL],非皮卡压缩表[[#This Row],[MODEL]])</f>
        <v/>
      </c>
      <c r="O412" s="22">
        <f>LEN(非皮卡压缩表[[#This Row],[SHORT-MODEL]])</f>
        <v/>
      </c>
      <c r="P412" s="11">
        <f t="array" ref="P412">TRIM(_xlfn.XLOOKUP(非皮卡压缩表[[#This Row],[BACKSIZE]],ALL尺码表[内部尺码],ALL尺码表[通用尺码]))</f>
        <v/>
      </c>
    </row>
    <row r="413">
      <c r="A413" s="17" t="inlineStr">
        <is>
          <t>ALL</t>
        </is>
      </c>
      <c r="B413" s="18" t="inlineStr">
        <is>
          <t>Dodge Avenger</t>
        </is>
      </c>
      <c r="C413" s="18" t="inlineStr">
        <is>
          <t>Dodge</t>
        </is>
      </c>
      <c r="D413" s="18" t="inlineStr">
        <is>
          <t>Avenger</t>
        </is>
      </c>
      <c r="E413" s="18" t="inlineStr">
        <is>
          <t>1995-2000</t>
        </is>
      </c>
      <c r="F413" s="18" t="inlineStr"/>
      <c r="G413" s="18" t="inlineStr">
        <is>
          <t>Coupe</t>
        </is>
      </c>
      <c r="H413" s="18" t="inlineStr">
        <is>
          <t>3XL-0</t>
        </is>
      </c>
      <c r="I413" s="19">
        <f t="array" ref="I413">TRIM(_xlfn.XLOOKUP(非皮卡压缩表[[#This Row],[BACKSIZE]],ALL尺码表[内部尺码],ALL尺码表[分类],""))</f>
        <v/>
      </c>
      <c r="J413" s="19">
        <f t="array" ref="J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3" s="20">
        <f>LEN(非皮卡压缩表[[#This Row],[LONG-TYPE]])</f>
        <v/>
      </c>
      <c r="L413" s="21">
        <f t="array" ref="L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3" s="22">
        <f>LEN(非皮卡压缩表[[#This Row],[TYPE]])</f>
        <v/>
      </c>
      <c r="N413" s="22">
        <f t="array" ref="N413">_xlfn.XLOOKUP(非皮卡压缩表[[#This Row],[MODEL]],MODEL缩写表[长MODEL],MODEL缩写表[短MODEL],非皮卡压缩表[[#This Row],[MODEL]])</f>
        <v/>
      </c>
      <c r="O413" s="22">
        <f>LEN(非皮卡压缩表[[#This Row],[SHORT-MODEL]])</f>
        <v/>
      </c>
      <c r="P413" s="11">
        <f t="array" ref="P413">TRIM(_xlfn.XLOOKUP(非皮卡压缩表[[#This Row],[BACKSIZE]],ALL尺码表[内部尺码],ALL尺码表[通用尺码]))</f>
        <v/>
      </c>
    </row>
    <row r="414">
      <c r="A414" s="17" t="inlineStr">
        <is>
          <t>ALL</t>
        </is>
      </c>
      <c r="B414" s="18" t="inlineStr">
        <is>
          <t>Dodge Avenger</t>
        </is>
      </c>
      <c r="C414" s="18" t="inlineStr">
        <is>
          <t>Dodge</t>
        </is>
      </c>
      <c r="D414" s="18" t="inlineStr">
        <is>
          <t>Avenger</t>
        </is>
      </c>
      <c r="E414" s="18" t="inlineStr">
        <is>
          <t>2008-2014</t>
        </is>
      </c>
      <c r="F414" s="18" t="inlineStr"/>
      <c r="G414" s="18" t="inlineStr">
        <is>
          <t>Sedan</t>
        </is>
      </c>
      <c r="H414" s="18" t="inlineStr">
        <is>
          <t>3XXL</t>
        </is>
      </c>
      <c r="I414" s="19">
        <f t="array" ref="I414">TRIM(_xlfn.XLOOKUP(非皮卡压缩表[[#This Row],[BACKSIZE]],ALL尺码表[内部尺码],ALL尺码表[分类],""))</f>
        <v/>
      </c>
      <c r="J414" s="19">
        <f t="array" ref="J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4" s="20">
        <f>LEN(非皮卡压缩表[[#This Row],[LONG-TYPE]])</f>
        <v/>
      </c>
      <c r="L414" s="21">
        <f t="array" ref="L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4" s="22">
        <f>LEN(非皮卡压缩表[[#This Row],[TYPE]])</f>
        <v/>
      </c>
      <c r="N414" s="22">
        <f t="array" ref="N414">_xlfn.XLOOKUP(非皮卡压缩表[[#This Row],[MODEL]],MODEL缩写表[长MODEL],MODEL缩写表[短MODEL],非皮卡压缩表[[#This Row],[MODEL]])</f>
        <v/>
      </c>
      <c r="O414" s="22">
        <f>LEN(非皮卡压缩表[[#This Row],[SHORT-MODEL]])</f>
        <v/>
      </c>
      <c r="P414" s="11">
        <f t="array" ref="P414">TRIM(_xlfn.XLOOKUP(非皮卡压缩表[[#This Row],[BACKSIZE]],ALL尺码表[内部尺码],ALL尺码表[通用尺码]))</f>
        <v/>
      </c>
    </row>
    <row r="415">
      <c r="A415" s="17" t="inlineStr">
        <is>
          <t>ALL</t>
        </is>
      </c>
      <c r="B415" s="18" t="inlineStr">
        <is>
          <t>Dodge Caliber</t>
        </is>
      </c>
      <c r="C415" s="18" t="inlineStr">
        <is>
          <t>Dodge</t>
        </is>
      </c>
      <c r="D415" s="18" t="inlineStr">
        <is>
          <t>Caliber</t>
        </is>
      </c>
      <c r="E415" s="18" t="inlineStr">
        <is>
          <t>2007-2012</t>
        </is>
      </c>
      <c r="F415" s="18" t="inlineStr"/>
      <c r="G415" s="18" t="inlineStr">
        <is>
          <t>Hatchback</t>
        </is>
      </c>
      <c r="H415" s="18" t="inlineStr">
        <is>
          <t>2L+</t>
        </is>
      </c>
      <c r="I415" s="19">
        <f t="array" ref="I415">TRIM(_xlfn.XLOOKUP(非皮卡压缩表[[#This Row],[BACKSIZE]],ALL尺码表[内部尺码],ALL尺码表[分类],""))</f>
        <v/>
      </c>
      <c r="J415" s="19">
        <f t="array" ref="J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5" s="20">
        <f>LEN(非皮卡压缩表[[#This Row],[LONG-TYPE]])</f>
        <v/>
      </c>
      <c r="L415" s="21">
        <f t="array" ref="L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5" s="22">
        <f>LEN(非皮卡压缩表[[#This Row],[TYPE]])</f>
        <v/>
      </c>
      <c r="N415" s="22">
        <f t="array" ref="N415">_xlfn.XLOOKUP(非皮卡压缩表[[#This Row],[MODEL]],MODEL缩写表[长MODEL],MODEL缩写表[短MODEL],非皮卡压缩表[[#This Row],[MODEL]])</f>
        <v/>
      </c>
      <c r="O415" s="22">
        <f>LEN(非皮卡压缩表[[#This Row],[SHORT-MODEL]])</f>
        <v/>
      </c>
      <c r="P415" s="11">
        <f t="array" ref="P415">TRIM(_xlfn.XLOOKUP(非皮卡压缩表[[#This Row],[BACKSIZE]],ALL尺码表[内部尺码],ALL尺码表[通用尺码]))</f>
        <v/>
      </c>
    </row>
    <row r="416">
      <c r="A416" s="17" t="inlineStr">
        <is>
          <t>ALL</t>
        </is>
      </c>
      <c r="B416" s="18" t="inlineStr">
        <is>
          <t>Dodge Caravan</t>
        </is>
      </c>
      <c r="C416" s="18" t="inlineStr">
        <is>
          <t>Dodge</t>
        </is>
      </c>
      <c r="D416" s="18" t="inlineStr">
        <is>
          <t>Caravan</t>
        </is>
      </c>
      <c r="E416" s="18" t="inlineStr">
        <is>
          <t>1984-1990</t>
        </is>
      </c>
      <c r="F416" s="18" t="inlineStr">
        <is>
          <t>SWB</t>
        </is>
      </c>
      <c r="G416" s="18" t="inlineStr">
        <is>
          <t>Minivan</t>
        </is>
      </c>
      <c r="H416" s="18" t="inlineStr">
        <is>
          <t>2L+</t>
        </is>
      </c>
      <c r="I416" s="19">
        <f t="array" ref="I416">TRIM(_xlfn.XLOOKUP(非皮卡压缩表[[#This Row],[BACKSIZE]],ALL尺码表[内部尺码],ALL尺码表[分类],""))</f>
        <v/>
      </c>
      <c r="J416" s="19">
        <f t="array" ref="J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6" s="20">
        <f>LEN(非皮卡压缩表[[#This Row],[LONG-TYPE]])</f>
        <v/>
      </c>
      <c r="L416" s="21">
        <f t="array" ref="L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6" s="22">
        <f>LEN(非皮卡压缩表[[#This Row],[TYPE]])</f>
        <v/>
      </c>
      <c r="N416" s="22">
        <f t="array" ref="N416">_xlfn.XLOOKUP(非皮卡压缩表[[#This Row],[MODEL]],MODEL缩写表[长MODEL],MODEL缩写表[短MODEL],非皮卡压缩表[[#This Row],[MODEL]])</f>
        <v/>
      </c>
      <c r="O416" s="22">
        <f>LEN(非皮卡压缩表[[#This Row],[SHORT-MODEL]])</f>
        <v/>
      </c>
      <c r="P416" s="11">
        <f t="array" ref="P416">TRIM(_xlfn.XLOOKUP(非皮卡压缩表[[#This Row],[BACKSIZE]],ALL尺码表[内部尺码],ALL尺码表[通用尺码]))</f>
        <v/>
      </c>
    </row>
    <row r="417">
      <c r="A417" s="17" t="inlineStr">
        <is>
          <t>ALL</t>
        </is>
      </c>
      <c r="B417" s="18" t="inlineStr">
        <is>
          <t>Dodge Caravan</t>
        </is>
      </c>
      <c r="C417" s="18" t="inlineStr">
        <is>
          <t>Dodge</t>
        </is>
      </c>
      <c r="D417" s="18" t="inlineStr">
        <is>
          <t>Caravan</t>
        </is>
      </c>
      <c r="E417" s="18" t="inlineStr">
        <is>
          <t>1987-1995</t>
        </is>
      </c>
      <c r="F417" s="18" t="inlineStr">
        <is>
          <t>Grand Caravan</t>
        </is>
      </c>
      <c r="G417" s="18" t="inlineStr">
        <is>
          <t>Minivan</t>
        </is>
      </c>
      <c r="H417" s="18" t="inlineStr">
        <is>
          <t>2XL+</t>
        </is>
      </c>
      <c r="I417" s="19">
        <f t="array" ref="I417">TRIM(_xlfn.XLOOKUP(非皮卡压缩表[[#This Row],[BACKSIZE]],ALL尺码表[内部尺码],ALL尺码表[分类],""))</f>
        <v/>
      </c>
      <c r="J417" s="19">
        <f t="array" ref="J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7" s="20">
        <f>LEN(非皮卡压缩表[[#This Row],[LONG-TYPE]])</f>
        <v/>
      </c>
      <c r="L417" s="21">
        <f t="array" ref="L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7" s="22">
        <f>LEN(非皮卡压缩表[[#This Row],[TYPE]])</f>
        <v/>
      </c>
      <c r="N417" s="22">
        <f t="array" ref="N417">_xlfn.XLOOKUP(非皮卡压缩表[[#This Row],[MODEL]],MODEL缩写表[长MODEL],MODEL缩写表[短MODEL],非皮卡压缩表[[#This Row],[MODEL]])</f>
        <v/>
      </c>
      <c r="O417" s="22">
        <f>LEN(非皮卡压缩表[[#This Row],[SHORT-MODEL]])</f>
        <v/>
      </c>
      <c r="P417" s="11">
        <f t="array" ref="P417">TRIM(_xlfn.XLOOKUP(非皮卡压缩表[[#This Row],[BACKSIZE]],ALL尺码表[内部尺码],ALL尺码表[通用尺码]))</f>
        <v/>
      </c>
    </row>
    <row r="418">
      <c r="A418" s="17" t="inlineStr">
        <is>
          <t>ALL</t>
        </is>
      </c>
      <c r="B418" s="18" t="inlineStr">
        <is>
          <t>Dodge Caravan</t>
        </is>
      </c>
      <c r="C418" s="18" t="inlineStr">
        <is>
          <t>Dodge</t>
        </is>
      </c>
      <c r="D418" s="18" t="inlineStr">
        <is>
          <t>Caravan</t>
        </is>
      </c>
      <c r="E418" s="18" t="inlineStr">
        <is>
          <t>1991-2007</t>
        </is>
      </c>
      <c r="F418" s="18" t="inlineStr">
        <is>
          <t>SWB</t>
        </is>
      </c>
      <c r="G418" s="18" t="inlineStr">
        <is>
          <t>Minivan</t>
        </is>
      </c>
      <c r="H418" s="18" t="inlineStr">
        <is>
          <t>2XL</t>
        </is>
      </c>
      <c r="I418" s="19">
        <f t="array" ref="I418">TRIM(_xlfn.XLOOKUP(非皮卡压缩表[[#This Row],[BACKSIZE]],ALL尺码表[内部尺码],ALL尺码表[分类],""))</f>
        <v/>
      </c>
      <c r="J418" s="19">
        <f t="array" ref="J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8" s="20">
        <f>LEN(非皮卡压缩表[[#This Row],[LONG-TYPE]])</f>
        <v/>
      </c>
      <c r="L418" s="21">
        <f t="array" ref="L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8" s="22">
        <f>LEN(非皮卡压缩表[[#This Row],[TYPE]])</f>
        <v/>
      </c>
      <c r="N418" s="22">
        <f t="array" ref="N418">_xlfn.XLOOKUP(非皮卡压缩表[[#This Row],[MODEL]],MODEL缩写表[长MODEL],MODEL缩写表[短MODEL],非皮卡压缩表[[#This Row],[MODEL]])</f>
        <v/>
      </c>
      <c r="O418" s="22">
        <f>LEN(非皮卡压缩表[[#This Row],[SHORT-MODEL]])</f>
        <v/>
      </c>
      <c r="P418" s="11">
        <f t="array" ref="P418">TRIM(_xlfn.XLOOKUP(非皮卡压缩表[[#This Row],[BACKSIZE]],ALL尺码表[内部尺码],ALL尺码表[通用尺码]))</f>
        <v/>
      </c>
    </row>
    <row r="419">
      <c r="A419" s="17" t="inlineStr">
        <is>
          <t>ALL</t>
        </is>
      </c>
      <c r="B419" s="18" t="inlineStr">
        <is>
          <t>Dodge Caravan</t>
        </is>
      </c>
      <c r="C419" s="18" t="inlineStr">
        <is>
          <t>Dodge</t>
        </is>
      </c>
      <c r="D419" s="18" t="inlineStr">
        <is>
          <t>Caravan</t>
        </is>
      </c>
      <c r="E419" s="18" t="inlineStr">
        <is>
          <t>2008-2020</t>
        </is>
      </c>
      <c r="F419" s="18" t="inlineStr">
        <is>
          <t>LWB</t>
        </is>
      </c>
      <c r="G419" s="18" t="inlineStr">
        <is>
          <t>Minivan</t>
        </is>
      </c>
      <c r="H419" s="18" t="inlineStr">
        <is>
          <t>2XXL</t>
        </is>
      </c>
      <c r="I419" s="19">
        <f t="array" ref="I419">TRIM(_xlfn.XLOOKUP(非皮卡压缩表[[#This Row],[BACKSIZE]],ALL尺码表[内部尺码],ALL尺码表[分类],""))</f>
        <v/>
      </c>
      <c r="J419" s="19">
        <f t="array" ref="J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9" s="20">
        <f>LEN(非皮卡压缩表[[#This Row],[LONG-TYPE]])</f>
        <v/>
      </c>
      <c r="L419" s="21">
        <f t="array" ref="L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9" s="22">
        <f>LEN(非皮卡压缩表[[#This Row],[TYPE]])</f>
        <v/>
      </c>
      <c r="N419" s="22">
        <f t="array" ref="N419">_xlfn.XLOOKUP(非皮卡压缩表[[#This Row],[MODEL]],MODEL缩写表[长MODEL],MODEL缩写表[短MODEL],非皮卡压缩表[[#This Row],[MODEL]])</f>
        <v/>
      </c>
      <c r="O419" s="22">
        <f>LEN(非皮卡压缩表[[#This Row],[SHORT-MODEL]])</f>
        <v/>
      </c>
      <c r="P419" s="11">
        <f t="array" ref="P419">TRIM(_xlfn.XLOOKUP(非皮卡压缩表[[#This Row],[BACKSIZE]],ALL尺码表[内部尺码],ALL尺码表[通用尺码]))</f>
        <v/>
      </c>
    </row>
    <row r="420">
      <c r="A420" s="17" t="inlineStr">
        <is>
          <t>ALL</t>
        </is>
      </c>
      <c r="B420" s="18" t="inlineStr">
        <is>
          <t>Dodge Challenger</t>
        </is>
      </c>
      <c r="C420" s="18" t="inlineStr">
        <is>
          <t>Dodge</t>
        </is>
      </c>
      <c r="D420" s="18" t="inlineStr">
        <is>
          <t>Challenger</t>
        </is>
      </c>
      <c r="E420" s="18" t="inlineStr">
        <is>
          <t>1970-1972</t>
        </is>
      </c>
      <c r="F420" s="18" t="inlineStr"/>
      <c r="G420" s="18" t="inlineStr">
        <is>
          <t>Coupe</t>
        </is>
      </c>
      <c r="H420" s="18" t="inlineStr">
        <is>
          <t>3XL-0</t>
        </is>
      </c>
      <c r="I420" s="19">
        <f t="array" ref="I420">TRIM(_xlfn.XLOOKUP(非皮卡压缩表[[#This Row],[BACKSIZE]],ALL尺码表[内部尺码],ALL尺码表[分类],""))</f>
        <v/>
      </c>
      <c r="J420" s="19">
        <f t="array" ref="J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0" s="20">
        <f>LEN(非皮卡压缩表[[#This Row],[LONG-TYPE]])</f>
        <v/>
      </c>
      <c r="L420" s="21">
        <f t="array" ref="L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0" s="22">
        <f>LEN(非皮卡压缩表[[#This Row],[TYPE]])</f>
        <v/>
      </c>
      <c r="N420" s="22">
        <f t="array" ref="N420">_xlfn.XLOOKUP(非皮卡压缩表[[#This Row],[MODEL]],MODEL缩写表[长MODEL],MODEL缩写表[短MODEL],非皮卡压缩表[[#This Row],[MODEL]])</f>
        <v/>
      </c>
      <c r="O420" s="22">
        <f>LEN(非皮卡压缩表[[#This Row],[SHORT-MODEL]])</f>
        <v/>
      </c>
      <c r="P420" s="11">
        <f t="array" ref="P420">TRIM(_xlfn.XLOOKUP(非皮卡压缩表[[#This Row],[BACKSIZE]],ALL尺码表[内部尺码],ALL尺码表[通用尺码]))</f>
        <v/>
      </c>
    </row>
    <row r="421">
      <c r="A421" s="17" t="inlineStr">
        <is>
          <t>ALL</t>
        </is>
      </c>
      <c r="B421" s="18" t="inlineStr">
        <is>
          <t>Dodge Challenger</t>
        </is>
      </c>
      <c r="C421" s="18" t="inlineStr">
        <is>
          <t>Dodge</t>
        </is>
      </c>
      <c r="D421" s="18" t="inlineStr">
        <is>
          <t>Challenger</t>
        </is>
      </c>
      <c r="E421" s="18" t="inlineStr">
        <is>
          <t>1973-1974</t>
        </is>
      </c>
      <c r="F421" s="18" t="inlineStr"/>
      <c r="G421" s="18" t="inlineStr">
        <is>
          <t>Coupe</t>
        </is>
      </c>
      <c r="H421" s="18" t="inlineStr">
        <is>
          <t>3XL+0</t>
        </is>
      </c>
      <c r="I421" s="19">
        <f t="array" ref="I421">TRIM(_xlfn.XLOOKUP(非皮卡压缩表[[#This Row],[BACKSIZE]],ALL尺码表[内部尺码],ALL尺码表[分类],""))</f>
        <v/>
      </c>
      <c r="J421" s="19">
        <f t="array" ref="J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1" s="20">
        <f>LEN(非皮卡压缩表[[#This Row],[LONG-TYPE]])</f>
        <v/>
      </c>
      <c r="L421" s="21">
        <f t="array" ref="L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1" s="22">
        <f>LEN(非皮卡压缩表[[#This Row],[TYPE]])</f>
        <v/>
      </c>
      <c r="N421" s="22">
        <f t="array" ref="N421">_xlfn.XLOOKUP(非皮卡压缩表[[#This Row],[MODEL]],MODEL缩写表[长MODEL],MODEL缩写表[短MODEL],非皮卡压缩表[[#This Row],[MODEL]])</f>
        <v/>
      </c>
      <c r="O421" s="22">
        <f>LEN(非皮卡压缩表[[#This Row],[SHORT-MODEL]])</f>
        <v/>
      </c>
      <c r="P421" s="11">
        <f t="array" ref="P421">TRIM(_xlfn.XLOOKUP(非皮卡压缩表[[#This Row],[BACKSIZE]],ALL尺码表[内部尺码],ALL尺码表[通用尺码]))</f>
        <v/>
      </c>
    </row>
    <row r="422">
      <c r="A422" s="17" t="inlineStr">
        <is>
          <t>ALL</t>
        </is>
      </c>
      <c r="B422" s="18" t="inlineStr">
        <is>
          <t>Dodge Challenger</t>
        </is>
      </c>
      <c r="C422" s="18" t="inlineStr">
        <is>
          <t>Dodge</t>
        </is>
      </c>
      <c r="D422" s="18" t="inlineStr">
        <is>
          <t>Challenger</t>
        </is>
      </c>
      <c r="E422" s="18" t="inlineStr">
        <is>
          <t>1978-1983</t>
        </is>
      </c>
      <c r="F422" s="18" t="inlineStr"/>
      <c r="G422" s="18" t="inlineStr">
        <is>
          <t>Coupe</t>
        </is>
      </c>
      <c r="H422" s="18" t="inlineStr">
        <is>
          <t>3L-0</t>
        </is>
      </c>
      <c r="I422" s="19">
        <f t="array" ref="I422">TRIM(_xlfn.XLOOKUP(非皮卡压缩表[[#This Row],[BACKSIZE]],ALL尺码表[内部尺码],ALL尺码表[分类],""))</f>
        <v/>
      </c>
      <c r="J422" s="19">
        <f t="array" ref="J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2" s="20">
        <f>LEN(非皮卡压缩表[[#This Row],[LONG-TYPE]])</f>
        <v/>
      </c>
      <c r="L422" s="21">
        <f t="array" ref="L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2" s="22">
        <f>LEN(非皮卡压缩表[[#This Row],[TYPE]])</f>
        <v/>
      </c>
      <c r="N422" s="22">
        <f t="array" ref="N422">_xlfn.XLOOKUP(非皮卡压缩表[[#This Row],[MODEL]],MODEL缩写表[长MODEL],MODEL缩写表[短MODEL],非皮卡压缩表[[#This Row],[MODEL]])</f>
        <v/>
      </c>
      <c r="O422" s="22">
        <f>LEN(非皮卡压缩表[[#This Row],[SHORT-MODEL]])</f>
        <v/>
      </c>
      <c r="P422" s="11">
        <f t="array" ref="P422">TRIM(_xlfn.XLOOKUP(非皮卡压缩表[[#This Row],[BACKSIZE]],ALL尺码表[内部尺码],ALL尺码表[通用尺码]))</f>
        <v/>
      </c>
    </row>
    <row r="423">
      <c r="A423" s="17" t="inlineStr">
        <is>
          <t>ALL</t>
        </is>
      </c>
      <c r="B423" s="18" t="inlineStr">
        <is>
          <t>Dodge Challenger</t>
        </is>
      </c>
      <c r="C423" s="18" t="inlineStr">
        <is>
          <t>Dodge</t>
        </is>
      </c>
      <c r="D423" s="18" t="inlineStr">
        <is>
          <t>Challenger</t>
        </is>
      </c>
      <c r="E423" s="18" t="inlineStr">
        <is>
          <t>2008-2023</t>
        </is>
      </c>
      <c r="F423" s="18" t="inlineStr">
        <is>
          <t>Incl: Widebody</t>
        </is>
      </c>
      <c r="G423" s="18" t="inlineStr">
        <is>
          <t>Coupe</t>
        </is>
      </c>
      <c r="H423" s="18" t="inlineStr">
        <is>
          <t>3XL+0</t>
        </is>
      </c>
      <c r="I423" s="19">
        <f t="array" ref="I423">TRIM(_xlfn.XLOOKUP(非皮卡压缩表[[#This Row],[BACKSIZE]],ALL尺码表[内部尺码],ALL尺码表[分类],""))</f>
        <v/>
      </c>
      <c r="J423" s="19">
        <f t="array" ref="J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3" s="20">
        <f>LEN(非皮卡压缩表[[#This Row],[LONG-TYPE]])</f>
        <v/>
      </c>
      <c r="L423" s="21">
        <f t="array" ref="L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3" s="22">
        <f>LEN(非皮卡压缩表[[#This Row],[TYPE]])</f>
        <v/>
      </c>
      <c r="N423" s="22">
        <f t="array" ref="N423">_xlfn.XLOOKUP(非皮卡压缩表[[#This Row],[MODEL]],MODEL缩写表[长MODEL],MODEL缩写表[短MODEL],非皮卡压缩表[[#This Row],[MODEL]])</f>
        <v/>
      </c>
      <c r="O423" s="22">
        <f>LEN(非皮卡压缩表[[#This Row],[SHORT-MODEL]])</f>
        <v/>
      </c>
      <c r="P423" s="11">
        <f t="array" ref="P423">TRIM(_xlfn.XLOOKUP(非皮卡压缩表[[#This Row],[BACKSIZE]],ALL尺码表[内部尺码],ALL尺码表[通用尺码]))</f>
        <v/>
      </c>
    </row>
    <row r="424">
      <c r="A424" s="17" t="inlineStr">
        <is>
          <t>ALL</t>
        </is>
      </c>
      <c r="B424" s="18" t="inlineStr">
        <is>
          <t>Dodge Charger</t>
        </is>
      </c>
      <c r="C424" s="18" t="inlineStr">
        <is>
          <t>Dodge</t>
        </is>
      </c>
      <c r="D424" s="18" t="inlineStr">
        <is>
          <t>Charger</t>
        </is>
      </c>
      <c r="E424" s="18" t="inlineStr">
        <is>
          <t>1966-1972</t>
        </is>
      </c>
      <c r="F424" s="18" t="inlineStr"/>
      <c r="G424" s="18" t="inlineStr">
        <is>
          <t>Coupe</t>
        </is>
      </c>
      <c r="H424" s="18" t="inlineStr">
        <is>
          <t>3XXL-0</t>
        </is>
      </c>
      <c r="I424" s="19">
        <f t="array" ref="I424">TRIM(_xlfn.XLOOKUP(非皮卡压缩表[[#This Row],[BACKSIZE]],ALL尺码表[内部尺码],ALL尺码表[分类],""))</f>
        <v/>
      </c>
      <c r="J424" s="19">
        <f t="array" ref="J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4" s="20">
        <f>LEN(非皮卡压缩表[[#This Row],[LONG-TYPE]])</f>
        <v/>
      </c>
      <c r="L424" s="21">
        <f t="array" ref="L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4" s="22">
        <f>LEN(非皮卡压缩表[[#This Row],[TYPE]])</f>
        <v/>
      </c>
      <c r="N424" s="22">
        <f t="array" ref="N424">_xlfn.XLOOKUP(非皮卡压缩表[[#This Row],[MODEL]],MODEL缩写表[长MODEL],MODEL缩写表[短MODEL],非皮卡压缩表[[#This Row],[MODEL]])</f>
        <v/>
      </c>
      <c r="O424" s="22">
        <f>LEN(非皮卡压缩表[[#This Row],[SHORT-MODEL]])</f>
        <v/>
      </c>
      <c r="P424" s="11">
        <f t="array" ref="P424">TRIM(_xlfn.XLOOKUP(非皮卡压缩表[[#This Row],[BACKSIZE]],ALL尺码表[内部尺码],ALL尺码表[通用尺码]))</f>
        <v/>
      </c>
    </row>
    <row r="425">
      <c r="A425" s="17" t="inlineStr">
        <is>
          <t>ALL</t>
        </is>
      </c>
      <c r="B425" s="18" t="inlineStr">
        <is>
          <t>Dodge Charger</t>
        </is>
      </c>
      <c r="C425" s="18" t="inlineStr">
        <is>
          <t>Dodge</t>
        </is>
      </c>
      <c r="D425" s="18" t="inlineStr">
        <is>
          <t>Charger</t>
        </is>
      </c>
      <c r="E425" s="18" t="inlineStr">
        <is>
          <t>1973-1978</t>
        </is>
      </c>
      <c r="F425" s="18" t="inlineStr"/>
      <c r="G425" s="18" t="inlineStr">
        <is>
          <t>Coupe</t>
        </is>
      </c>
      <c r="H425" s="18" t="inlineStr">
        <is>
          <t>3XXXL-0</t>
        </is>
      </c>
      <c r="I425" s="19">
        <f t="array" ref="I425">TRIM(_xlfn.XLOOKUP(非皮卡压缩表[[#This Row],[BACKSIZE]],ALL尺码表[内部尺码],ALL尺码表[分类],""))</f>
        <v/>
      </c>
      <c r="J425" s="19">
        <f t="array" ref="J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5" s="20">
        <f>LEN(非皮卡压缩表[[#This Row],[LONG-TYPE]])</f>
        <v/>
      </c>
      <c r="L425" s="21">
        <f t="array" ref="L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5" s="22">
        <f>LEN(非皮卡压缩表[[#This Row],[TYPE]])</f>
        <v/>
      </c>
      <c r="N425" s="22">
        <f t="array" ref="N425">_xlfn.XLOOKUP(非皮卡压缩表[[#This Row],[MODEL]],MODEL缩写表[长MODEL],MODEL缩写表[短MODEL],非皮卡压缩表[[#This Row],[MODEL]])</f>
        <v/>
      </c>
      <c r="O425" s="22">
        <f>LEN(非皮卡压缩表[[#This Row],[SHORT-MODEL]])</f>
        <v/>
      </c>
      <c r="P425" s="11">
        <f t="array" ref="P425">TRIM(_xlfn.XLOOKUP(非皮卡压缩表[[#This Row],[BACKSIZE]],ALL尺码表[内部尺码],ALL尺码表[通用尺码]))</f>
        <v/>
      </c>
    </row>
    <row r="426">
      <c r="A426" s="17" t="inlineStr">
        <is>
          <t>ALL</t>
        </is>
      </c>
      <c r="B426" s="18" t="inlineStr">
        <is>
          <t>Dodge Charger</t>
        </is>
      </c>
      <c r="C426" s="18" t="inlineStr">
        <is>
          <t>Dodge</t>
        </is>
      </c>
      <c r="D426" s="18" t="inlineStr">
        <is>
          <t>Charger</t>
        </is>
      </c>
      <c r="E426" s="18" t="inlineStr">
        <is>
          <t>1982-1987</t>
        </is>
      </c>
      <c r="F426" s="18" t="inlineStr"/>
      <c r="G426" s="18" t="inlineStr">
        <is>
          <t>Hatchback</t>
        </is>
      </c>
      <c r="H426" s="18" t="inlineStr">
        <is>
          <t>2L+</t>
        </is>
      </c>
      <c r="I426" s="19">
        <f t="array" ref="I426">TRIM(_xlfn.XLOOKUP(非皮卡压缩表[[#This Row],[BACKSIZE]],ALL尺码表[内部尺码],ALL尺码表[分类],""))</f>
        <v/>
      </c>
      <c r="J426" s="19">
        <f t="array" ref="J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6" s="20">
        <f>LEN(非皮卡压缩表[[#This Row],[LONG-TYPE]])</f>
        <v/>
      </c>
      <c r="L426" s="21">
        <f t="array" ref="L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6" s="22">
        <f>LEN(非皮卡压缩表[[#This Row],[TYPE]])</f>
        <v/>
      </c>
      <c r="N426" s="22">
        <f t="array" ref="N426">_xlfn.XLOOKUP(非皮卡压缩表[[#This Row],[MODEL]],MODEL缩写表[长MODEL],MODEL缩写表[短MODEL],非皮卡压缩表[[#This Row],[MODEL]])</f>
        <v/>
      </c>
      <c r="O426" s="22">
        <f>LEN(非皮卡压缩表[[#This Row],[SHORT-MODEL]])</f>
        <v/>
      </c>
      <c r="P426" s="11">
        <f t="array" ref="P426">TRIM(_xlfn.XLOOKUP(非皮卡压缩表[[#This Row],[BACKSIZE]],ALL尺码表[内部尺码],ALL尺码表[通用尺码]))</f>
        <v/>
      </c>
    </row>
    <row r="427">
      <c r="A427" s="17" t="inlineStr">
        <is>
          <t>ALL</t>
        </is>
      </c>
      <c r="B427" s="18" t="inlineStr">
        <is>
          <t>Dodge Charger</t>
        </is>
      </c>
      <c r="C427" s="18" t="inlineStr">
        <is>
          <t>Dodge</t>
        </is>
      </c>
      <c r="D427" s="18" t="inlineStr">
        <is>
          <t>Charger</t>
        </is>
      </c>
      <c r="E427" s="18" t="inlineStr">
        <is>
          <t>2006-2026</t>
        </is>
      </c>
      <c r="F427" s="18" t="inlineStr"/>
      <c r="G427" s="18" t="inlineStr">
        <is>
          <t>Sedan</t>
        </is>
      </c>
      <c r="H427" s="18" t="inlineStr">
        <is>
          <t>3XXL</t>
        </is>
      </c>
      <c r="I427" s="19">
        <f t="array" ref="I427">TRIM(_xlfn.XLOOKUP(非皮卡压缩表[[#This Row],[BACKSIZE]],ALL尺码表[内部尺码],ALL尺码表[分类],""))</f>
        <v/>
      </c>
      <c r="J427" s="19">
        <f t="array" ref="J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7" s="20">
        <f>LEN(非皮卡压缩表[[#This Row],[LONG-TYPE]])</f>
        <v/>
      </c>
      <c r="L427" s="21">
        <f t="array" ref="L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7" s="22">
        <f>LEN(非皮卡压缩表[[#This Row],[TYPE]])</f>
        <v/>
      </c>
      <c r="N427" s="22">
        <f t="array" ref="N427">_xlfn.XLOOKUP(非皮卡压缩表[[#This Row],[MODEL]],MODEL缩写表[长MODEL],MODEL缩写表[短MODEL],非皮卡压缩表[[#This Row],[MODEL]])</f>
        <v/>
      </c>
      <c r="O427" s="22">
        <f>LEN(非皮卡压缩表[[#This Row],[SHORT-MODEL]])</f>
        <v/>
      </c>
      <c r="P427" s="11">
        <f t="array" ref="P427">TRIM(_xlfn.XLOOKUP(非皮卡压缩表[[#This Row],[BACKSIZE]],ALL尺码表[内部尺码],ALL尺码表[通用尺码]))</f>
        <v/>
      </c>
    </row>
    <row r="428">
      <c r="A428" s="17" t="inlineStr">
        <is>
          <t>ALL</t>
        </is>
      </c>
      <c r="B428" s="18" t="inlineStr">
        <is>
          <t>Dodge Charger</t>
        </is>
      </c>
      <c r="C428" s="18" t="inlineStr">
        <is>
          <t>Dodge</t>
        </is>
      </c>
      <c r="D428" s="18" t="inlineStr">
        <is>
          <t>Charger</t>
        </is>
      </c>
      <c r="E428" s="18" t="inlineStr">
        <is>
          <t>2024-2026</t>
        </is>
      </c>
      <c r="F428" s="18" t="inlineStr"/>
      <c r="G428" s="18" t="inlineStr">
        <is>
          <t>Coupe</t>
        </is>
      </c>
      <c r="H428" s="18" t="inlineStr">
        <is>
          <t>3XXL-0</t>
        </is>
      </c>
      <c r="I428" s="19">
        <f t="array" ref="I428">TRIM(_xlfn.XLOOKUP(非皮卡压缩表[[#This Row],[BACKSIZE]],ALL尺码表[内部尺码],ALL尺码表[分类],""))</f>
        <v/>
      </c>
      <c r="J428" s="19">
        <f t="array" ref="J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8" s="20">
        <f>LEN(非皮卡压缩表[[#This Row],[LONG-TYPE]])</f>
        <v/>
      </c>
      <c r="L428" s="21">
        <f t="array" ref="L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8" s="22">
        <f>LEN(非皮卡压缩表[[#This Row],[TYPE]])</f>
        <v/>
      </c>
      <c r="N428" s="22">
        <f t="array" ref="N428">_xlfn.XLOOKUP(非皮卡压缩表[[#This Row],[MODEL]],MODEL缩写表[长MODEL],MODEL缩写表[短MODEL],非皮卡压缩表[[#This Row],[MODEL]])</f>
        <v/>
      </c>
      <c r="O428" s="22">
        <f>LEN(非皮卡压缩表[[#This Row],[SHORT-MODEL]])</f>
        <v/>
      </c>
      <c r="P428" s="11">
        <f t="array" ref="P428">TRIM(_xlfn.XLOOKUP(非皮卡压缩表[[#This Row],[BACKSIZE]],ALL尺码表[内部尺码],ALL尺码表[通用尺码]))</f>
        <v/>
      </c>
    </row>
    <row r="429">
      <c r="A429" s="17" t="inlineStr">
        <is>
          <t>ALL</t>
        </is>
      </c>
      <c r="B429" s="18" t="inlineStr">
        <is>
          <t>Dodge Dart</t>
        </is>
      </c>
      <c r="C429" s="18" t="inlineStr">
        <is>
          <t>Dodge</t>
        </is>
      </c>
      <c r="D429" s="18" t="inlineStr">
        <is>
          <t>Dart</t>
        </is>
      </c>
      <c r="E429" s="18" t="inlineStr">
        <is>
          <t>2013-2016</t>
        </is>
      </c>
      <c r="F429" s="18" t="inlineStr"/>
      <c r="G429" s="18" t="inlineStr">
        <is>
          <t>Sedan</t>
        </is>
      </c>
      <c r="H429" s="18" t="inlineStr">
        <is>
          <t>3L</t>
        </is>
      </c>
      <c r="I429" s="19">
        <f t="array" ref="I429">TRIM(_xlfn.XLOOKUP(非皮卡压缩表[[#This Row],[BACKSIZE]],ALL尺码表[内部尺码],ALL尺码表[分类],""))</f>
        <v/>
      </c>
      <c r="J429" s="19">
        <f t="array" ref="J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9" s="20">
        <f>LEN(非皮卡压缩表[[#This Row],[LONG-TYPE]])</f>
        <v/>
      </c>
      <c r="L429" s="21">
        <f t="array" ref="L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9" s="22">
        <f>LEN(非皮卡压缩表[[#This Row],[TYPE]])</f>
        <v/>
      </c>
      <c r="N429" s="22">
        <f t="array" ref="N429">_xlfn.XLOOKUP(非皮卡压缩表[[#This Row],[MODEL]],MODEL缩写表[长MODEL],MODEL缩写表[短MODEL],非皮卡压缩表[[#This Row],[MODEL]])</f>
        <v/>
      </c>
      <c r="O429" s="22">
        <f>LEN(非皮卡压缩表[[#This Row],[SHORT-MODEL]])</f>
        <v/>
      </c>
      <c r="P429" s="11">
        <f t="array" ref="P429">TRIM(_xlfn.XLOOKUP(非皮卡压缩表[[#This Row],[BACKSIZE]],ALL尺码表[内部尺码],ALL尺码表[通用尺码]))</f>
        <v/>
      </c>
    </row>
    <row r="430">
      <c r="A430" s="17" t="inlineStr">
        <is>
          <t>ALL</t>
        </is>
      </c>
      <c r="B430" s="18" t="inlineStr">
        <is>
          <t>Dodge Daytona</t>
        </is>
      </c>
      <c r="C430" s="18" t="inlineStr">
        <is>
          <t>Dodge</t>
        </is>
      </c>
      <c r="D430" s="18" t="inlineStr">
        <is>
          <t>Daytona</t>
        </is>
      </c>
      <c r="E430" s="18" t="inlineStr">
        <is>
          <t>1984-1986</t>
        </is>
      </c>
      <c r="F430" s="18" t="inlineStr"/>
      <c r="G430" s="18" t="inlineStr">
        <is>
          <t>Hatchback</t>
        </is>
      </c>
      <c r="H430" s="18" t="inlineStr">
        <is>
          <t>2L+</t>
        </is>
      </c>
      <c r="I430" s="19">
        <f t="array" ref="I430">TRIM(_xlfn.XLOOKUP(非皮卡压缩表[[#This Row],[BACKSIZE]],ALL尺码表[内部尺码],ALL尺码表[分类],""))</f>
        <v/>
      </c>
      <c r="J430" s="19">
        <f t="array" ref="J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0" s="20">
        <f>LEN(非皮卡压缩表[[#This Row],[LONG-TYPE]])</f>
        <v/>
      </c>
      <c r="L430" s="21">
        <f t="array" ref="L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0" s="22">
        <f>LEN(非皮卡压缩表[[#This Row],[TYPE]])</f>
        <v/>
      </c>
      <c r="N430" s="22">
        <f t="array" ref="N430">_xlfn.XLOOKUP(非皮卡压缩表[[#This Row],[MODEL]],MODEL缩写表[长MODEL],MODEL缩写表[短MODEL],非皮卡压缩表[[#This Row],[MODEL]])</f>
        <v/>
      </c>
      <c r="O430" s="22">
        <f>LEN(非皮卡压缩表[[#This Row],[SHORT-MODEL]])</f>
        <v/>
      </c>
      <c r="P430" s="11">
        <f t="array" ref="P430">TRIM(_xlfn.XLOOKUP(非皮卡压缩表[[#This Row],[BACKSIZE]],ALL尺码表[内部尺码],ALL尺码表[通用尺码]))</f>
        <v/>
      </c>
    </row>
    <row r="431">
      <c r="A431" s="17" t="inlineStr">
        <is>
          <t>ALL</t>
        </is>
      </c>
      <c r="B431" s="18" t="inlineStr">
        <is>
          <t>Dodge Daytona</t>
        </is>
      </c>
      <c r="C431" s="18" t="inlineStr">
        <is>
          <t>Dodge</t>
        </is>
      </c>
      <c r="D431" s="18" t="inlineStr">
        <is>
          <t>Daytona</t>
        </is>
      </c>
      <c r="E431" s="18" t="inlineStr">
        <is>
          <t>1987-1993</t>
        </is>
      </c>
      <c r="F431" s="18" t="inlineStr"/>
      <c r="G431" s="18" t="inlineStr">
        <is>
          <t>Hatchback</t>
        </is>
      </c>
      <c r="H431" s="18" t="inlineStr">
        <is>
          <t>2XL</t>
        </is>
      </c>
      <c r="I431" s="19">
        <f t="array" ref="I431">TRIM(_xlfn.XLOOKUP(非皮卡压缩表[[#This Row],[BACKSIZE]],ALL尺码表[内部尺码],ALL尺码表[分类],""))</f>
        <v/>
      </c>
      <c r="J431" s="19">
        <f t="array" ref="J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1" s="20">
        <f>LEN(非皮卡压缩表[[#This Row],[LONG-TYPE]])</f>
        <v/>
      </c>
      <c r="L431" s="21">
        <f t="array" ref="L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1" s="22">
        <f>LEN(非皮卡压缩表[[#This Row],[TYPE]])</f>
        <v/>
      </c>
      <c r="N431" s="22">
        <f t="array" ref="N431">_xlfn.XLOOKUP(非皮卡压缩表[[#This Row],[MODEL]],MODEL缩写表[长MODEL],MODEL缩写表[短MODEL],非皮卡压缩表[[#This Row],[MODEL]])</f>
        <v/>
      </c>
      <c r="O431" s="22">
        <f>LEN(非皮卡压缩表[[#This Row],[SHORT-MODEL]])</f>
        <v/>
      </c>
      <c r="P431" s="11">
        <f t="array" ref="P431">TRIM(_xlfn.XLOOKUP(非皮卡压缩表[[#This Row],[BACKSIZE]],ALL尺码表[内部尺码],ALL尺码表[通用尺码]))</f>
        <v/>
      </c>
    </row>
    <row r="432">
      <c r="A432" s="17" t="inlineStr">
        <is>
          <t>ALL</t>
        </is>
      </c>
      <c r="B432" s="18" t="inlineStr">
        <is>
          <t>Dodge Durango</t>
        </is>
      </c>
      <c r="C432" s="18" t="inlineStr">
        <is>
          <t>Dodge</t>
        </is>
      </c>
      <c r="D432" s="18" t="inlineStr">
        <is>
          <t>Durango</t>
        </is>
      </c>
      <c r="E432" s="18" t="inlineStr">
        <is>
          <t>1998-2026</t>
        </is>
      </c>
      <c r="F432" s="18" t="inlineStr">
        <is>
          <t>Incl: Hellcat/SRT</t>
        </is>
      </c>
      <c r="G432" s="18" t="inlineStr">
        <is>
          <t>SUV</t>
        </is>
      </c>
      <c r="H432" s="18" t="inlineStr">
        <is>
          <t>YXL</t>
        </is>
      </c>
      <c r="I432" s="19">
        <f t="array" ref="I432">TRIM(_xlfn.XLOOKUP(非皮卡压缩表[[#This Row],[BACKSIZE]],ALL尺码表[内部尺码],ALL尺码表[分类],""))</f>
        <v/>
      </c>
      <c r="J432" s="19">
        <f t="array" ref="J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2" s="20">
        <f>LEN(非皮卡压缩表[[#This Row],[LONG-TYPE]])</f>
        <v/>
      </c>
      <c r="L432" s="21">
        <f t="array" ref="L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2" s="22">
        <f>LEN(非皮卡压缩表[[#This Row],[TYPE]])</f>
        <v/>
      </c>
      <c r="N432" s="22">
        <f t="array" ref="N432">_xlfn.XLOOKUP(非皮卡压缩表[[#This Row],[MODEL]],MODEL缩写表[长MODEL],MODEL缩写表[短MODEL],非皮卡压缩表[[#This Row],[MODEL]])</f>
        <v/>
      </c>
      <c r="O432" s="22">
        <f>LEN(非皮卡压缩表[[#This Row],[SHORT-MODEL]])</f>
        <v/>
      </c>
      <c r="P432" s="11">
        <f t="array" ref="P432">TRIM(_xlfn.XLOOKUP(非皮卡压缩表[[#This Row],[BACKSIZE]],ALL尺码表[内部尺码],ALL尺码表[通用尺码]))</f>
        <v/>
      </c>
    </row>
    <row r="433">
      <c r="A433" s="17" t="inlineStr">
        <is>
          <t>ALL</t>
        </is>
      </c>
      <c r="B433" s="18" t="inlineStr">
        <is>
          <t>Dodge Hornet</t>
        </is>
      </c>
      <c r="C433" s="18" t="inlineStr">
        <is>
          <t>Dodge</t>
        </is>
      </c>
      <c r="D433" s="18" t="inlineStr">
        <is>
          <t>Hornet</t>
        </is>
      </c>
      <c r="E433" s="18" t="inlineStr">
        <is>
          <t>2023-2025</t>
        </is>
      </c>
      <c r="F433" s="18" t="inlineStr"/>
      <c r="G433" s="18" t="inlineStr">
        <is>
          <t>CUV</t>
        </is>
      </c>
      <c r="H433" s="18" t="inlineStr">
        <is>
          <t>YM+</t>
        </is>
      </c>
      <c r="I433" s="19">
        <f t="array" ref="I433">TRIM(_xlfn.XLOOKUP(非皮卡压缩表[[#This Row],[BACKSIZE]],ALL尺码表[内部尺码],ALL尺码表[分类],""))</f>
        <v/>
      </c>
      <c r="J433" s="19">
        <f t="array" ref="J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3" s="20">
        <f>LEN(非皮卡压缩表[[#This Row],[LONG-TYPE]])</f>
        <v/>
      </c>
      <c r="L433" s="21">
        <f t="array" ref="L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3" s="22">
        <f>LEN(非皮卡压缩表[[#This Row],[TYPE]])</f>
        <v/>
      </c>
      <c r="N433" s="22">
        <f t="array" ref="N433">_xlfn.XLOOKUP(非皮卡压缩表[[#This Row],[MODEL]],MODEL缩写表[长MODEL],MODEL缩写表[短MODEL],非皮卡压缩表[[#This Row],[MODEL]])</f>
        <v/>
      </c>
      <c r="O433" s="22">
        <f>LEN(非皮卡压缩表[[#This Row],[SHORT-MODEL]])</f>
        <v/>
      </c>
      <c r="P433" s="11">
        <f t="array" ref="P433">TRIM(_xlfn.XLOOKUP(非皮卡压缩表[[#This Row],[BACKSIZE]],ALL尺码表[内部尺码],ALL尺码表[通用尺码]))</f>
        <v/>
      </c>
    </row>
    <row r="434">
      <c r="A434" s="17" t="inlineStr">
        <is>
          <t>ALL</t>
        </is>
      </c>
      <c r="B434" s="18" t="inlineStr">
        <is>
          <t>Dodge Intrepid</t>
        </is>
      </c>
      <c r="C434" s="18" t="inlineStr">
        <is>
          <t>Dodge</t>
        </is>
      </c>
      <c r="D434" s="18" t="inlineStr">
        <is>
          <t>Intrepid</t>
        </is>
      </c>
      <c r="E434" s="18" t="inlineStr">
        <is>
          <t>1993-2004</t>
        </is>
      </c>
      <c r="F434" s="18" t="inlineStr"/>
      <c r="G434" s="18" t="inlineStr">
        <is>
          <t>Sedan</t>
        </is>
      </c>
      <c r="H434" s="18" t="inlineStr">
        <is>
          <t>3XXL</t>
        </is>
      </c>
      <c r="I434" s="19">
        <f t="array" ref="I434">TRIM(_xlfn.XLOOKUP(非皮卡压缩表[[#This Row],[BACKSIZE]],ALL尺码表[内部尺码],ALL尺码表[分类],""))</f>
        <v/>
      </c>
      <c r="J434" s="19">
        <f t="array" ref="J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4" s="20">
        <f>LEN(非皮卡压缩表[[#This Row],[LONG-TYPE]])</f>
        <v/>
      </c>
      <c r="L434" s="21">
        <f t="array" ref="L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4" s="22">
        <f>LEN(非皮卡压缩表[[#This Row],[TYPE]])</f>
        <v/>
      </c>
      <c r="N434" s="22">
        <f t="array" ref="N434">_xlfn.XLOOKUP(非皮卡压缩表[[#This Row],[MODEL]],MODEL缩写表[长MODEL],MODEL缩写表[短MODEL],非皮卡压缩表[[#This Row],[MODEL]])</f>
        <v/>
      </c>
      <c r="O434" s="22">
        <f>LEN(非皮卡压缩表[[#This Row],[SHORT-MODEL]])</f>
        <v/>
      </c>
      <c r="P434" s="11">
        <f t="array" ref="P434">TRIM(_xlfn.XLOOKUP(非皮卡压缩表[[#This Row],[BACKSIZE]],ALL尺码表[内部尺码],ALL尺码表[通用尺码]))</f>
        <v/>
      </c>
    </row>
    <row r="435">
      <c r="A435" s="17" t="inlineStr">
        <is>
          <t>ALL</t>
        </is>
      </c>
      <c r="B435" s="18" t="inlineStr">
        <is>
          <t>Dodge Journey</t>
        </is>
      </c>
      <c r="C435" s="18" t="inlineStr">
        <is>
          <t>Dodge</t>
        </is>
      </c>
      <c r="D435" s="18" t="inlineStr">
        <is>
          <t>Journey</t>
        </is>
      </c>
      <c r="E435" s="18" t="inlineStr">
        <is>
          <t>2009-2020</t>
        </is>
      </c>
      <c r="F435" s="18" t="inlineStr"/>
      <c r="G435" s="18" t="inlineStr">
        <is>
          <t>CUV/SUV</t>
        </is>
      </c>
      <c r="H435" s="18" t="inlineStr">
        <is>
          <t>YXL</t>
        </is>
      </c>
      <c r="I435" s="19">
        <f t="array" ref="I435">TRIM(_xlfn.XLOOKUP(非皮卡压缩表[[#This Row],[BACKSIZE]],ALL尺码表[内部尺码],ALL尺码表[分类],""))</f>
        <v/>
      </c>
      <c r="J435" s="19">
        <f t="array" ref="J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5" s="20">
        <f>LEN(非皮卡压缩表[[#This Row],[LONG-TYPE]])</f>
        <v/>
      </c>
      <c r="L435" s="21">
        <f t="array" ref="L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5" s="22">
        <f>LEN(非皮卡压缩表[[#This Row],[TYPE]])</f>
        <v/>
      </c>
      <c r="N435" s="22">
        <f t="array" ref="N435">_xlfn.XLOOKUP(非皮卡压缩表[[#This Row],[MODEL]],MODEL缩写表[长MODEL],MODEL缩写表[短MODEL],非皮卡压缩表[[#This Row],[MODEL]])</f>
        <v/>
      </c>
      <c r="O435" s="22">
        <f>LEN(非皮卡压缩表[[#This Row],[SHORT-MODEL]])</f>
        <v/>
      </c>
      <c r="P435" s="11">
        <f t="array" ref="P435">TRIM(_xlfn.XLOOKUP(非皮卡压缩表[[#This Row],[BACKSIZE]],ALL尺码表[内部尺码],ALL尺码表[通用尺码]))</f>
        <v/>
      </c>
    </row>
    <row r="436">
      <c r="A436" s="17" t="inlineStr">
        <is>
          <t>ALL</t>
        </is>
      </c>
      <c r="B436" s="18" t="inlineStr">
        <is>
          <t>Dodge Magnum</t>
        </is>
      </c>
      <c r="C436" s="18" t="inlineStr">
        <is>
          <t>Dodge</t>
        </is>
      </c>
      <c r="D436" s="18" t="inlineStr">
        <is>
          <t>Magnum</t>
        </is>
      </c>
      <c r="E436" s="18" t="inlineStr">
        <is>
          <t>2005-2008</t>
        </is>
      </c>
      <c r="F436" s="18" t="inlineStr"/>
      <c r="G436" s="18" t="inlineStr">
        <is>
          <t>Wagon</t>
        </is>
      </c>
      <c r="H436" s="18" t="inlineStr">
        <is>
          <t>2XL+</t>
        </is>
      </c>
      <c r="I436" s="19">
        <f t="array" ref="I436">TRIM(_xlfn.XLOOKUP(非皮卡压缩表[[#This Row],[BACKSIZE]],ALL尺码表[内部尺码],ALL尺码表[分类],""))</f>
        <v/>
      </c>
      <c r="J436" s="19">
        <f t="array" ref="J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6" s="20">
        <f>LEN(非皮卡压缩表[[#This Row],[LONG-TYPE]])</f>
        <v/>
      </c>
      <c r="L436" s="21">
        <f t="array" ref="L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6" s="22">
        <f>LEN(非皮卡压缩表[[#This Row],[TYPE]])</f>
        <v/>
      </c>
      <c r="N436" s="22">
        <f t="array" ref="N436">_xlfn.XLOOKUP(非皮卡压缩表[[#This Row],[MODEL]],MODEL缩写表[长MODEL],MODEL缩写表[短MODEL],非皮卡压缩表[[#This Row],[MODEL]])</f>
        <v/>
      </c>
      <c r="O436" s="22">
        <f>LEN(非皮卡压缩表[[#This Row],[SHORT-MODEL]])</f>
        <v/>
      </c>
      <c r="P436" s="11">
        <f t="array" ref="P436">TRIM(_xlfn.XLOOKUP(非皮卡压缩表[[#This Row],[BACKSIZE]],ALL尺码表[内部尺码],ALL尺码表[通用尺码]))</f>
        <v/>
      </c>
    </row>
    <row r="437">
      <c r="A437" s="17" t="inlineStr">
        <is>
          <t>ALL</t>
        </is>
      </c>
      <c r="B437" s="18" t="inlineStr">
        <is>
          <t>Dodge Neon</t>
        </is>
      </c>
      <c r="C437" s="18" t="inlineStr">
        <is>
          <t>Dodge</t>
        </is>
      </c>
      <c r="D437" s="18" t="inlineStr">
        <is>
          <t>Neon</t>
        </is>
      </c>
      <c r="E437" s="18" t="inlineStr">
        <is>
          <t>1995-2005</t>
        </is>
      </c>
      <c r="F437" s="18" t="inlineStr"/>
      <c r="G437" s="18" t="inlineStr">
        <is>
          <t>Sedan</t>
        </is>
      </c>
      <c r="H437" s="18" t="inlineStr">
        <is>
          <t>3L</t>
        </is>
      </c>
      <c r="I437" s="19">
        <f t="array" ref="I437">TRIM(_xlfn.XLOOKUP(非皮卡压缩表[[#This Row],[BACKSIZE]],ALL尺码表[内部尺码],ALL尺码表[分类],""))</f>
        <v/>
      </c>
      <c r="J437" s="19">
        <f t="array" ref="J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7" s="20">
        <f>LEN(非皮卡压缩表[[#This Row],[LONG-TYPE]])</f>
        <v/>
      </c>
      <c r="L437" s="21">
        <f t="array" ref="L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7" s="22">
        <f>LEN(非皮卡压缩表[[#This Row],[TYPE]])</f>
        <v/>
      </c>
      <c r="N437" s="22">
        <f t="array" ref="N437">_xlfn.XLOOKUP(非皮卡压缩表[[#This Row],[MODEL]],MODEL缩写表[长MODEL],MODEL缩写表[短MODEL],非皮卡压缩表[[#This Row],[MODEL]])</f>
        <v/>
      </c>
      <c r="O437" s="22">
        <f>LEN(非皮卡压缩表[[#This Row],[SHORT-MODEL]])</f>
        <v/>
      </c>
      <c r="P437" s="11">
        <f t="array" ref="P437">TRIM(_xlfn.XLOOKUP(非皮卡压缩表[[#This Row],[BACKSIZE]],ALL尺码表[内部尺码],ALL尺码表[通用尺码]))</f>
        <v/>
      </c>
    </row>
    <row r="438">
      <c r="A438" s="17" t="inlineStr">
        <is>
          <t>ALL</t>
        </is>
      </c>
      <c r="B438" s="18" t="inlineStr">
        <is>
          <t>Dodge Nitro</t>
        </is>
      </c>
      <c r="C438" s="18" t="inlineStr">
        <is>
          <t>Dodge</t>
        </is>
      </c>
      <c r="D438" s="18" t="inlineStr">
        <is>
          <t>Nitro</t>
        </is>
      </c>
      <c r="E438" s="18" t="inlineStr">
        <is>
          <t>2007-2010</t>
        </is>
      </c>
      <c r="F438" s="18" t="inlineStr"/>
      <c r="G438" s="18" t="inlineStr">
        <is>
          <t>SUV</t>
        </is>
      </c>
      <c r="H438" s="18" t="inlineStr">
        <is>
          <t>YM+</t>
        </is>
      </c>
      <c r="I438" s="19">
        <f t="array" ref="I438">TRIM(_xlfn.XLOOKUP(非皮卡压缩表[[#This Row],[BACKSIZE]],ALL尺码表[内部尺码],ALL尺码表[分类],""))</f>
        <v/>
      </c>
      <c r="J438" s="19">
        <f t="array" ref="J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8" s="20">
        <f>LEN(非皮卡压缩表[[#This Row],[LONG-TYPE]])</f>
        <v/>
      </c>
      <c r="L438" s="21">
        <f t="array" ref="L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8" s="22">
        <f>LEN(非皮卡压缩表[[#This Row],[TYPE]])</f>
        <v/>
      </c>
      <c r="N438" s="22">
        <f t="array" ref="N438">_xlfn.XLOOKUP(非皮卡压缩表[[#This Row],[MODEL]],MODEL缩写表[长MODEL],MODEL缩写表[短MODEL],非皮卡压缩表[[#This Row],[MODEL]])</f>
        <v/>
      </c>
      <c r="O438" s="22">
        <f>LEN(非皮卡压缩表[[#This Row],[SHORT-MODEL]])</f>
        <v/>
      </c>
      <c r="P438" s="11">
        <f t="array" ref="P438">TRIM(_xlfn.XLOOKUP(非皮卡压缩表[[#This Row],[BACKSIZE]],ALL尺码表[内部尺码],ALL尺码表[通用尺码]))</f>
        <v/>
      </c>
    </row>
    <row r="439">
      <c r="A439" s="17" t="inlineStr">
        <is>
          <t>ALL</t>
        </is>
      </c>
      <c r="B439" s="18" t="inlineStr">
        <is>
          <t>Dodge Ramcharger</t>
        </is>
      </c>
      <c r="C439" s="18" t="inlineStr">
        <is>
          <t>Dodge</t>
        </is>
      </c>
      <c r="D439" s="18" t="inlineStr">
        <is>
          <t>Ramcharger</t>
        </is>
      </c>
      <c r="E439" s="18" t="inlineStr">
        <is>
          <t>1974-1993</t>
        </is>
      </c>
      <c r="F439" s="18" t="inlineStr">
        <is>
          <t>2WD/4WD</t>
        </is>
      </c>
      <c r="G439" s="18" t="inlineStr">
        <is>
          <t>SUV</t>
        </is>
      </c>
      <c r="H439" s="18" t="inlineStr">
        <is>
          <t>YL</t>
        </is>
      </c>
      <c r="I439" s="19">
        <f t="array" ref="I439">TRIM(_xlfn.XLOOKUP(非皮卡压缩表[[#This Row],[BACKSIZE]],ALL尺码表[内部尺码],ALL尺码表[分类],""))</f>
        <v/>
      </c>
      <c r="J439" s="19">
        <f t="array" ref="J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9" s="20">
        <f>LEN(非皮卡压缩表[[#This Row],[LONG-TYPE]])</f>
        <v/>
      </c>
      <c r="L439" s="21">
        <f t="array" ref="L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9" s="22">
        <f>LEN(非皮卡压缩表[[#This Row],[TYPE]])</f>
        <v/>
      </c>
      <c r="N439" s="22">
        <f t="array" ref="N439">_xlfn.XLOOKUP(非皮卡压缩表[[#This Row],[MODEL]],MODEL缩写表[长MODEL],MODEL缩写表[短MODEL],非皮卡压缩表[[#This Row],[MODEL]])</f>
        <v/>
      </c>
      <c r="O439" s="22">
        <f>LEN(非皮卡压缩表[[#This Row],[SHORT-MODEL]])</f>
        <v/>
      </c>
      <c r="P439" s="11">
        <f t="array" ref="P439">TRIM(_xlfn.XLOOKUP(非皮卡压缩表[[#This Row],[BACKSIZE]],ALL尺码表[内部尺码],ALL尺码表[通用尺码]))</f>
        <v/>
      </c>
    </row>
    <row r="440">
      <c r="A440" s="17" t="inlineStr">
        <is>
          <t>ALL</t>
        </is>
      </c>
      <c r="B440" s="18" t="inlineStr">
        <is>
          <t>Dodge Stealth</t>
        </is>
      </c>
      <c r="C440" s="18" t="inlineStr">
        <is>
          <t>Dodge</t>
        </is>
      </c>
      <c r="D440" s="18" t="inlineStr">
        <is>
          <t>Stealth</t>
        </is>
      </c>
      <c r="E440" s="18" t="inlineStr">
        <is>
          <t>1991-1996</t>
        </is>
      </c>
      <c r="F440" s="18" t="inlineStr">
        <is>
          <t>R/T Turbo</t>
        </is>
      </c>
      <c r="G440" s="18" t="inlineStr">
        <is>
          <t>Coupe</t>
        </is>
      </c>
      <c r="H440" s="18" t="inlineStr">
        <is>
          <t>3L-0</t>
        </is>
      </c>
      <c r="I440" s="19">
        <f t="array" ref="I440">TRIM(_xlfn.XLOOKUP(非皮卡压缩表[[#This Row],[BACKSIZE]],ALL尺码表[内部尺码],ALL尺码表[分类],""))</f>
        <v/>
      </c>
      <c r="J440" s="19">
        <f t="array" ref="J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0" s="20">
        <f>LEN(非皮卡压缩表[[#This Row],[LONG-TYPE]])</f>
        <v/>
      </c>
      <c r="L440" s="21">
        <f t="array" ref="L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0" s="22">
        <f>LEN(非皮卡压缩表[[#This Row],[TYPE]])</f>
        <v/>
      </c>
      <c r="N440" s="22">
        <f t="array" ref="N440">_xlfn.XLOOKUP(非皮卡压缩表[[#This Row],[MODEL]],MODEL缩写表[长MODEL],MODEL缩写表[短MODEL],非皮卡压缩表[[#This Row],[MODEL]])</f>
        <v/>
      </c>
      <c r="O440" s="22">
        <f>LEN(非皮卡压缩表[[#This Row],[SHORT-MODEL]])</f>
        <v/>
      </c>
      <c r="P440" s="11">
        <f t="array" ref="P440">TRIM(_xlfn.XLOOKUP(非皮卡压缩表[[#This Row],[BACKSIZE]],ALL尺码表[内部尺码],ALL尺码表[通用尺码]))</f>
        <v/>
      </c>
    </row>
    <row r="441">
      <c r="A441" s="17" t="inlineStr">
        <is>
          <t>ALL</t>
        </is>
      </c>
      <c r="B441" s="18" t="inlineStr">
        <is>
          <t>Dodge Stratus</t>
        </is>
      </c>
      <c r="C441" s="18" t="inlineStr">
        <is>
          <t>Dodge</t>
        </is>
      </c>
      <c r="D441" s="18" t="inlineStr">
        <is>
          <t>Stratus</t>
        </is>
      </c>
      <c r="E441" s="18" t="inlineStr">
        <is>
          <t>1995-2006</t>
        </is>
      </c>
      <c r="F441" s="18" t="inlineStr"/>
      <c r="G441" s="18" t="inlineStr">
        <is>
          <t>Sedan</t>
        </is>
      </c>
      <c r="H441" s="18" t="inlineStr">
        <is>
          <t>3XL</t>
        </is>
      </c>
      <c r="I441" s="19">
        <f t="array" ref="I441">TRIM(_xlfn.XLOOKUP(非皮卡压缩表[[#This Row],[BACKSIZE]],ALL尺码表[内部尺码],ALL尺码表[分类],""))</f>
        <v/>
      </c>
      <c r="J441" s="19">
        <f t="array" ref="J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1" s="20">
        <f>LEN(非皮卡压缩表[[#This Row],[LONG-TYPE]])</f>
        <v/>
      </c>
      <c r="L441" s="21">
        <f t="array" ref="L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1" s="22">
        <f>LEN(非皮卡压缩表[[#This Row],[TYPE]])</f>
        <v/>
      </c>
      <c r="N441" s="22">
        <f t="array" ref="N441">_xlfn.XLOOKUP(非皮卡压缩表[[#This Row],[MODEL]],MODEL缩写表[长MODEL],MODEL缩写表[短MODEL],非皮卡压缩表[[#This Row],[MODEL]])</f>
        <v/>
      </c>
      <c r="O441" s="22">
        <f>LEN(非皮卡压缩表[[#This Row],[SHORT-MODEL]])</f>
        <v/>
      </c>
      <c r="P441" s="11">
        <f t="array" ref="P441">TRIM(_xlfn.XLOOKUP(非皮卡压缩表[[#This Row],[BACKSIZE]],ALL尺码表[内部尺码],ALL尺码表[通用尺码]))</f>
        <v/>
      </c>
    </row>
    <row r="442">
      <c r="A442" s="17" t="inlineStr">
        <is>
          <t>ALL</t>
        </is>
      </c>
      <c r="B442" s="18" t="inlineStr">
        <is>
          <t>Dodge Viper</t>
        </is>
      </c>
      <c r="C442" s="18" t="inlineStr">
        <is>
          <t>Dodge</t>
        </is>
      </c>
      <c r="D442" s="18" t="inlineStr">
        <is>
          <t>Viper</t>
        </is>
      </c>
      <c r="E442" s="18" t="inlineStr">
        <is>
          <t>1992-2017</t>
        </is>
      </c>
      <c r="F442" s="18" t="inlineStr">
        <is>
          <t>Incl: ACR/GTS</t>
        </is>
      </c>
      <c r="G442" s="18" t="inlineStr">
        <is>
          <t>Convertible/Coupe/Roadster</t>
        </is>
      </c>
      <c r="H442" s="18" t="inlineStr">
        <is>
          <t>3M-0</t>
        </is>
      </c>
      <c r="I442" s="19">
        <f t="array" ref="I442">TRIM(_xlfn.XLOOKUP(非皮卡压缩表[[#This Row],[BACKSIZE]],ALL尺码表[内部尺码],ALL尺码表[分类],""))</f>
        <v/>
      </c>
      <c r="J442" s="19">
        <f t="array" ref="J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2" s="20">
        <f>LEN(非皮卡压缩表[[#This Row],[LONG-TYPE]])</f>
        <v/>
      </c>
      <c r="L442" s="21">
        <f t="array" ref="L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2" s="22">
        <f>LEN(非皮卡压缩表[[#This Row],[TYPE]])</f>
        <v/>
      </c>
      <c r="N442" s="22">
        <f t="array" ref="N442">_xlfn.XLOOKUP(非皮卡压缩表[[#This Row],[MODEL]],MODEL缩写表[长MODEL],MODEL缩写表[短MODEL],非皮卡压缩表[[#This Row],[MODEL]])</f>
        <v/>
      </c>
      <c r="O442" s="22">
        <f>LEN(非皮卡压缩表[[#This Row],[SHORT-MODEL]])</f>
        <v/>
      </c>
      <c r="P442" s="11">
        <f t="array" ref="P442">TRIM(_xlfn.XLOOKUP(非皮卡压缩表[[#This Row],[BACKSIZE]],ALL尺码表[内部尺码],ALL尺码表[通用尺码]))</f>
        <v/>
      </c>
    </row>
    <row r="443">
      <c r="A443" s="17" t="inlineStr">
        <is>
          <t>ALL</t>
        </is>
      </c>
      <c r="B443" s="18" t="inlineStr">
        <is>
          <t>FIAT Fiat 500L</t>
        </is>
      </c>
      <c r="C443" s="18" t="inlineStr">
        <is>
          <t>FIAT</t>
        </is>
      </c>
      <c r="D443" s="18" t="inlineStr">
        <is>
          <t>Fiat 500L</t>
        </is>
      </c>
      <c r="E443" s="18" t="inlineStr">
        <is>
          <t>2014-2020</t>
        </is>
      </c>
      <c r="F443" s="18" t="inlineStr"/>
      <c r="G443" s="18" t="inlineStr">
        <is>
          <t>Wagon</t>
        </is>
      </c>
      <c r="H443" s="18" t="inlineStr">
        <is>
          <t>2L+</t>
        </is>
      </c>
      <c r="I443" s="19">
        <f t="array" ref="I443">TRIM(_xlfn.XLOOKUP(非皮卡压缩表[[#This Row],[BACKSIZE]],ALL尺码表[内部尺码],ALL尺码表[分类],""))</f>
        <v/>
      </c>
      <c r="J443" s="19">
        <f t="array" ref="J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3" s="20">
        <f>LEN(非皮卡压缩表[[#This Row],[LONG-TYPE]])</f>
        <v/>
      </c>
      <c r="L443" s="21">
        <f t="array" ref="L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3" s="22">
        <f>LEN(非皮卡压缩表[[#This Row],[TYPE]])</f>
        <v/>
      </c>
      <c r="N443" s="22">
        <f t="array" ref="N443">_xlfn.XLOOKUP(非皮卡压缩表[[#This Row],[MODEL]],MODEL缩写表[长MODEL],MODEL缩写表[短MODEL],非皮卡压缩表[[#This Row],[MODEL]])</f>
        <v/>
      </c>
      <c r="O443" s="22">
        <f>LEN(非皮卡压缩表[[#This Row],[SHORT-MODEL]])</f>
        <v/>
      </c>
      <c r="P443" s="11">
        <f t="array" ref="P443">TRIM(_xlfn.XLOOKUP(非皮卡压缩表[[#This Row],[BACKSIZE]],ALL尺码表[内部尺码],ALL尺码表[通用尺码]))</f>
        <v/>
      </c>
    </row>
    <row r="444">
      <c r="A444" s="17" t="inlineStr">
        <is>
          <t>ALL</t>
        </is>
      </c>
      <c r="B444" s="18" t="inlineStr">
        <is>
          <t>Fiat 124 Spider</t>
        </is>
      </c>
      <c r="C444" s="18" t="inlineStr">
        <is>
          <t>Fiat</t>
        </is>
      </c>
      <c r="D444" s="18" t="inlineStr">
        <is>
          <t>124 Spider</t>
        </is>
      </c>
      <c r="E444" s="18" t="inlineStr">
        <is>
          <t>2017-2020</t>
        </is>
      </c>
      <c r="F444" s="18" t="inlineStr">
        <is>
          <t>Abarth</t>
        </is>
      </c>
      <c r="G444" s="18" t="inlineStr">
        <is>
          <t>Convertible</t>
        </is>
      </c>
      <c r="H444" s="18" t="inlineStr">
        <is>
          <t>3S-0</t>
        </is>
      </c>
      <c r="I444" s="19">
        <f t="array" ref="I444">TRIM(_xlfn.XLOOKUP(非皮卡压缩表[[#This Row],[BACKSIZE]],ALL尺码表[内部尺码],ALL尺码表[分类],""))</f>
        <v/>
      </c>
      <c r="J444" s="19">
        <f t="array" ref="J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4" s="20">
        <f>LEN(非皮卡压缩表[[#This Row],[LONG-TYPE]])</f>
        <v/>
      </c>
      <c r="L444" s="21">
        <f t="array" ref="L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4" s="22">
        <f>LEN(非皮卡压缩表[[#This Row],[TYPE]])</f>
        <v/>
      </c>
      <c r="N444" s="22">
        <f t="array" ref="N444">_xlfn.XLOOKUP(非皮卡压缩表[[#This Row],[MODEL]],MODEL缩写表[长MODEL],MODEL缩写表[短MODEL],非皮卡压缩表[[#This Row],[MODEL]])</f>
        <v/>
      </c>
      <c r="O444" s="22">
        <f>LEN(非皮卡压缩表[[#This Row],[SHORT-MODEL]])</f>
        <v/>
      </c>
      <c r="P444" s="11">
        <f t="array" ref="P444">TRIM(_xlfn.XLOOKUP(非皮卡压缩表[[#This Row],[BACKSIZE]],ALL尺码表[内部尺码],ALL尺码表[通用尺码]))</f>
        <v/>
      </c>
    </row>
    <row r="445">
      <c r="A445" s="17" t="inlineStr">
        <is>
          <t>ALL</t>
        </is>
      </c>
      <c r="B445" s="18" t="inlineStr">
        <is>
          <t>Fiat 500</t>
        </is>
      </c>
      <c r="C445" s="18" t="inlineStr">
        <is>
          <t>Fiat</t>
        </is>
      </c>
      <c r="D445" s="18" t="inlineStr">
        <is>
          <t>500</t>
        </is>
      </c>
      <c r="E445" s="18" t="inlineStr">
        <is>
          <t>2012-2019</t>
        </is>
      </c>
      <c r="F445" s="18" t="inlineStr"/>
      <c r="G445" s="18" t="inlineStr">
        <is>
          <t>Hatchback</t>
        </is>
      </c>
      <c r="H445" s="18" t="inlineStr">
        <is>
          <t>2M</t>
        </is>
      </c>
      <c r="I445" s="19">
        <f t="array" ref="I445">TRIM(_xlfn.XLOOKUP(非皮卡压缩表[[#This Row],[BACKSIZE]],ALL尺码表[内部尺码],ALL尺码表[分类],""))</f>
        <v/>
      </c>
      <c r="J445" s="19">
        <f t="array" ref="J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5" s="20">
        <f>LEN(非皮卡压缩表[[#This Row],[LONG-TYPE]])</f>
        <v/>
      </c>
      <c r="L445" s="21">
        <f t="array" ref="L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5" s="22">
        <f>LEN(非皮卡压缩表[[#This Row],[TYPE]])</f>
        <v/>
      </c>
      <c r="N445" s="22">
        <f t="array" ref="N445">_xlfn.XLOOKUP(非皮卡压缩表[[#This Row],[MODEL]],MODEL缩写表[长MODEL],MODEL缩写表[短MODEL],非皮卡压缩表[[#This Row],[MODEL]])</f>
        <v/>
      </c>
      <c r="O445" s="22">
        <f>LEN(非皮卡压缩表[[#This Row],[SHORT-MODEL]])</f>
        <v/>
      </c>
      <c r="P445" s="11">
        <f t="array" ref="P445">TRIM(_xlfn.XLOOKUP(非皮卡压缩表[[#This Row],[BACKSIZE]],ALL尺码表[内部尺码],ALL尺码表[通用尺码]))</f>
        <v/>
      </c>
    </row>
    <row r="446">
      <c r="A446" s="17" t="inlineStr">
        <is>
          <t>ALL</t>
        </is>
      </c>
      <c r="B446" s="18" t="inlineStr">
        <is>
          <t>Fiat 500</t>
        </is>
      </c>
      <c r="C446" s="18" t="inlineStr">
        <is>
          <t>Fiat</t>
        </is>
      </c>
      <c r="D446" s="18" t="inlineStr">
        <is>
          <t>500</t>
        </is>
      </c>
      <c r="E446" s="18" t="inlineStr">
        <is>
          <t>2012-2019</t>
        </is>
      </c>
      <c r="F446" s="18" t="inlineStr">
        <is>
          <t>Incl: Abarth</t>
        </is>
      </c>
      <c r="G446" s="18" t="inlineStr">
        <is>
          <t>Convertible</t>
        </is>
      </c>
      <c r="H446" s="18" t="inlineStr">
        <is>
          <t>3S-0</t>
        </is>
      </c>
      <c r="I446" s="19">
        <f t="array" ref="I446">TRIM(_xlfn.XLOOKUP(非皮卡压缩表[[#This Row],[BACKSIZE]],ALL尺码表[内部尺码],ALL尺码表[分类],""))</f>
        <v/>
      </c>
      <c r="J446" s="19">
        <f t="array" ref="J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6" s="20">
        <f>LEN(非皮卡压缩表[[#This Row],[LONG-TYPE]])</f>
        <v/>
      </c>
      <c r="L446" s="21">
        <f t="array" ref="L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6" s="22">
        <f>LEN(非皮卡压缩表[[#This Row],[TYPE]])</f>
        <v/>
      </c>
      <c r="N446" s="22">
        <f t="array" ref="N446">_xlfn.XLOOKUP(非皮卡压缩表[[#This Row],[MODEL]],MODEL缩写表[长MODEL],MODEL缩写表[短MODEL],非皮卡压缩表[[#This Row],[MODEL]])</f>
        <v/>
      </c>
      <c r="O446" s="22">
        <f>LEN(非皮卡压缩表[[#This Row],[SHORT-MODEL]])</f>
        <v/>
      </c>
      <c r="P446" s="11">
        <f t="array" ref="P446">TRIM(_xlfn.XLOOKUP(非皮卡压缩表[[#This Row],[BACKSIZE]],ALL尺码表[内部尺码],ALL尺码表[通用尺码]))</f>
        <v/>
      </c>
    </row>
    <row r="447">
      <c r="A447" s="17" t="inlineStr">
        <is>
          <t>ALL</t>
        </is>
      </c>
      <c r="B447" s="18" t="inlineStr">
        <is>
          <t>Fiat 500X</t>
        </is>
      </c>
      <c r="C447" s="18" t="inlineStr">
        <is>
          <t>Fiat</t>
        </is>
      </c>
      <c r="D447" s="18" t="inlineStr">
        <is>
          <t>500X</t>
        </is>
      </c>
      <c r="E447" s="18" t="inlineStr">
        <is>
          <t>2016-2023</t>
        </is>
      </c>
      <c r="F447" s="18" t="inlineStr"/>
      <c r="G447" s="18" t="inlineStr">
        <is>
          <t>SUV</t>
        </is>
      </c>
      <c r="H447" s="18" t="inlineStr">
        <is>
          <t>YM+</t>
        </is>
      </c>
      <c r="I447" s="19">
        <f t="array" ref="I447">TRIM(_xlfn.XLOOKUP(非皮卡压缩表[[#This Row],[BACKSIZE]],ALL尺码表[内部尺码],ALL尺码表[分类],""))</f>
        <v/>
      </c>
      <c r="J447" s="19">
        <f t="array" ref="J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7" s="20">
        <f>LEN(非皮卡压缩表[[#This Row],[LONG-TYPE]])</f>
        <v/>
      </c>
      <c r="L447" s="21">
        <f t="array" ref="L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7" s="22">
        <f>LEN(非皮卡压缩表[[#This Row],[TYPE]])</f>
        <v/>
      </c>
      <c r="N447" s="22">
        <f t="array" ref="N447">_xlfn.XLOOKUP(非皮卡压缩表[[#This Row],[MODEL]],MODEL缩写表[长MODEL],MODEL缩写表[短MODEL],非皮卡压缩表[[#This Row],[MODEL]])</f>
        <v/>
      </c>
      <c r="O447" s="22">
        <f>LEN(非皮卡压缩表[[#This Row],[SHORT-MODEL]])</f>
        <v/>
      </c>
      <c r="P447" s="11">
        <f t="array" ref="P447">TRIM(_xlfn.XLOOKUP(非皮卡压缩表[[#This Row],[BACKSIZE]],ALL尺码表[内部尺码],ALL尺码表[通用尺码]))</f>
        <v/>
      </c>
    </row>
    <row r="448">
      <c r="A448" s="17" t="inlineStr">
        <is>
          <t>ALL</t>
        </is>
      </c>
      <c r="B448" s="18" t="inlineStr">
        <is>
          <t>Ford Bronco</t>
        </is>
      </c>
      <c r="C448" s="18" t="inlineStr">
        <is>
          <t>Ford</t>
        </is>
      </c>
      <c r="D448" s="18" t="inlineStr">
        <is>
          <t>Bronco</t>
        </is>
      </c>
      <c r="E448" s="18" t="inlineStr">
        <is>
          <t>1966-1977</t>
        </is>
      </c>
      <c r="F448" s="18" t="inlineStr"/>
      <c r="G448" s="18" t="inlineStr">
        <is>
          <t>2dr SUV</t>
        </is>
      </c>
      <c r="H448" s="18" t="inlineStr">
        <is>
          <t>无可用尺码</t>
        </is>
      </c>
      <c r="I448" s="19">
        <f t="array" ref="I448">TRIM(_xlfn.XLOOKUP(非皮卡压缩表[[#This Row],[BACKSIZE]],ALL尺码表[内部尺码],ALL尺码表[分类],""))</f>
        <v/>
      </c>
      <c r="J448" s="19">
        <f t="array" ref="J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8" s="20">
        <f>LEN(非皮卡压缩表[[#This Row],[LONG-TYPE]])</f>
        <v/>
      </c>
      <c r="L448" s="21">
        <f t="array" ref="L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8" s="22">
        <f>LEN(非皮卡压缩表[[#This Row],[TYPE]])</f>
        <v/>
      </c>
      <c r="N448" s="22">
        <f t="array" ref="N448">_xlfn.XLOOKUP(非皮卡压缩表[[#This Row],[MODEL]],MODEL缩写表[长MODEL],MODEL缩写表[短MODEL],非皮卡压缩表[[#This Row],[MODEL]])</f>
        <v/>
      </c>
      <c r="O448" s="22">
        <f>LEN(非皮卡压缩表[[#This Row],[SHORT-MODEL]])</f>
        <v/>
      </c>
      <c r="P448" s="11">
        <f t="array" ref="P448">TRIM(_xlfn.XLOOKUP(非皮卡压缩表[[#This Row],[BACKSIZE]],ALL尺码表[内部尺码],ALL尺码表[通用尺码]))</f>
        <v/>
      </c>
    </row>
    <row r="449">
      <c r="A449" s="17" t="inlineStr">
        <is>
          <t>ALL</t>
        </is>
      </c>
      <c r="B449" s="18" t="inlineStr">
        <is>
          <t>Ford Bronco</t>
        </is>
      </c>
      <c r="C449" s="18" t="inlineStr">
        <is>
          <t>Ford</t>
        </is>
      </c>
      <c r="D449" s="18" t="inlineStr">
        <is>
          <t>Bronco</t>
        </is>
      </c>
      <c r="E449" s="18" t="inlineStr">
        <is>
          <t>1978-1991</t>
        </is>
      </c>
      <c r="F449" s="18" t="inlineStr"/>
      <c r="G449" s="18" t="inlineStr">
        <is>
          <t>2dr SUV</t>
        </is>
      </c>
      <c r="H449" s="18" t="inlineStr">
        <is>
          <t>YM+</t>
        </is>
      </c>
      <c r="I449" s="19">
        <f t="array" ref="I449">TRIM(_xlfn.XLOOKUP(非皮卡压缩表[[#This Row],[BACKSIZE]],ALL尺码表[内部尺码],ALL尺码表[分类],""))</f>
        <v/>
      </c>
      <c r="J449" s="19">
        <f t="array" ref="J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9" s="20">
        <f>LEN(非皮卡压缩表[[#This Row],[LONG-TYPE]])</f>
        <v/>
      </c>
      <c r="L449" s="21">
        <f t="array" ref="L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9" s="22">
        <f>LEN(非皮卡压缩表[[#This Row],[TYPE]])</f>
        <v/>
      </c>
      <c r="N449" s="22">
        <f t="array" ref="N449">_xlfn.XLOOKUP(非皮卡压缩表[[#This Row],[MODEL]],MODEL缩写表[长MODEL],MODEL缩写表[短MODEL],非皮卡压缩表[[#This Row],[MODEL]])</f>
        <v/>
      </c>
      <c r="O449" s="22">
        <f>LEN(非皮卡压缩表[[#This Row],[SHORT-MODEL]])</f>
        <v/>
      </c>
      <c r="P449" s="11">
        <f t="array" ref="P449">TRIM(_xlfn.XLOOKUP(非皮卡压缩表[[#This Row],[BACKSIZE]],ALL尺码表[内部尺码],ALL尺码表[通用尺码]))</f>
        <v/>
      </c>
    </row>
    <row r="450">
      <c r="A450" s="17" t="inlineStr">
        <is>
          <t>ALL</t>
        </is>
      </c>
      <c r="B450" s="18" t="inlineStr">
        <is>
          <t>Ford Bronco</t>
        </is>
      </c>
      <c r="C450" s="18" t="inlineStr">
        <is>
          <t>Ford</t>
        </is>
      </c>
      <c r="D450" s="18" t="inlineStr">
        <is>
          <t>Bronco</t>
        </is>
      </c>
      <c r="E450" s="18" t="inlineStr">
        <is>
          <t>1992-1996</t>
        </is>
      </c>
      <c r="F450" s="18" t="inlineStr"/>
      <c r="G450" s="18" t="inlineStr">
        <is>
          <t>2dr SUV</t>
        </is>
      </c>
      <c r="H450" s="18" t="inlineStr">
        <is>
          <t>YL</t>
        </is>
      </c>
      <c r="I450" s="19">
        <f t="array" ref="I450">TRIM(_xlfn.XLOOKUP(非皮卡压缩表[[#This Row],[BACKSIZE]],ALL尺码表[内部尺码],ALL尺码表[分类],""))</f>
        <v/>
      </c>
      <c r="J450" s="19">
        <f t="array" ref="J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0" s="20">
        <f>LEN(非皮卡压缩表[[#This Row],[LONG-TYPE]])</f>
        <v/>
      </c>
      <c r="L450" s="21">
        <f t="array" ref="L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0" s="22">
        <f>LEN(非皮卡压缩表[[#This Row],[TYPE]])</f>
        <v/>
      </c>
      <c r="N450" s="22">
        <f t="array" ref="N450">_xlfn.XLOOKUP(非皮卡压缩表[[#This Row],[MODEL]],MODEL缩写表[长MODEL],MODEL缩写表[短MODEL],非皮卡压缩表[[#This Row],[MODEL]])</f>
        <v/>
      </c>
      <c r="O450" s="22">
        <f>LEN(非皮卡压缩表[[#This Row],[SHORT-MODEL]])</f>
        <v/>
      </c>
      <c r="P450" s="11">
        <f t="array" ref="P450">TRIM(_xlfn.XLOOKUP(非皮卡压缩表[[#This Row],[BACKSIZE]],ALL尺码表[内部尺码],ALL尺码表[通用尺码]))</f>
        <v/>
      </c>
    </row>
    <row r="451">
      <c r="A451" s="17" t="inlineStr">
        <is>
          <t>ALL</t>
        </is>
      </c>
      <c r="B451" s="18" t="inlineStr">
        <is>
          <t>Ford Bronco</t>
        </is>
      </c>
      <c r="C451" s="18" t="inlineStr">
        <is>
          <t>Ford</t>
        </is>
      </c>
      <c r="D451" s="18" t="inlineStr">
        <is>
          <t>Bronco</t>
        </is>
      </c>
      <c r="E451" s="18" t="inlineStr">
        <is>
          <t>2021-2026</t>
        </is>
      </c>
      <c r="F451" s="18" t="inlineStr"/>
      <c r="G451" s="18" t="inlineStr">
        <is>
          <t>4dr SUV</t>
        </is>
      </c>
      <c r="H451" s="18" t="inlineStr">
        <is>
          <t>YL</t>
        </is>
      </c>
      <c r="I451" s="19">
        <f t="array" ref="I451">TRIM(_xlfn.XLOOKUP(非皮卡压缩表[[#This Row],[BACKSIZE]],ALL尺码表[内部尺码],ALL尺码表[分类],""))</f>
        <v/>
      </c>
      <c r="J451" s="19">
        <f t="array" ref="J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1" s="20">
        <f>LEN(非皮卡压缩表[[#This Row],[LONG-TYPE]])</f>
        <v/>
      </c>
      <c r="L451" s="21">
        <f t="array" ref="L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1" s="22">
        <f>LEN(非皮卡压缩表[[#This Row],[TYPE]])</f>
        <v/>
      </c>
      <c r="N451" s="22">
        <f t="array" ref="N451">_xlfn.XLOOKUP(非皮卡压缩表[[#This Row],[MODEL]],MODEL缩写表[长MODEL],MODEL缩写表[短MODEL],非皮卡压缩表[[#This Row],[MODEL]])</f>
        <v/>
      </c>
      <c r="O451" s="22">
        <f>LEN(非皮卡压缩表[[#This Row],[SHORT-MODEL]])</f>
        <v/>
      </c>
      <c r="P451" s="11">
        <f t="array" ref="P451">TRIM(_xlfn.XLOOKUP(非皮卡压缩表[[#This Row],[BACKSIZE]],ALL尺码表[内部尺码],ALL尺码表[通用尺码]))</f>
        <v/>
      </c>
    </row>
    <row r="452">
      <c r="A452" s="17" t="inlineStr">
        <is>
          <t>ALL</t>
        </is>
      </c>
      <c r="B452" s="18" t="inlineStr">
        <is>
          <t>Ford Bronco</t>
        </is>
      </c>
      <c r="C452" s="18" t="inlineStr">
        <is>
          <t>Ford</t>
        </is>
      </c>
      <c r="D452" s="18" t="inlineStr">
        <is>
          <t>Bronco</t>
        </is>
      </c>
      <c r="E452" s="18" t="inlineStr">
        <is>
          <t>2022-2026</t>
        </is>
      </c>
      <c r="F452" s="18" t="inlineStr"/>
      <c r="G452" s="18" t="inlineStr">
        <is>
          <t>2dr SUV</t>
        </is>
      </c>
      <c r="H452" s="18" t="inlineStr">
        <is>
          <t>YM+</t>
        </is>
      </c>
      <c r="I452" s="19">
        <f t="array" ref="I452">TRIM(_xlfn.XLOOKUP(非皮卡压缩表[[#This Row],[BACKSIZE]],ALL尺码表[内部尺码],ALL尺码表[分类],""))</f>
        <v/>
      </c>
      <c r="J452" s="19">
        <f t="array" ref="J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2" s="20">
        <f>LEN(非皮卡压缩表[[#This Row],[LONG-TYPE]])</f>
        <v/>
      </c>
      <c r="L452" s="21">
        <f t="array" ref="L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2" s="22">
        <f>LEN(非皮卡压缩表[[#This Row],[TYPE]])</f>
        <v/>
      </c>
      <c r="N452" s="22">
        <f t="array" ref="N452">_xlfn.XLOOKUP(非皮卡压缩表[[#This Row],[MODEL]],MODEL缩写表[长MODEL],MODEL缩写表[短MODEL],非皮卡压缩表[[#This Row],[MODEL]])</f>
        <v/>
      </c>
      <c r="O452" s="22">
        <f>LEN(非皮卡压缩表[[#This Row],[SHORT-MODEL]])</f>
        <v/>
      </c>
      <c r="P452" s="11">
        <f t="array" ref="P452">TRIM(_xlfn.XLOOKUP(非皮卡压缩表[[#This Row],[BACKSIZE]],ALL尺码表[内部尺码],ALL尺码表[通用尺码]))</f>
        <v/>
      </c>
    </row>
    <row r="453">
      <c r="A453" s="17" t="inlineStr">
        <is>
          <t>ALL</t>
        </is>
      </c>
      <c r="B453" s="18" t="inlineStr">
        <is>
          <t>Ford Bronco</t>
        </is>
      </c>
      <c r="C453" s="18" t="inlineStr">
        <is>
          <t>Ford</t>
        </is>
      </c>
      <c r="D453" s="18" t="inlineStr">
        <is>
          <t>Bronco</t>
        </is>
      </c>
      <c r="E453" s="18" t="inlineStr">
        <is>
          <t>2022-2026</t>
        </is>
      </c>
      <c r="F453" s="18" t="inlineStr">
        <is>
          <t>Raptor</t>
        </is>
      </c>
      <c r="G453" s="18" t="inlineStr">
        <is>
          <t>4dr SUV</t>
        </is>
      </c>
      <c r="H453" s="18" t="inlineStr">
        <is>
          <t>YXL</t>
        </is>
      </c>
      <c r="I453" s="19">
        <f t="array" ref="I453">TRIM(_xlfn.XLOOKUP(非皮卡压缩表[[#This Row],[BACKSIZE]],ALL尺码表[内部尺码],ALL尺码表[分类],""))</f>
        <v/>
      </c>
      <c r="J453" s="19">
        <f t="array" ref="J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3" s="20">
        <f>LEN(非皮卡压缩表[[#This Row],[LONG-TYPE]])</f>
        <v/>
      </c>
      <c r="L453" s="21">
        <f t="array" ref="L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3" s="22">
        <f>LEN(非皮卡压缩表[[#This Row],[TYPE]])</f>
        <v/>
      </c>
      <c r="N453" s="22">
        <f t="array" ref="N453">_xlfn.XLOOKUP(非皮卡压缩表[[#This Row],[MODEL]],MODEL缩写表[长MODEL],MODEL缩写表[短MODEL],非皮卡压缩表[[#This Row],[MODEL]])</f>
        <v/>
      </c>
      <c r="O453" s="22">
        <f>LEN(非皮卡压缩表[[#This Row],[SHORT-MODEL]])</f>
        <v/>
      </c>
      <c r="P453" s="11">
        <f t="array" ref="P453">TRIM(_xlfn.XLOOKUP(非皮卡压缩表[[#This Row],[BACKSIZE]],ALL尺码表[内部尺码],ALL尺码表[通用尺码]))</f>
        <v/>
      </c>
    </row>
    <row r="454">
      <c r="A454" s="17" t="inlineStr">
        <is>
          <t>ALL</t>
        </is>
      </c>
      <c r="B454" s="18" t="inlineStr">
        <is>
          <t>Ford Bronco Sport</t>
        </is>
      </c>
      <c r="C454" s="18" t="inlineStr">
        <is>
          <t>Ford</t>
        </is>
      </c>
      <c r="D454" s="18" t="inlineStr">
        <is>
          <t>Bronco Sport</t>
        </is>
      </c>
      <c r="E454" s="18" t="inlineStr">
        <is>
          <t>2021-2026</t>
        </is>
      </c>
      <c r="F454" s="18" t="inlineStr">
        <is>
          <t>Incl: Badlands</t>
        </is>
      </c>
      <c r="G454" s="18" t="inlineStr">
        <is>
          <t>4dr SUV</t>
        </is>
      </c>
      <c r="H454" s="18" t="inlineStr">
        <is>
          <t>YM+</t>
        </is>
      </c>
      <c r="I454" s="19">
        <f t="array" ref="I454">TRIM(_xlfn.XLOOKUP(非皮卡压缩表[[#This Row],[BACKSIZE]],ALL尺码表[内部尺码],ALL尺码表[分类],""))</f>
        <v/>
      </c>
      <c r="J454" s="19">
        <f t="array" ref="J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4" s="20">
        <f>LEN(非皮卡压缩表[[#This Row],[LONG-TYPE]])</f>
        <v/>
      </c>
      <c r="L454" s="21">
        <f t="array" ref="L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4" s="22">
        <f>LEN(非皮卡压缩表[[#This Row],[TYPE]])</f>
        <v/>
      </c>
      <c r="N454" s="22">
        <f t="array" ref="N454">_xlfn.XLOOKUP(非皮卡压缩表[[#This Row],[MODEL]],MODEL缩写表[长MODEL],MODEL缩写表[短MODEL],非皮卡压缩表[[#This Row],[MODEL]])</f>
        <v/>
      </c>
      <c r="O454" s="22">
        <f>LEN(非皮卡压缩表[[#This Row],[SHORT-MODEL]])</f>
        <v/>
      </c>
      <c r="P454" s="11">
        <f t="array" ref="P454">TRIM(_xlfn.XLOOKUP(非皮卡压缩表[[#This Row],[BACKSIZE]],ALL尺码表[内部尺码],ALL尺码表[通用尺码]))</f>
        <v/>
      </c>
    </row>
    <row r="455">
      <c r="A455" s="17" t="inlineStr">
        <is>
          <t>ALL</t>
        </is>
      </c>
      <c r="B455" s="18" t="inlineStr">
        <is>
          <t>Ford C-MAX</t>
        </is>
      </c>
      <c r="C455" s="18" t="inlineStr">
        <is>
          <t>Ford</t>
        </is>
      </c>
      <c r="D455" s="18" t="inlineStr">
        <is>
          <t>C-MAX</t>
        </is>
      </c>
      <c r="E455" s="18" t="inlineStr">
        <is>
          <t>2013-2018</t>
        </is>
      </c>
      <c r="F455" s="18" t="inlineStr">
        <is>
          <t>Incl: PHEV</t>
        </is>
      </c>
      <c r="G455" s="18" t="inlineStr">
        <is>
          <t>Hatchback</t>
        </is>
      </c>
      <c r="H455" s="18" t="inlineStr">
        <is>
          <t>2L+</t>
        </is>
      </c>
      <c r="I455" s="19">
        <f t="array" ref="I455">TRIM(_xlfn.XLOOKUP(非皮卡压缩表[[#This Row],[BACKSIZE]],ALL尺码表[内部尺码],ALL尺码表[分类],""))</f>
        <v/>
      </c>
      <c r="J455" s="19">
        <f t="array" ref="J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5" s="20">
        <f>LEN(非皮卡压缩表[[#This Row],[LONG-TYPE]])</f>
        <v/>
      </c>
      <c r="L455" s="21">
        <f t="array" ref="L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5" s="22">
        <f>LEN(非皮卡压缩表[[#This Row],[TYPE]])</f>
        <v/>
      </c>
      <c r="N455" s="22">
        <f t="array" ref="N455">_xlfn.XLOOKUP(非皮卡压缩表[[#This Row],[MODEL]],MODEL缩写表[长MODEL],MODEL缩写表[短MODEL],非皮卡压缩表[[#This Row],[MODEL]])</f>
        <v/>
      </c>
      <c r="O455" s="22">
        <f>LEN(非皮卡压缩表[[#This Row],[SHORT-MODEL]])</f>
        <v/>
      </c>
      <c r="P455" s="11">
        <f t="array" ref="P455">TRIM(_xlfn.XLOOKUP(非皮卡压缩表[[#This Row],[BACKSIZE]],ALL尺码表[内部尺码],ALL尺码表[通用尺码]))</f>
        <v/>
      </c>
    </row>
    <row r="456">
      <c r="A456" s="17" t="inlineStr">
        <is>
          <t>ALL</t>
        </is>
      </c>
      <c r="B456" s="18" t="inlineStr">
        <is>
          <t>Ford Crown Victoria</t>
        </is>
      </c>
      <c r="C456" s="18" t="inlineStr">
        <is>
          <t>Ford</t>
        </is>
      </c>
      <c r="D456" s="18" t="inlineStr">
        <is>
          <t>Crown Victoria</t>
        </is>
      </c>
      <c r="E456" s="18" t="inlineStr">
        <is>
          <t>1983-2011</t>
        </is>
      </c>
      <c r="F456" s="18" t="inlineStr"/>
      <c r="G456" s="18" t="inlineStr">
        <is>
          <t>Sedan</t>
        </is>
      </c>
      <c r="H456" s="18" t="inlineStr">
        <is>
          <t>3XXXL</t>
        </is>
      </c>
      <c r="I456" s="19">
        <f t="array" ref="I456">TRIM(_xlfn.XLOOKUP(非皮卡压缩表[[#This Row],[BACKSIZE]],ALL尺码表[内部尺码],ALL尺码表[分类],""))</f>
        <v/>
      </c>
      <c r="J456" s="19">
        <f t="array" ref="J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6" s="20">
        <f>LEN(非皮卡压缩表[[#This Row],[LONG-TYPE]])</f>
        <v/>
      </c>
      <c r="L456" s="21">
        <f t="array" ref="L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6" s="22">
        <f>LEN(非皮卡压缩表[[#This Row],[TYPE]])</f>
        <v/>
      </c>
      <c r="N456" s="22">
        <f t="array" ref="N456">_xlfn.XLOOKUP(非皮卡压缩表[[#This Row],[MODEL]],MODEL缩写表[长MODEL],MODEL缩写表[短MODEL],非皮卡压缩表[[#This Row],[MODEL]])</f>
        <v/>
      </c>
      <c r="O456" s="22">
        <f>LEN(非皮卡压缩表[[#This Row],[SHORT-MODEL]])</f>
        <v/>
      </c>
      <c r="P456" s="11">
        <f t="array" ref="P456">TRIM(_xlfn.XLOOKUP(非皮卡压缩表[[#This Row],[BACKSIZE]],ALL尺码表[内部尺码],ALL尺码表[通用尺码]))</f>
        <v/>
      </c>
    </row>
    <row r="457">
      <c r="A457" s="17" t="inlineStr">
        <is>
          <t>ALL</t>
        </is>
      </c>
      <c r="B457" s="18" t="inlineStr">
        <is>
          <t>Ford EcoSport</t>
        </is>
      </c>
      <c r="C457" s="18" t="inlineStr">
        <is>
          <t>Ford</t>
        </is>
      </c>
      <c r="D457" s="18" t="inlineStr">
        <is>
          <t>EcoSport</t>
        </is>
      </c>
      <c r="E457" s="18" t="inlineStr">
        <is>
          <t>2018-2022</t>
        </is>
      </c>
      <c r="F457" s="18" t="inlineStr"/>
      <c r="G457" s="18" t="inlineStr">
        <is>
          <t>SUV</t>
        </is>
      </c>
      <c r="H457" s="18" t="inlineStr">
        <is>
          <t>YM+</t>
        </is>
      </c>
      <c r="I457" s="19">
        <f t="array" ref="I457">TRIM(_xlfn.XLOOKUP(非皮卡压缩表[[#This Row],[BACKSIZE]],ALL尺码表[内部尺码],ALL尺码表[分类],""))</f>
        <v/>
      </c>
      <c r="J457" s="19">
        <f t="array" ref="J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7" s="20">
        <f>LEN(非皮卡压缩表[[#This Row],[LONG-TYPE]])</f>
        <v/>
      </c>
      <c r="L457" s="21">
        <f t="array" ref="L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7" s="22">
        <f>LEN(非皮卡压缩表[[#This Row],[TYPE]])</f>
        <v/>
      </c>
      <c r="N457" s="22">
        <f t="array" ref="N457">_xlfn.XLOOKUP(非皮卡压缩表[[#This Row],[MODEL]],MODEL缩写表[长MODEL],MODEL缩写表[短MODEL],非皮卡压缩表[[#This Row],[MODEL]])</f>
        <v/>
      </c>
      <c r="O457" s="22">
        <f>LEN(非皮卡压缩表[[#This Row],[SHORT-MODEL]])</f>
        <v/>
      </c>
      <c r="P457" s="11">
        <f t="array" ref="P457">TRIM(_xlfn.XLOOKUP(非皮卡压缩表[[#This Row],[BACKSIZE]],ALL尺码表[内部尺码],ALL尺码表[通用尺码]))</f>
        <v/>
      </c>
    </row>
    <row r="458">
      <c r="A458" s="17" t="inlineStr">
        <is>
          <t>ALL</t>
        </is>
      </c>
      <c r="B458" s="18" t="inlineStr">
        <is>
          <t>Ford Edge</t>
        </is>
      </c>
      <c r="C458" s="18" t="inlineStr">
        <is>
          <t>Ford</t>
        </is>
      </c>
      <c r="D458" s="18" t="inlineStr">
        <is>
          <t>Edge</t>
        </is>
      </c>
      <c r="E458" s="18" t="inlineStr">
        <is>
          <t>2007-2024</t>
        </is>
      </c>
      <c r="F458" s="18" t="inlineStr"/>
      <c r="G458" s="18" t="inlineStr">
        <is>
          <t>SUV</t>
        </is>
      </c>
      <c r="H458" s="18" t="inlineStr">
        <is>
          <t>YL</t>
        </is>
      </c>
      <c r="I458" s="19">
        <f t="array" ref="I458">TRIM(_xlfn.XLOOKUP(非皮卡压缩表[[#This Row],[BACKSIZE]],ALL尺码表[内部尺码],ALL尺码表[分类],""))</f>
        <v/>
      </c>
      <c r="J458" s="19">
        <f t="array" ref="J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8" s="20">
        <f>LEN(非皮卡压缩表[[#This Row],[LONG-TYPE]])</f>
        <v/>
      </c>
      <c r="L458" s="21">
        <f t="array" ref="L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8" s="22">
        <f>LEN(非皮卡压缩表[[#This Row],[TYPE]])</f>
        <v/>
      </c>
      <c r="N458" s="22">
        <f t="array" ref="N458">_xlfn.XLOOKUP(非皮卡压缩表[[#This Row],[MODEL]],MODEL缩写表[长MODEL],MODEL缩写表[短MODEL],非皮卡压缩表[[#This Row],[MODEL]])</f>
        <v/>
      </c>
      <c r="O458" s="22">
        <f>LEN(非皮卡压缩表[[#This Row],[SHORT-MODEL]])</f>
        <v/>
      </c>
      <c r="P458" s="11">
        <f t="array" ref="P458">TRIM(_xlfn.XLOOKUP(非皮卡压缩表[[#This Row],[BACKSIZE]],ALL尺码表[内部尺码],ALL尺码表[通用尺码]))</f>
        <v/>
      </c>
    </row>
    <row r="459">
      <c r="A459" s="17" t="inlineStr">
        <is>
          <t>ALL</t>
        </is>
      </c>
      <c r="B459" s="18" t="inlineStr">
        <is>
          <t>Ford Escape</t>
        </is>
      </c>
      <c r="C459" s="18" t="inlineStr">
        <is>
          <t>Ford</t>
        </is>
      </c>
      <c r="D459" s="18" t="inlineStr">
        <is>
          <t>Escape</t>
        </is>
      </c>
      <c r="E459" s="18" t="inlineStr">
        <is>
          <t>2001-2019</t>
        </is>
      </c>
      <c r="F459" s="18" t="inlineStr"/>
      <c r="G459" s="18" t="inlineStr">
        <is>
          <t>SUV</t>
        </is>
      </c>
      <c r="H459" s="18" t="inlineStr">
        <is>
          <t>YM+</t>
        </is>
      </c>
      <c r="I459" s="19">
        <f t="array" ref="I459">TRIM(_xlfn.XLOOKUP(非皮卡压缩表[[#This Row],[BACKSIZE]],ALL尺码表[内部尺码],ALL尺码表[分类],""))</f>
        <v/>
      </c>
      <c r="J459" s="19">
        <f t="array" ref="J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9" s="20">
        <f>LEN(非皮卡压缩表[[#This Row],[LONG-TYPE]])</f>
        <v/>
      </c>
      <c r="L459" s="21">
        <f t="array" ref="L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9" s="22">
        <f>LEN(非皮卡压缩表[[#This Row],[TYPE]])</f>
        <v/>
      </c>
      <c r="N459" s="22">
        <f t="array" ref="N459">_xlfn.XLOOKUP(非皮卡压缩表[[#This Row],[MODEL]],MODEL缩写表[长MODEL],MODEL缩写表[短MODEL],非皮卡压缩表[[#This Row],[MODEL]])</f>
        <v/>
      </c>
      <c r="O459" s="22">
        <f>LEN(非皮卡压缩表[[#This Row],[SHORT-MODEL]])</f>
        <v/>
      </c>
      <c r="P459" s="11">
        <f t="array" ref="P459">TRIM(_xlfn.XLOOKUP(非皮卡压缩表[[#This Row],[BACKSIZE]],ALL尺码表[内部尺码],ALL尺码表[通用尺码]))</f>
        <v/>
      </c>
    </row>
    <row r="460">
      <c r="A460" s="17" t="inlineStr">
        <is>
          <t>ALL</t>
        </is>
      </c>
      <c r="B460" s="18" t="inlineStr">
        <is>
          <t>Ford Escape</t>
        </is>
      </c>
      <c r="C460" s="18" t="inlineStr">
        <is>
          <t>Ford</t>
        </is>
      </c>
      <c r="D460" s="18" t="inlineStr">
        <is>
          <t>Escape</t>
        </is>
      </c>
      <c r="E460" s="18" t="inlineStr">
        <is>
          <t>2020-2022</t>
        </is>
      </c>
      <c r="F460" s="18" t="inlineStr"/>
      <c r="G460" s="18" t="inlineStr">
        <is>
          <t>SUV</t>
        </is>
      </c>
      <c r="H460" s="18" t="inlineStr">
        <is>
          <t>YL</t>
        </is>
      </c>
      <c r="I460" s="19">
        <f t="array" ref="I460">TRIM(_xlfn.XLOOKUP(非皮卡压缩表[[#This Row],[BACKSIZE]],ALL尺码表[内部尺码],ALL尺码表[分类],""))</f>
        <v/>
      </c>
      <c r="J460" s="19">
        <f t="array" ref="J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0" s="20">
        <f>LEN(非皮卡压缩表[[#This Row],[LONG-TYPE]])</f>
        <v/>
      </c>
      <c r="L460" s="21">
        <f t="array" ref="L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0" s="22">
        <f>LEN(非皮卡压缩表[[#This Row],[TYPE]])</f>
        <v/>
      </c>
      <c r="N460" s="22">
        <f t="array" ref="N460">_xlfn.XLOOKUP(非皮卡压缩表[[#This Row],[MODEL]],MODEL缩写表[长MODEL],MODEL缩写表[短MODEL],非皮卡压缩表[[#This Row],[MODEL]])</f>
        <v/>
      </c>
      <c r="O460" s="22">
        <f>LEN(非皮卡压缩表[[#This Row],[SHORT-MODEL]])</f>
        <v/>
      </c>
      <c r="P460" s="11">
        <f t="array" ref="P460">TRIM(_xlfn.XLOOKUP(非皮卡压缩表[[#This Row],[BACKSIZE]],ALL尺码表[内部尺码],ALL尺码表[通用尺码]))</f>
        <v/>
      </c>
    </row>
    <row r="461">
      <c r="A461" s="17" t="inlineStr">
        <is>
          <t>ALL</t>
        </is>
      </c>
      <c r="B461" s="18" t="inlineStr">
        <is>
          <t>Ford Escape</t>
        </is>
      </c>
      <c r="C461" s="18" t="inlineStr">
        <is>
          <t>Ford</t>
        </is>
      </c>
      <c r="D461" s="18" t="inlineStr">
        <is>
          <t>Escape</t>
        </is>
      </c>
      <c r="E461" s="18" t="inlineStr">
        <is>
          <t>2023-2026</t>
        </is>
      </c>
      <c r="F461" s="18" t="inlineStr"/>
      <c r="G461" s="18" t="inlineStr">
        <is>
          <t>SUV</t>
        </is>
      </c>
      <c r="H461" s="18" t="inlineStr">
        <is>
          <t>YM+</t>
        </is>
      </c>
      <c r="I461" s="19">
        <f t="array" ref="I461">TRIM(_xlfn.XLOOKUP(非皮卡压缩表[[#This Row],[BACKSIZE]],ALL尺码表[内部尺码],ALL尺码表[分类],""))</f>
        <v/>
      </c>
      <c r="J461" s="19">
        <f t="array" ref="J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1" s="20">
        <f>LEN(非皮卡压缩表[[#This Row],[LONG-TYPE]])</f>
        <v/>
      </c>
      <c r="L461" s="21">
        <f t="array" ref="L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1" s="22">
        <f>LEN(非皮卡压缩表[[#This Row],[TYPE]])</f>
        <v/>
      </c>
      <c r="N461" s="22">
        <f t="array" ref="N461">_xlfn.XLOOKUP(非皮卡压缩表[[#This Row],[MODEL]],MODEL缩写表[长MODEL],MODEL缩写表[短MODEL],非皮卡压缩表[[#This Row],[MODEL]])</f>
        <v/>
      </c>
      <c r="O461" s="22">
        <f>LEN(非皮卡压缩表[[#This Row],[SHORT-MODEL]])</f>
        <v/>
      </c>
      <c r="P461" s="11">
        <f t="array" ref="P461">TRIM(_xlfn.XLOOKUP(非皮卡压缩表[[#This Row],[BACKSIZE]],ALL尺码表[内部尺码],ALL尺码表[通用尺码]))</f>
        <v/>
      </c>
    </row>
    <row r="462">
      <c r="A462" s="17" t="inlineStr">
        <is>
          <t>ALL</t>
        </is>
      </c>
      <c r="B462" s="18" t="inlineStr">
        <is>
          <t>Ford Escort</t>
        </is>
      </c>
      <c r="C462" s="18" t="inlineStr">
        <is>
          <t>Ford</t>
        </is>
      </c>
      <c r="D462" s="18" t="inlineStr">
        <is>
          <t>Escort</t>
        </is>
      </c>
      <c r="E462" s="18" t="inlineStr">
        <is>
          <t>1981-1999</t>
        </is>
      </c>
      <c r="F462" s="18" t="inlineStr"/>
      <c r="G462" s="18" t="inlineStr">
        <is>
          <t>Hatchback/Wagon</t>
        </is>
      </c>
      <c r="H462" s="18" t="inlineStr">
        <is>
          <t>2L+</t>
        </is>
      </c>
      <c r="I462" s="19">
        <f t="array" ref="I462">TRIM(_xlfn.XLOOKUP(非皮卡压缩表[[#This Row],[BACKSIZE]],ALL尺码表[内部尺码],ALL尺码表[分类],""))</f>
        <v/>
      </c>
      <c r="J462" s="19">
        <f t="array" ref="J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2" s="20">
        <f>LEN(非皮卡压缩表[[#This Row],[LONG-TYPE]])</f>
        <v/>
      </c>
      <c r="L462" s="21">
        <f t="array" ref="L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2" s="22">
        <f>LEN(非皮卡压缩表[[#This Row],[TYPE]])</f>
        <v/>
      </c>
      <c r="N462" s="22">
        <f t="array" ref="N462">_xlfn.XLOOKUP(非皮卡压缩表[[#This Row],[MODEL]],MODEL缩写表[长MODEL],MODEL缩写表[短MODEL],非皮卡压缩表[[#This Row],[MODEL]])</f>
        <v/>
      </c>
      <c r="O462" s="22">
        <f>LEN(非皮卡压缩表[[#This Row],[SHORT-MODEL]])</f>
        <v/>
      </c>
      <c r="P462" s="11">
        <f t="array" ref="P462">TRIM(_xlfn.XLOOKUP(非皮卡压缩表[[#This Row],[BACKSIZE]],ALL尺码表[内部尺码],ALL尺码表[通用尺码]))</f>
        <v/>
      </c>
    </row>
    <row r="463">
      <c r="A463" s="17" t="inlineStr">
        <is>
          <t>ALL</t>
        </is>
      </c>
      <c r="B463" s="18" t="inlineStr">
        <is>
          <t>Ford Escort</t>
        </is>
      </c>
      <c r="C463" s="18" t="inlineStr">
        <is>
          <t>Ford</t>
        </is>
      </c>
      <c r="D463" s="18" t="inlineStr">
        <is>
          <t>Escort</t>
        </is>
      </c>
      <c r="E463" s="18" t="inlineStr">
        <is>
          <t>1981-2002</t>
        </is>
      </c>
      <c r="F463" s="18" t="inlineStr"/>
      <c r="G463" s="18" t="inlineStr">
        <is>
          <t>Sedan</t>
        </is>
      </c>
      <c r="H463" s="18" t="inlineStr">
        <is>
          <t>3L</t>
        </is>
      </c>
      <c r="I463" s="19">
        <f t="array" ref="I463">TRIM(_xlfn.XLOOKUP(非皮卡压缩表[[#This Row],[BACKSIZE]],ALL尺码表[内部尺码],ALL尺码表[分类],""))</f>
        <v/>
      </c>
      <c r="J463" s="19">
        <f t="array" ref="J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3" s="20">
        <f>LEN(非皮卡压缩表[[#This Row],[LONG-TYPE]])</f>
        <v/>
      </c>
      <c r="L463" s="21">
        <f t="array" ref="L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3" s="22">
        <f>LEN(非皮卡压缩表[[#This Row],[TYPE]])</f>
        <v/>
      </c>
      <c r="N463" s="22">
        <f t="array" ref="N463">_xlfn.XLOOKUP(非皮卡压缩表[[#This Row],[MODEL]],MODEL缩写表[长MODEL],MODEL缩写表[短MODEL],非皮卡压缩表[[#This Row],[MODEL]])</f>
        <v/>
      </c>
      <c r="O463" s="22">
        <f>LEN(非皮卡压缩表[[#This Row],[SHORT-MODEL]])</f>
        <v/>
      </c>
      <c r="P463" s="11">
        <f t="array" ref="P463">TRIM(_xlfn.XLOOKUP(非皮卡压缩表[[#This Row],[BACKSIZE]],ALL尺码表[内部尺码],ALL尺码表[通用尺码]))</f>
        <v/>
      </c>
    </row>
    <row r="464">
      <c r="A464" s="17" t="inlineStr">
        <is>
          <t>ALL</t>
        </is>
      </c>
      <c r="B464" s="18" t="inlineStr">
        <is>
          <t>Ford Escort</t>
        </is>
      </c>
      <c r="C464" s="18" t="inlineStr">
        <is>
          <t>Ford</t>
        </is>
      </c>
      <c r="D464" s="18" t="inlineStr">
        <is>
          <t>Escort</t>
        </is>
      </c>
      <c r="E464" s="18" t="inlineStr">
        <is>
          <t>1998-2003</t>
        </is>
      </c>
      <c r="F464" s="18" t="inlineStr">
        <is>
          <t>ZX2</t>
        </is>
      </c>
      <c r="G464" s="18" t="inlineStr">
        <is>
          <t>Coupe</t>
        </is>
      </c>
      <c r="H464" s="18" t="inlineStr">
        <is>
          <t>3M-0</t>
        </is>
      </c>
      <c r="I464" s="19">
        <f t="array" ref="I464">TRIM(_xlfn.XLOOKUP(非皮卡压缩表[[#This Row],[BACKSIZE]],ALL尺码表[内部尺码],ALL尺码表[分类],""))</f>
        <v/>
      </c>
      <c r="J464" s="19">
        <f t="array" ref="J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4" s="20">
        <f>LEN(非皮卡压缩表[[#This Row],[LONG-TYPE]])</f>
        <v/>
      </c>
      <c r="L464" s="21">
        <f t="array" ref="L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4" s="22">
        <f>LEN(非皮卡压缩表[[#This Row],[TYPE]])</f>
        <v/>
      </c>
      <c r="N464" s="22">
        <f t="array" ref="N464">_xlfn.XLOOKUP(非皮卡压缩表[[#This Row],[MODEL]],MODEL缩写表[长MODEL],MODEL缩写表[短MODEL],非皮卡压缩表[[#This Row],[MODEL]])</f>
        <v/>
      </c>
      <c r="O464" s="22">
        <f>LEN(非皮卡压缩表[[#This Row],[SHORT-MODEL]])</f>
        <v/>
      </c>
      <c r="P464" s="11">
        <f t="array" ref="P464">TRIM(_xlfn.XLOOKUP(非皮卡压缩表[[#This Row],[BACKSIZE]],ALL尺码表[内部尺码],ALL尺码表[通用尺码]))</f>
        <v/>
      </c>
    </row>
    <row r="465">
      <c r="A465" s="17" t="inlineStr">
        <is>
          <t>ALL</t>
        </is>
      </c>
      <c r="B465" s="18" t="inlineStr">
        <is>
          <t>Ford Excursion</t>
        </is>
      </c>
      <c r="C465" s="18" t="inlineStr">
        <is>
          <t>Ford</t>
        </is>
      </c>
      <c r="D465" s="18" t="inlineStr">
        <is>
          <t>Excursion</t>
        </is>
      </c>
      <c r="E465" s="18" t="inlineStr">
        <is>
          <t>2000-2005</t>
        </is>
      </c>
      <c r="F465" s="18" t="inlineStr"/>
      <c r="G465" s="18" t="inlineStr">
        <is>
          <t>SUV</t>
        </is>
      </c>
      <c r="H465" s="18" t="inlineStr">
        <is>
          <t>YXXL-585</t>
        </is>
      </c>
      <c r="I465" s="19">
        <f t="array" ref="I465">TRIM(_xlfn.XLOOKUP(非皮卡压缩表[[#This Row],[BACKSIZE]],ALL尺码表[内部尺码],ALL尺码表[分类],""))</f>
        <v/>
      </c>
      <c r="J465" s="19">
        <f t="array" ref="J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5" s="20">
        <f>LEN(非皮卡压缩表[[#This Row],[LONG-TYPE]])</f>
        <v/>
      </c>
      <c r="L465" s="21">
        <f t="array" ref="L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5" s="22">
        <f>LEN(非皮卡压缩表[[#This Row],[TYPE]])</f>
        <v/>
      </c>
      <c r="N465" s="22">
        <f t="array" ref="N465">_xlfn.XLOOKUP(非皮卡压缩表[[#This Row],[MODEL]],MODEL缩写表[长MODEL],MODEL缩写表[短MODEL],非皮卡压缩表[[#This Row],[MODEL]])</f>
        <v/>
      </c>
      <c r="O465" s="22">
        <f>LEN(非皮卡压缩表[[#This Row],[SHORT-MODEL]])</f>
        <v/>
      </c>
      <c r="P465" s="11">
        <f t="array" ref="P465">TRIM(_xlfn.XLOOKUP(非皮卡压缩表[[#This Row],[BACKSIZE]],ALL尺码表[内部尺码],ALL尺码表[通用尺码]))</f>
        <v/>
      </c>
    </row>
    <row r="466">
      <c r="A466" s="17" t="inlineStr">
        <is>
          <t>ALL</t>
        </is>
      </c>
      <c r="B466" s="18" t="inlineStr">
        <is>
          <t>Ford Expedition</t>
        </is>
      </c>
      <c r="C466" s="18" t="inlineStr">
        <is>
          <t>Ford</t>
        </is>
      </c>
      <c r="D466" s="18" t="inlineStr">
        <is>
          <t>Expedition</t>
        </is>
      </c>
      <c r="E466" s="18" t="inlineStr">
        <is>
          <t>1997-2017</t>
        </is>
      </c>
      <c r="F466" s="18" t="inlineStr"/>
      <c r="G466" s="18" t="inlineStr">
        <is>
          <t>SUV</t>
        </is>
      </c>
      <c r="H466" s="18" t="inlineStr">
        <is>
          <t>YXXL</t>
        </is>
      </c>
      <c r="I466" s="19">
        <f t="array" ref="I466">TRIM(_xlfn.XLOOKUP(非皮卡压缩表[[#This Row],[BACKSIZE]],ALL尺码表[内部尺码],ALL尺码表[分类],""))</f>
        <v/>
      </c>
      <c r="J466" s="19">
        <f t="array" ref="J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6" s="20">
        <f>LEN(非皮卡压缩表[[#This Row],[LONG-TYPE]])</f>
        <v/>
      </c>
      <c r="L466" s="21">
        <f t="array" ref="L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6" s="22">
        <f>LEN(非皮卡压缩表[[#This Row],[TYPE]])</f>
        <v/>
      </c>
      <c r="N466" s="22">
        <f t="array" ref="N466">_xlfn.XLOOKUP(非皮卡压缩表[[#This Row],[MODEL]],MODEL缩写表[长MODEL],MODEL缩写表[短MODEL],非皮卡压缩表[[#This Row],[MODEL]])</f>
        <v/>
      </c>
      <c r="O466" s="22">
        <f>LEN(非皮卡压缩表[[#This Row],[SHORT-MODEL]])</f>
        <v/>
      </c>
      <c r="P466" s="11">
        <f t="array" ref="P466">TRIM(_xlfn.XLOOKUP(非皮卡压缩表[[#This Row],[BACKSIZE]],ALL尺码表[内部尺码],ALL尺码表[通用尺码]))</f>
        <v/>
      </c>
    </row>
    <row r="467">
      <c r="A467" s="17" t="inlineStr">
        <is>
          <t>ALL</t>
        </is>
      </c>
      <c r="B467" s="18" t="inlineStr">
        <is>
          <t>Ford Expedition</t>
        </is>
      </c>
      <c r="C467" s="18" t="inlineStr">
        <is>
          <t>Ford</t>
        </is>
      </c>
      <c r="D467" s="18" t="inlineStr">
        <is>
          <t>Expedition</t>
        </is>
      </c>
      <c r="E467" s="18" t="inlineStr">
        <is>
          <t>2007-2026</t>
        </is>
      </c>
      <c r="F467" s="18" t="inlineStr">
        <is>
          <t>EL/MAX</t>
        </is>
      </c>
      <c r="G467" s="18" t="inlineStr">
        <is>
          <t>SUV</t>
        </is>
      </c>
      <c r="H467" s="18" t="inlineStr">
        <is>
          <t>YXXL-585</t>
        </is>
      </c>
      <c r="I467" s="19">
        <f t="array" ref="I467">TRIM(_xlfn.XLOOKUP(非皮卡压缩表[[#This Row],[BACKSIZE]],ALL尺码表[内部尺码],ALL尺码表[分类],""))</f>
        <v/>
      </c>
      <c r="J467" s="19">
        <f t="array" ref="J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7" s="20">
        <f>LEN(非皮卡压缩表[[#This Row],[LONG-TYPE]])</f>
        <v/>
      </c>
      <c r="L467" s="21">
        <f t="array" ref="L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7" s="22">
        <f>LEN(非皮卡压缩表[[#This Row],[TYPE]])</f>
        <v/>
      </c>
      <c r="N467" s="22">
        <f t="array" ref="N467">_xlfn.XLOOKUP(非皮卡压缩表[[#This Row],[MODEL]],MODEL缩写表[长MODEL],MODEL缩写表[短MODEL],非皮卡压缩表[[#This Row],[MODEL]])</f>
        <v/>
      </c>
      <c r="O467" s="22">
        <f>LEN(非皮卡压缩表[[#This Row],[SHORT-MODEL]])</f>
        <v/>
      </c>
      <c r="P467" s="11">
        <f t="array" ref="P467">TRIM(_xlfn.XLOOKUP(非皮卡压缩表[[#This Row],[BACKSIZE]],ALL尺码表[内部尺码],ALL尺码表[通用尺码]))</f>
        <v/>
      </c>
    </row>
    <row r="468">
      <c r="A468" s="17" t="inlineStr">
        <is>
          <t>ALL</t>
        </is>
      </c>
      <c r="B468" s="18" t="inlineStr">
        <is>
          <t>Ford Expedition</t>
        </is>
      </c>
      <c r="C468" s="18" t="inlineStr">
        <is>
          <t>Ford</t>
        </is>
      </c>
      <c r="D468" s="18" t="inlineStr">
        <is>
          <t>Expedition</t>
        </is>
      </c>
      <c r="E468" s="18" t="inlineStr">
        <is>
          <t>2018-2026</t>
        </is>
      </c>
      <c r="F468" s="18" t="inlineStr">
        <is>
          <t>Incl: Tremor</t>
        </is>
      </c>
      <c r="G468" s="18" t="inlineStr">
        <is>
          <t>SUV</t>
        </is>
      </c>
      <c r="H468" s="18" t="inlineStr">
        <is>
          <t>YXXL-545</t>
        </is>
      </c>
      <c r="I468" s="19">
        <f t="array" ref="I468">TRIM(_xlfn.XLOOKUP(非皮卡压缩表[[#This Row],[BACKSIZE]],ALL尺码表[内部尺码],ALL尺码表[分类],""))</f>
        <v/>
      </c>
      <c r="J468" s="19">
        <f t="array" ref="J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8" s="20">
        <f>LEN(非皮卡压缩表[[#This Row],[LONG-TYPE]])</f>
        <v/>
      </c>
      <c r="L468" s="21">
        <f t="array" ref="L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8" s="22">
        <f>LEN(非皮卡压缩表[[#This Row],[TYPE]])</f>
        <v/>
      </c>
      <c r="N468" s="22">
        <f t="array" ref="N468">_xlfn.XLOOKUP(非皮卡压缩表[[#This Row],[MODEL]],MODEL缩写表[长MODEL],MODEL缩写表[短MODEL],非皮卡压缩表[[#This Row],[MODEL]])</f>
        <v/>
      </c>
      <c r="O468" s="22">
        <f>LEN(非皮卡压缩表[[#This Row],[SHORT-MODEL]])</f>
        <v/>
      </c>
      <c r="P468" s="11">
        <f t="array" ref="P468">TRIM(_xlfn.XLOOKUP(非皮卡压缩表[[#This Row],[BACKSIZE]],ALL尺码表[内部尺码],ALL尺码表[通用尺码]))</f>
        <v/>
      </c>
    </row>
    <row r="469">
      <c r="A469" s="17" t="inlineStr">
        <is>
          <t>ALL</t>
        </is>
      </c>
      <c r="B469" s="18" t="inlineStr">
        <is>
          <t>Ford Explorer</t>
        </is>
      </c>
      <c r="C469" s="18" t="inlineStr">
        <is>
          <t>Ford</t>
        </is>
      </c>
      <c r="D469" s="18" t="inlineStr">
        <is>
          <t>Explorer</t>
        </is>
      </c>
      <c r="E469" s="18" t="inlineStr">
        <is>
          <t>1991-2001</t>
        </is>
      </c>
      <c r="F469" s="18" t="inlineStr"/>
      <c r="G469" s="18" t="inlineStr">
        <is>
          <t>SUV</t>
        </is>
      </c>
      <c r="H469" s="18" t="inlineStr">
        <is>
          <t>YM+</t>
        </is>
      </c>
      <c r="I469" s="19">
        <f t="array" ref="I469">TRIM(_xlfn.XLOOKUP(非皮卡压缩表[[#This Row],[BACKSIZE]],ALL尺码表[内部尺码],ALL尺码表[分类],""))</f>
        <v/>
      </c>
      <c r="J469" s="19">
        <f t="array" ref="J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9" s="20">
        <f>LEN(非皮卡压缩表[[#This Row],[LONG-TYPE]])</f>
        <v/>
      </c>
      <c r="L469" s="21">
        <f t="array" ref="L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9" s="22">
        <f>LEN(非皮卡压缩表[[#This Row],[TYPE]])</f>
        <v/>
      </c>
      <c r="N469" s="22">
        <f t="array" ref="N469">_xlfn.XLOOKUP(非皮卡压缩表[[#This Row],[MODEL]],MODEL缩写表[长MODEL],MODEL缩写表[短MODEL],非皮卡压缩表[[#This Row],[MODEL]])</f>
        <v/>
      </c>
      <c r="O469" s="22">
        <f>LEN(非皮卡压缩表[[#This Row],[SHORT-MODEL]])</f>
        <v/>
      </c>
      <c r="P469" s="11">
        <f t="array" ref="P469">TRIM(_xlfn.XLOOKUP(非皮卡压缩表[[#This Row],[BACKSIZE]],ALL尺码表[内部尺码],ALL尺码表[通用尺码]))</f>
        <v/>
      </c>
    </row>
    <row r="470">
      <c r="A470" s="17" t="inlineStr">
        <is>
          <t>ALL</t>
        </is>
      </c>
      <c r="B470" s="18" t="inlineStr">
        <is>
          <t>Ford Explorer</t>
        </is>
      </c>
      <c r="C470" s="18" t="inlineStr">
        <is>
          <t>Ford</t>
        </is>
      </c>
      <c r="D470" s="18" t="inlineStr">
        <is>
          <t>Explorer</t>
        </is>
      </c>
      <c r="E470" s="18" t="inlineStr">
        <is>
          <t>2002</t>
        </is>
      </c>
      <c r="F470" s="18" t="inlineStr"/>
      <c r="G470" s="18" t="inlineStr">
        <is>
          <t>SUV</t>
        </is>
      </c>
      <c r="H470" s="18" t="inlineStr">
        <is>
          <t>YXL</t>
        </is>
      </c>
      <c r="I470" s="19">
        <f t="array" ref="I470">TRIM(_xlfn.XLOOKUP(非皮卡压缩表[[#This Row],[BACKSIZE]],ALL尺码表[内部尺码],ALL尺码表[分类],""))</f>
        <v/>
      </c>
      <c r="J470" s="19">
        <f t="array" ref="J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0" s="20">
        <f>LEN(非皮卡压缩表[[#This Row],[LONG-TYPE]])</f>
        <v/>
      </c>
      <c r="L470" s="21">
        <f t="array" ref="L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0" s="22">
        <f>LEN(非皮卡压缩表[[#This Row],[TYPE]])</f>
        <v/>
      </c>
      <c r="N470" s="22">
        <f t="array" ref="N470">_xlfn.XLOOKUP(非皮卡压缩表[[#This Row],[MODEL]],MODEL缩写表[长MODEL],MODEL缩写表[短MODEL],非皮卡压缩表[[#This Row],[MODEL]])</f>
        <v/>
      </c>
      <c r="O470" s="22">
        <f>LEN(非皮卡压缩表[[#This Row],[SHORT-MODEL]])</f>
        <v/>
      </c>
      <c r="P470" s="11">
        <f t="array" ref="P470">TRIM(_xlfn.XLOOKUP(非皮卡压缩表[[#This Row],[BACKSIZE]],ALL尺码表[内部尺码],ALL尺码表[通用尺码]))</f>
        <v/>
      </c>
    </row>
    <row r="471">
      <c r="A471" s="17" t="inlineStr">
        <is>
          <t>ALL</t>
        </is>
      </c>
      <c r="B471" s="18" t="inlineStr">
        <is>
          <t>Ford Explorer</t>
        </is>
      </c>
      <c r="C471" s="18" t="inlineStr">
        <is>
          <t>Ford</t>
        </is>
      </c>
      <c r="D471" s="18" t="inlineStr">
        <is>
          <t>Explorer</t>
        </is>
      </c>
      <c r="E471" s="18" t="inlineStr">
        <is>
          <t>2003-2005</t>
        </is>
      </c>
      <c r="F471" s="18" t="inlineStr"/>
      <c r="G471" s="18" t="inlineStr">
        <is>
          <t>SUV</t>
        </is>
      </c>
      <c r="H471" s="18" t="inlineStr">
        <is>
          <t>YL</t>
        </is>
      </c>
      <c r="I471" s="19">
        <f t="array" ref="I471">TRIM(_xlfn.XLOOKUP(非皮卡压缩表[[#This Row],[BACKSIZE]],ALL尺码表[内部尺码],ALL尺码表[分类],""))</f>
        <v/>
      </c>
      <c r="J471" s="19">
        <f t="array" ref="J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1" s="20">
        <f>LEN(非皮卡压缩表[[#This Row],[LONG-TYPE]])</f>
        <v/>
      </c>
      <c r="L471" s="21">
        <f t="array" ref="L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1" s="22">
        <f>LEN(非皮卡压缩表[[#This Row],[TYPE]])</f>
        <v/>
      </c>
      <c r="N471" s="22">
        <f t="array" ref="N471">_xlfn.XLOOKUP(非皮卡压缩表[[#This Row],[MODEL]],MODEL缩写表[长MODEL],MODEL缩写表[短MODEL],非皮卡压缩表[[#This Row],[MODEL]])</f>
        <v/>
      </c>
      <c r="O471" s="22">
        <f>LEN(非皮卡压缩表[[#This Row],[SHORT-MODEL]])</f>
        <v/>
      </c>
      <c r="P471" s="11">
        <f t="array" ref="P471">TRIM(_xlfn.XLOOKUP(非皮卡压缩表[[#This Row],[BACKSIZE]],ALL尺码表[内部尺码],ALL尺码表[通用尺码]))</f>
        <v/>
      </c>
    </row>
    <row r="472">
      <c r="A472" s="17" t="inlineStr">
        <is>
          <t>ALL</t>
        </is>
      </c>
      <c r="B472" s="18" t="inlineStr">
        <is>
          <t>Ford Explorer</t>
        </is>
      </c>
      <c r="C472" s="18" t="inlineStr">
        <is>
          <t>Ford</t>
        </is>
      </c>
      <c r="D472" s="18" t="inlineStr">
        <is>
          <t>Explorer</t>
        </is>
      </c>
      <c r="E472" s="18" t="inlineStr">
        <is>
          <t>2006-2025</t>
        </is>
      </c>
      <c r="F472" s="18" t="inlineStr">
        <is>
          <t>Incl: Timberline</t>
        </is>
      </c>
      <c r="G472" s="18" t="inlineStr">
        <is>
          <t>SUV</t>
        </is>
      </c>
      <c r="H472" s="18" t="inlineStr">
        <is>
          <t>YXL</t>
        </is>
      </c>
      <c r="I472" s="19">
        <f t="array" ref="I472">TRIM(_xlfn.XLOOKUP(非皮卡压缩表[[#This Row],[BACKSIZE]],ALL尺码表[内部尺码],ALL尺码表[分类],""))</f>
        <v/>
      </c>
      <c r="J472" s="19">
        <f t="array" ref="J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2" s="20">
        <f>LEN(非皮卡压缩表[[#This Row],[LONG-TYPE]])</f>
        <v/>
      </c>
      <c r="L472" s="21">
        <f t="array" ref="L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2" s="22">
        <f>LEN(非皮卡压缩表[[#This Row],[TYPE]])</f>
        <v/>
      </c>
      <c r="N472" s="22">
        <f t="array" ref="N472">_xlfn.XLOOKUP(非皮卡压缩表[[#This Row],[MODEL]],MODEL缩写表[长MODEL],MODEL缩写表[短MODEL],非皮卡压缩表[[#This Row],[MODEL]])</f>
        <v/>
      </c>
      <c r="O472" s="22">
        <f>LEN(非皮卡压缩表[[#This Row],[SHORT-MODEL]])</f>
        <v/>
      </c>
      <c r="P472" s="11">
        <f t="array" ref="P472">TRIM(_xlfn.XLOOKUP(非皮卡压缩表[[#This Row],[BACKSIZE]],ALL尺码表[内部尺码],ALL尺码表[通用尺码]))</f>
        <v/>
      </c>
    </row>
    <row r="473">
      <c r="A473" s="17" t="inlineStr">
        <is>
          <t>ALL</t>
        </is>
      </c>
      <c r="B473" s="18" t="inlineStr">
        <is>
          <t>Ford Fiesta</t>
        </is>
      </c>
      <c r="C473" s="18" t="inlineStr">
        <is>
          <t>Ford</t>
        </is>
      </c>
      <c r="D473" s="18" t="inlineStr">
        <is>
          <t>Fiesta</t>
        </is>
      </c>
      <c r="E473" s="18" t="inlineStr">
        <is>
          <t>2011-2019</t>
        </is>
      </c>
      <c r="F473" s="18" t="inlineStr">
        <is>
          <t>Incl: ST</t>
        </is>
      </c>
      <c r="G473" s="18" t="inlineStr">
        <is>
          <t>Hatchback</t>
        </is>
      </c>
      <c r="H473" s="18" t="inlineStr">
        <is>
          <t>2M</t>
        </is>
      </c>
      <c r="I473" s="19">
        <f t="array" ref="I473">TRIM(_xlfn.XLOOKUP(非皮卡压缩表[[#This Row],[BACKSIZE]],ALL尺码表[内部尺码],ALL尺码表[分类],""))</f>
        <v/>
      </c>
      <c r="J473" s="19">
        <f t="array" ref="J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3" s="20">
        <f>LEN(非皮卡压缩表[[#This Row],[LONG-TYPE]])</f>
        <v/>
      </c>
      <c r="L473" s="21">
        <f t="array" ref="L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3" s="22">
        <f>LEN(非皮卡压缩表[[#This Row],[TYPE]])</f>
        <v/>
      </c>
      <c r="N473" s="22">
        <f t="array" ref="N473">_xlfn.XLOOKUP(非皮卡压缩表[[#This Row],[MODEL]],MODEL缩写表[长MODEL],MODEL缩写表[短MODEL],非皮卡压缩表[[#This Row],[MODEL]])</f>
        <v/>
      </c>
      <c r="O473" s="22">
        <f>LEN(非皮卡压缩表[[#This Row],[SHORT-MODEL]])</f>
        <v/>
      </c>
      <c r="P473" s="11">
        <f t="array" ref="P473">TRIM(_xlfn.XLOOKUP(非皮卡压缩表[[#This Row],[BACKSIZE]],ALL尺码表[内部尺码],ALL尺码表[通用尺码]))</f>
        <v/>
      </c>
    </row>
    <row r="474">
      <c r="A474" s="17" t="inlineStr">
        <is>
          <t>ALL</t>
        </is>
      </c>
      <c r="B474" s="18" t="inlineStr">
        <is>
          <t>Ford Fiesta</t>
        </is>
      </c>
      <c r="C474" s="18" t="inlineStr">
        <is>
          <t>Ford</t>
        </is>
      </c>
      <c r="D474" s="18" t="inlineStr">
        <is>
          <t>Fiesta</t>
        </is>
      </c>
      <c r="E474" s="18" t="inlineStr">
        <is>
          <t>2011-2019</t>
        </is>
      </c>
      <c r="F474" s="18" t="inlineStr"/>
      <c r="G474" s="18" t="inlineStr">
        <is>
          <t>Sedan</t>
        </is>
      </c>
      <c r="H474" s="18" t="inlineStr">
        <is>
          <t>3L</t>
        </is>
      </c>
      <c r="I474" s="19">
        <f t="array" ref="I474">TRIM(_xlfn.XLOOKUP(非皮卡压缩表[[#This Row],[BACKSIZE]],ALL尺码表[内部尺码],ALL尺码表[分类],""))</f>
        <v/>
      </c>
      <c r="J474" s="19">
        <f t="array" ref="J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4" s="20">
        <f>LEN(非皮卡压缩表[[#This Row],[LONG-TYPE]])</f>
        <v/>
      </c>
      <c r="L474" s="21">
        <f t="array" ref="L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4" s="22">
        <f>LEN(非皮卡压缩表[[#This Row],[TYPE]])</f>
        <v/>
      </c>
      <c r="N474" s="22">
        <f t="array" ref="N474">_xlfn.XLOOKUP(非皮卡压缩表[[#This Row],[MODEL]],MODEL缩写表[长MODEL],MODEL缩写表[短MODEL],非皮卡压缩表[[#This Row],[MODEL]])</f>
        <v/>
      </c>
      <c r="O474" s="22">
        <f>LEN(非皮卡压缩表[[#This Row],[SHORT-MODEL]])</f>
        <v/>
      </c>
      <c r="P474" s="11">
        <f t="array" ref="P474">TRIM(_xlfn.XLOOKUP(非皮卡压缩表[[#This Row],[BACKSIZE]],ALL尺码表[内部尺码],ALL尺码表[通用尺码]))</f>
        <v/>
      </c>
    </row>
    <row r="475">
      <c r="A475" s="17" t="inlineStr">
        <is>
          <t>ALL</t>
        </is>
      </c>
      <c r="B475" s="18" t="inlineStr">
        <is>
          <t>Ford Five Hundred</t>
        </is>
      </c>
      <c r="C475" s="18" t="inlineStr">
        <is>
          <t>Ford</t>
        </is>
      </c>
      <c r="D475" s="18" t="inlineStr">
        <is>
          <t>Five Hundred</t>
        </is>
      </c>
      <c r="E475" s="18" t="inlineStr">
        <is>
          <t>2005-2007</t>
        </is>
      </c>
      <c r="F475" s="18" t="inlineStr"/>
      <c r="G475" s="18" t="inlineStr">
        <is>
          <t>Sedan</t>
        </is>
      </c>
      <c r="H475" s="18" t="inlineStr">
        <is>
          <t>3XXL</t>
        </is>
      </c>
      <c r="I475" s="19">
        <f t="array" ref="I475">TRIM(_xlfn.XLOOKUP(非皮卡压缩表[[#This Row],[BACKSIZE]],ALL尺码表[内部尺码],ALL尺码表[分类],""))</f>
        <v/>
      </c>
      <c r="J475" s="19">
        <f t="array" ref="J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5" s="20">
        <f>LEN(非皮卡压缩表[[#This Row],[LONG-TYPE]])</f>
        <v/>
      </c>
      <c r="L475" s="21">
        <f t="array" ref="L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5" s="22">
        <f>LEN(非皮卡压缩表[[#This Row],[TYPE]])</f>
        <v/>
      </c>
      <c r="N475" s="22">
        <f t="array" ref="N475">_xlfn.XLOOKUP(非皮卡压缩表[[#This Row],[MODEL]],MODEL缩写表[长MODEL],MODEL缩写表[短MODEL],非皮卡压缩表[[#This Row],[MODEL]])</f>
        <v/>
      </c>
      <c r="O475" s="22">
        <f>LEN(非皮卡压缩表[[#This Row],[SHORT-MODEL]])</f>
        <v/>
      </c>
      <c r="P475" s="11">
        <f t="array" ref="P475">TRIM(_xlfn.XLOOKUP(非皮卡压缩表[[#This Row],[BACKSIZE]],ALL尺码表[内部尺码],ALL尺码表[通用尺码]))</f>
        <v/>
      </c>
    </row>
    <row r="476">
      <c r="A476" s="17" t="inlineStr">
        <is>
          <t>ALL</t>
        </is>
      </c>
      <c r="B476" s="18" t="inlineStr">
        <is>
          <t>Ford Flex</t>
        </is>
      </c>
      <c r="C476" s="18" t="inlineStr">
        <is>
          <t>Ford</t>
        </is>
      </c>
      <c r="D476" s="18" t="inlineStr">
        <is>
          <t>Flex</t>
        </is>
      </c>
      <c r="E476" s="18" t="inlineStr">
        <is>
          <t>2009-2019</t>
        </is>
      </c>
      <c r="F476" s="18" t="inlineStr"/>
      <c r="G476" s="18" t="inlineStr">
        <is>
          <t>CUV</t>
        </is>
      </c>
      <c r="H476" s="18" t="inlineStr">
        <is>
          <t>YXXL</t>
        </is>
      </c>
      <c r="I476" s="19">
        <f t="array" ref="I476">TRIM(_xlfn.XLOOKUP(非皮卡压缩表[[#This Row],[BACKSIZE]],ALL尺码表[内部尺码],ALL尺码表[分类],""))</f>
        <v/>
      </c>
      <c r="J476" s="19">
        <f t="array" ref="J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6" s="20">
        <f>LEN(非皮卡压缩表[[#This Row],[LONG-TYPE]])</f>
        <v/>
      </c>
      <c r="L476" s="21">
        <f t="array" ref="L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6" s="22">
        <f>LEN(非皮卡压缩表[[#This Row],[TYPE]])</f>
        <v/>
      </c>
      <c r="N476" s="22">
        <f t="array" ref="N476">_xlfn.XLOOKUP(非皮卡压缩表[[#This Row],[MODEL]],MODEL缩写表[长MODEL],MODEL缩写表[短MODEL],非皮卡压缩表[[#This Row],[MODEL]])</f>
        <v/>
      </c>
      <c r="O476" s="22">
        <f>LEN(非皮卡压缩表[[#This Row],[SHORT-MODEL]])</f>
        <v/>
      </c>
      <c r="P476" s="11">
        <f t="array" ref="P476">TRIM(_xlfn.XLOOKUP(非皮卡压缩表[[#This Row],[BACKSIZE]],ALL尺码表[内部尺码],ALL尺码表[通用尺码]))</f>
        <v/>
      </c>
    </row>
    <row r="477">
      <c r="A477" s="17" t="inlineStr">
        <is>
          <t>ALL</t>
        </is>
      </c>
      <c r="B477" s="18" t="inlineStr">
        <is>
          <t>Ford Focus</t>
        </is>
      </c>
      <c r="C477" s="18" t="inlineStr">
        <is>
          <t>Ford</t>
        </is>
      </c>
      <c r="D477" s="18" t="inlineStr">
        <is>
          <t>Focus</t>
        </is>
      </c>
      <c r="E477" s="18" t="inlineStr">
        <is>
          <t>2000-2018</t>
        </is>
      </c>
      <c r="F477" s="18" t="inlineStr">
        <is>
          <t>Incl: RS/ZX3/ZX5</t>
        </is>
      </c>
      <c r="G477" s="18" t="inlineStr">
        <is>
          <t>Hatchback</t>
        </is>
      </c>
      <c r="H477" s="18" t="inlineStr">
        <is>
          <t>2L+</t>
        </is>
      </c>
      <c r="I477" s="19">
        <f t="array" ref="I477">TRIM(_xlfn.XLOOKUP(非皮卡压缩表[[#This Row],[BACKSIZE]],ALL尺码表[内部尺码],ALL尺码表[分类],""))</f>
        <v/>
      </c>
      <c r="J477" s="19">
        <f t="array" ref="J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7" s="20">
        <f>LEN(非皮卡压缩表[[#This Row],[LONG-TYPE]])</f>
        <v/>
      </c>
      <c r="L477" s="21">
        <f t="array" ref="L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7" s="22">
        <f>LEN(非皮卡压缩表[[#This Row],[TYPE]])</f>
        <v/>
      </c>
      <c r="N477" s="22">
        <f t="array" ref="N477">_xlfn.XLOOKUP(非皮卡压缩表[[#This Row],[MODEL]],MODEL缩写表[长MODEL],MODEL缩写表[短MODEL],非皮卡压缩表[[#This Row],[MODEL]])</f>
        <v/>
      </c>
      <c r="O477" s="22">
        <f>LEN(非皮卡压缩表[[#This Row],[SHORT-MODEL]])</f>
        <v/>
      </c>
      <c r="P477" s="11">
        <f t="array" ref="P477">TRIM(_xlfn.XLOOKUP(非皮卡压缩表[[#This Row],[BACKSIZE]],ALL尺码表[内部尺码],ALL尺码表[通用尺码]))</f>
        <v/>
      </c>
    </row>
    <row r="478">
      <c r="A478" s="17" t="inlineStr">
        <is>
          <t>ALL</t>
        </is>
      </c>
      <c r="B478" s="18" t="inlineStr">
        <is>
          <t>Ford Focus</t>
        </is>
      </c>
      <c r="C478" s="18" t="inlineStr">
        <is>
          <t>Ford</t>
        </is>
      </c>
      <c r="D478" s="18" t="inlineStr">
        <is>
          <t>Focus</t>
        </is>
      </c>
      <c r="E478" s="18" t="inlineStr">
        <is>
          <t>2000-2007</t>
        </is>
      </c>
      <c r="F478" s="18" t="inlineStr"/>
      <c r="G478" s="18" t="inlineStr">
        <is>
          <t>Wagon</t>
        </is>
      </c>
      <c r="H478" s="18" t="inlineStr">
        <is>
          <t>2XL</t>
        </is>
      </c>
      <c r="I478" s="19">
        <f t="array" ref="I478">TRIM(_xlfn.XLOOKUP(非皮卡压缩表[[#This Row],[BACKSIZE]],ALL尺码表[内部尺码],ALL尺码表[分类],""))</f>
        <v/>
      </c>
      <c r="J478" s="19">
        <f t="array" ref="J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8" s="20">
        <f>LEN(非皮卡压缩表[[#This Row],[LONG-TYPE]])</f>
        <v/>
      </c>
      <c r="L478" s="21">
        <f t="array" ref="L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8" s="22">
        <f>LEN(非皮卡压缩表[[#This Row],[TYPE]])</f>
        <v/>
      </c>
      <c r="N478" s="22">
        <f t="array" ref="N478">_xlfn.XLOOKUP(非皮卡压缩表[[#This Row],[MODEL]],MODEL缩写表[长MODEL],MODEL缩写表[短MODEL],非皮卡压缩表[[#This Row],[MODEL]])</f>
        <v/>
      </c>
      <c r="O478" s="22">
        <f>LEN(非皮卡压缩表[[#This Row],[SHORT-MODEL]])</f>
        <v/>
      </c>
      <c r="P478" s="11">
        <f t="array" ref="P478">TRIM(_xlfn.XLOOKUP(非皮卡压缩表[[#This Row],[BACKSIZE]],ALL尺码表[内部尺码],ALL尺码表[通用尺码]))</f>
        <v/>
      </c>
    </row>
    <row r="479">
      <c r="A479" s="17" t="inlineStr">
        <is>
          <t>ALL</t>
        </is>
      </c>
      <c r="B479" s="18" t="inlineStr">
        <is>
          <t>Ford Focus</t>
        </is>
      </c>
      <c r="C479" s="18" t="inlineStr">
        <is>
          <t>Ford</t>
        </is>
      </c>
      <c r="D479" s="18" t="inlineStr">
        <is>
          <t>Focus</t>
        </is>
      </c>
      <c r="E479" s="18" t="inlineStr">
        <is>
          <t>2000-2018</t>
        </is>
      </c>
      <c r="F479" s="18" t="inlineStr"/>
      <c r="G479" s="18" t="inlineStr">
        <is>
          <t>Sedan</t>
        </is>
      </c>
      <c r="H479" s="18" t="inlineStr">
        <is>
          <t>3L</t>
        </is>
      </c>
      <c r="I479" s="19">
        <f t="array" ref="I479">TRIM(_xlfn.XLOOKUP(非皮卡压缩表[[#This Row],[BACKSIZE]],ALL尺码表[内部尺码],ALL尺码表[分类],""))</f>
        <v/>
      </c>
      <c r="J479" s="19">
        <f t="array" ref="J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9" s="20">
        <f>LEN(非皮卡压缩表[[#This Row],[LONG-TYPE]])</f>
        <v/>
      </c>
      <c r="L479" s="21">
        <f t="array" ref="L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9" s="22">
        <f>LEN(非皮卡压缩表[[#This Row],[TYPE]])</f>
        <v/>
      </c>
      <c r="N479" s="22">
        <f t="array" ref="N479">_xlfn.XLOOKUP(非皮卡压缩表[[#This Row],[MODEL]],MODEL缩写表[长MODEL],MODEL缩写表[短MODEL],非皮卡压缩表[[#This Row],[MODEL]])</f>
        <v/>
      </c>
      <c r="O479" s="22">
        <f>LEN(非皮卡压缩表[[#This Row],[SHORT-MODEL]])</f>
        <v/>
      </c>
      <c r="P479" s="11">
        <f t="array" ref="P479">TRIM(_xlfn.XLOOKUP(非皮卡压缩表[[#This Row],[BACKSIZE]],ALL尺码表[内部尺码],ALL尺码表[通用尺码]))</f>
        <v/>
      </c>
    </row>
    <row r="480" ht="30" customHeight="1" s="23">
      <c r="A480" s="17" t="inlineStr">
        <is>
          <t>ALL</t>
        </is>
      </c>
      <c r="B480" s="18" t="inlineStr">
        <is>
          <t>Ford Focus</t>
        </is>
      </c>
      <c r="C480" s="18" t="inlineStr">
        <is>
          <t>Ford</t>
        </is>
      </c>
      <c r="D480" s="18" t="inlineStr">
        <is>
          <t>Focus</t>
        </is>
      </c>
      <c r="E480" s="18" t="inlineStr">
        <is>
          <t>2008-2011</t>
        </is>
      </c>
      <c r="F480" s="18" t="inlineStr"/>
      <c r="G480" s="18" t="inlineStr">
        <is>
          <t>Coupe</t>
        </is>
      </c>
      <c r="H480" s="18" t="inlineStr">
        <is>
          <t>3M-0</t>
        </is>
      </c>
      <c r="I480" s="19">
        <f t="array" ref="I480">TRIM(_xlfn.XLOOKUP(非皮卡压缩表[[#This Row],[BACKSIZE]],ALL尺码表[内部尺码],ALL尺码表[分类],""))</f>
        <v/>
      </c>
      <c r="J480" s="19">
        <f t="array" ref="J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0" s="20">
        <f>LEN(非皮卡压缩表[[#This Row],[LONG-TYPE]])</f>
        <v/>
      </c>
      <c r="L480" s="21">
        <f t="array" ref="L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0" s="22">
        <f>LEN(非皮卡压缩表[[#This Row],[TYPE]])</f>
        <v/>
      </c>
      <c r="N480" s="22">
        <f t="array" ref="N480">_xlfn.XLOOKUP(非皮卡压缩表[[#This Row],[MODEL]],MODEL缩写表[长MODEL],MODEL缩写表[短MODEL],非皮卡压缩表[[#This Row],[MODEL]])</f>
        <v/>
      </c>
      <c r="O480" s="22">
        <f>LEN(非皮卡压缩表[[#This Row],[SHORT-MODEL]])</f>
        <v/>
      </c>
      <c r="P480" s="11">
        <f t="array" ref="P480">TRIM(_xlfn.XLOOKUP(非皮卡压缩表[[#This Row],[BACKSIZE]],ALL尺码表[内部尺码],ALL尺码表[通用尺码]))</f>
        <v/>
      </c>
    </row>
    <row r="481">
      <c r="A481" s="17" t="inlineStr">
        <is>
          <t>ALL</t>
        </is>
      </c>
      <c r="B481" s="18" t="inlineStr">
        <is>
          <t>Ford Freestyle</t>
        </is>
      </c>
      <c r="C481" s="18" t="inlineStr">
        <is>
          <t>Ford</t>
        </is>
      </c>
      <c r="D481" s="18" t="inlineStr">
        <is>
          <t>Freestyle</t>
        </is>
      </c>
      <c r="E481" s="18" t="inlineStr">
        <is>
          <t>2005-2007</t>
        </is>
      </c>
      <c r="F481" s="18" t="inlineStr"/>
      <c r="G481" s="18" t="inlineStr">
        <is>
          <t>CUV</t>
        </is>
      </c>
      <c r="H481" s="18" t="inlineStr">
        <is>
          <t>YXL</t>
        </is>
      </c>
      <c r="I481" s="19">
        <f t="array" ref="I481">TRIM(_xlfn.XLOOKUP(非皮卡压缩表[[#This Row],[BACKSIZE]],ALL尺码表[内部尺码],ALL尺码表[分类],""))</f>
        <v/>
      </c>
      <c r="J481" s="19">
        <f t="array" ref="J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1" s="20">
        <f>LEN(非皮卡压缩表[[#This Row],[LONG-TYPE]])</f>
        <v/>
      </c>
      <c r="L481" s="21">
        <f t="array" ref="L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1" s="22">
        <f>LEN(非皮卡压缩表[[#This Row],[TYPE]])</f>
        <v/>
      </c>
      <c r="N481" s="22">
        <f t="array" ref="N481">_xlfn.XLOOKUP(非皮卡压缩表[[#This Row],[MODEL]],MODEL缩写表[长MODEL],MODEL缩写表[短MODEL],非皮卡压缩表[[#This Row],[MODEL]])</f>
        <v/>
      </c>
      <c r="O481" s="22">
        <f>LEN(非皮卡压缩表[[#This Row],[SHORT-MODEL]])</f>
        <v/>
      </c>
      <c r="P481" s="11">
        <f t="array" ref="P481">TRIM(_xlfn.XLOOKUP(非皮卡压缩表[[#This Row],[BACKSIZE]],ALL尺码表[内部尺码],ALL尺码表[通用尺码]))</f>
        <v/>
      </c>
    </row>
    <row r="482">
      <c r="A482" s="17" t="inlineStr">
        <is>
          <t>ALL</t>
        </is>
      </c>
      <c r="B482" s="18" t="inlineStr">
        <is>
          <t>Ford Fusion</t>
        </is>
      </c>
      <c r="C482" s="18" t="inlineStr">
        <is>
          <t>Ford</t>
        </is>
      </c>
      <c r="D482" s="18" t="inlineStr">
        <is>
          <t>Fusion</t>
        </is>
      </c>
      <c r="E482" s="18" t="inlineStr">
        <is>
          <t>2006-2020</t>
        </is>
      </c>
      <c r="F482" s="18" t="inlineStr"/>
      <c r="G482" s="18" t="inlineStr">
        <is>
          <t>Sedan</t>
        </is>
      </c>
      <c r="H482" s="18" t="inlineStr">
        <is>
          <t>3XL</t>
        </is>
      </c>
      <c r="I482" s="19">
        <f t="array" ref="I482">TRIM(_xlfn.XLOOKUP(非皮卡压缩表[[#This Row],[BACKSIZE]],ALL尺码表[内部尺码],ALL尺码表[分类],""))</f>
        <v/>
      </c>
      <c r="J482" s="19">
        <f t="array" ref="J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2" s="20">
        <f>LEN(非皮卡压缩表[[#This Row],[LONG-TYPE]])</f>
        <v/>
      </c>
      <c r="L482" s="21">
        <f t="array" ref="L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2" s="22">
        <f>LEN(非皮卡压缩表[[#This Row],[TYPE]])</f>
        <v/>
      </c>
      <c r="N482" s="22">
        <f t="array" ref="N482">_xlfn.XLOOKUP(非皮卡压缩表[[#This Row],[MODEL]],MODEL缩写表[长MODEL],MODEL缩写表[短MODEL],非皮卡压缩表[[#This Row],[MODEL]])</f>
        <v/>
      </c>
      <c r="O482" s="22">
        <f>LEN(非皮卡压缩表[[#This Row],[SHORT-MODEL]])</f>
        <v/>
      </c>
      <c r="P482" s="11">
        <f t="array" ref="P482">TRIM(_xlfn.XLOOKUP(非皮卡压缩表[[#This Row],[BACKSIZE]],ALL尺码表[内部尺码],ALL尺码表[通用尺码]))</f>
        <v/>
      </c>
    </row>
    <row r="483">
      <c r="A483" s="17" t="inlineStr">
        <is>
          <t>ALL</t>
        </is>
      </c>
      <c r="B483" s="18" t="inlineStr">
        <is>
          <t>Ford GT</t>
        </is>
      </c>
      <c r="C483" s="18" t="inlineStr">
        <is>
          <t>Ford</t>
        </is>
      </c>
      <c r="D483" s="18" t="inlineStr">
        <is>
          <t>GT</t>
        </is>
      </c>
      <c r="E483" s="18" t="inlineStr">
        <is>
          <t>2005-2006</t>
        </is>
      </c>
      <c r="F483" s="18" t="inlineStr"/>
      <c r="G483" s="18" t="inlineStr">
        <is>
          <t>Coupe</t>
        </is>
      </c>
      <c r="H483" s="18" t="inlineStr">
        <is>
          <t>3L-0</t>
        </is>
      </c>
      <c r="I483" s="19">
        <f t="array" ref="I483">TRIM(_xlfn.XLOOKUP(非皮卡压缩表[[#This Row],[BACKSIZE]],ALL尺码表[内部尺码],ALL尺码表[分类],""))</f>
        <v/>
      </c>
      <c r="J483" s="19">
        <f t="array" ref="J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3" s="20">
        <f>LEN(非皮卡压缩表[[#This Row],[LONG-TYPE]])</f>
        <v/>
      </c>
      <c r="L483" s="21">
        <f t="array" ref="L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3" s="22">
        <f>LEN(非皮卡压缩表[[#This Row],[TYPE]])</f>
        <v/>
      </c>
      <c r="N483" s="22">
        <f t="array" ref="N483">_xlfn.XLOOKUP(非皮卡压缩表[[#This Row],[MODEL]],MODEL缩写表[长MODEL],MODEL缩写表[短MODEL],非皮卡压缩表[[#This Row],[MODEL]])</f>
        <v/>
      </c>
      <c r="O483" s="22">
        <f>LEN(非皮卡压缩表[[#This Row],[SHORT-MODEL]])</f>
        <v/>
      </c>
      <c r="P483" s="11">
        <f t="array" ref="P483">TRIM(_xlfn.XLOOKUP(非皮卡压缩表[[#This Row],[BACKSIZE]],ALL尺码表[内部尺码],ALL尺码表[通用尺码]))</f>
        <v/>
      </c>
    </row>
    <row r="484">
      <c r="A484" s="17" t="inlineStr">
        <is>
          <t>ALL</t>
        </is>
      </c>
      <c r="B484" s="18" t="inlineStr">
        <is>
          <t>Ford GT</t>
        </is>
      </c>
      <c r="C484" s="18" t="inlineStr">
        <is>
          <t>Ford</t>
        </is>
      </c>
      <c r="D484" s="18" t="inlineStr">
        <is>
          <t>GT</t>
        </is>
      </c>
      <c r="E484" s="18" t="inlineStr">
        <is>
          <t>2017-2022</t>
        </is>
      </c>
      <c r="F484" s="18" t="inlineStr"/>
      <c r="G484" s="18" t="inlineStr">
        <is>
          <t>Coupe</t>
        </is>
      </c>
      <c r="H484" s="18" t="inlineStr">
        <is>
          <t>3XL-0</t>
        </is>
      </c>
      <c r="I484" s="19">
        <f t="array" ref="I484">TRIM(_xlfn.XLOOKUP(非皮卡压缩表[[#This Row],[BACKSIZE]],ALL尺码表[内部尺码],ALL尺码表[分类],""))</f>
        <v/>
      </c>
      <c r="J484" s="19">
        <f t="array" ref="J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4" s="20">
        <f>LEN(非皮卡压缩表[[#This Row],[LONG-TYPE]])</f>
        <v/>
      </c>
      <c r="L484" s="21">
        <f t="array" ref="L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4" s="22">
        <f>LEN(非皮卡压缩表[[#This Row],[TYPE]])</f>
        <v/>
      </c>
      <c r="N484" s="22">
        <f t="array" ref="N484">_xlfn.XLOOKUP(非皮卡压缩表[[#This Row],[MODEL]],MODEL缩写表[长MODEL],MODEL缩写表[短MODEL],非皮卡压缩表[[#This Row],[MODEL]])</f>
        <v/>
      </c>
      <c r="O484" s="22">
        <f>LEN(非皮卡压缩表[[#This Row],[SHORT-MODEL]])</f>
        <v/>
      </c>
      <c r="P484" s="11">
        <f t="array" ref="P484">TRIM(_xlfn.XLOOKUP(非皮卡压缩表[[#This Row],[BACKSIZE]],ALL尺码表[内部尺码],ALL尺码表[通用尺码]))</f>
        <v/>
      </c>
    </row>
    <row r="485" ht="30" customHeight="1" s="23">
      <c r="A485" s="17" t="inlineStr">
        <is>
          <t>ALL</t>
        </is>
      </c>
      <c r="B485" s="18" t="inlineStr">
        <is>
          <t>Ford Mustang</t>
        </is>
      </c>
      <c r="C485" s="18" t="inlineStr">
        <is>
          <t>Ford</t>
        </is>
      </c>
      <c r="D485" s="18" t="inlineStr">
        <is>
          <t>Mustang</t>
        </is>
      </c>
      <c r="E485" s="18" t="inlineStr">
        <is>
          <t>1965-1968</t>
        </is>
      </c>
      <c r="F485" s="18" t="inlineStr"/>
      <c r="G485" s="18" t="inlineStr">
        <is>
          <t>Convertible/Coupe/Fastback</t>
        </is>
      </c>
      <c r="H485" s="18" t="inlineStr">
        <is>
          <t>3L-0</t>
        </is>
      </c>
      <c r="I485" s="19">
        <f t="array" ref="I485">TRIM(_xlfn.XLOOKUP(非皮卡压缩表[[#This Row],[BACKSIZE]],ALL尺码表[内部尺码],ALL尺码表[分类],""))</f>
        <v/>
      </c>
      <c r="J485" s="19">
        <f t="array" ref="J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5" s="20">
        <f>LEN(非皮卡压缩表[[#This Row],[LONG-TYPE]])</f>
        <v/>
      </c>
      <c r="L485" s="21">
        <f t="array" ref="L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5" s="22">
        <f>LEN(非皮卡压缩表[[#This Row],[TYPE]])</f>
        <v/>
      </c>
      <c r="N485" s="22">
        <f t="array" ref="N485">_xlfn.XLOOKUP(非皮卡压缩表[[#This Row],[MODEL]],MODEL缩写表[长MODEL],MODEL缩写表[短MODEL],非皮卡压缩表[[#This Row],[MODEL]])</f>
        <v/>
      </c>
      <c r="O485" s="22">
        <f>LEN(非皮卡压缩表[[#This Row],[SHORT-MODEL]])</f>
        <v/>
      </c>
      <c r="P485" s="11">
        <f t="array" ref="P485">TRIM(_xlfn.XLOOKUP(非皮卡压缩表[[#This Row],[BACKSIZE]],ALL尺码表[内部尺码],ALL尺码表[通用尺码]))</f>
        <v/>
      </c>
    </row>
    <row r="486" ht="30" customHeight="1" s="23">
      <c r="A486" s="17" t="inlineStr">
        <is>
          <t>ALL</t>
        </is>
      </c>
      <c r="B486" s="18" t="inlineStr">
        <is>
          <t>Ford Mustang</t>
        </is>
      </c>
      <c r="C486" s="18" t="inlineStr">
        <is>
          <t>Ford</t>
        </is>
      </c>
      <c r="D486" s="18" t="inlineStr">
        <is>
          <t>Mustang</t>
        </is>
      </c>
      <c r="E486" s="18" t="inlineStr">
        <is>
          <t>1969-1972</t>
        </is>
      </c>
      <c r="F486" s="18" t="inlineStr"/>
      <c r="G486" s="18" t="inlineStr">
        <is>
          <t>Convertible/Coupe/Fastback</t>
        </is>
      </c>
      <c r="H486" s="18" t="inlineStr">
        <is>
          <t>3XL-0</t>
        </is>
      </c>
      <c r="I486" s="19">
        <f t="array" ref="I486">TRIM(_xlfn.XLOOKUP(非皮卡压缩表[[#This Row],[BACKSIZE]],ALL尺码表[内部尺码],ALL尺码表[分类],""))</f>
        <v/>
      </c>
      <c r="J486" s="19">
        <f t="array" ref="J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6" s="20">
        <f>LEN(非皮卡压缩表[[#This Row],[LONG-TYPE]])</f>
        <v/>
      </c>
      <c r="L486" s="21">
        <f t="array" ref="L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6" s="22">
        <f>LEN(非皮卡压缩表[[#This Row],[TYPE]])</f>
        <v/>
      </c>
      <c r="N486" s="22">
        <f t="array" ref="N486">_xlfn.XLOOKUP(非皮卡压缩表[[#This Row],[MODEL]],MODEL缩写表[长MODEL],MODEL缩写表[短MODEL],非皮卡压缩表[[#This Row],[MODEL]])</f>
        <v/>
      </c>
      <c r="O486" s="22">
        <f>LEN(非皮卡压缩表[[#This Row],[SHORT-MODEL]])</f>
        <v/>
      </c>
      <c r="P486" s="11">
        <f t="array" ref="P486">TRIM(_xlfn.XLOOKUP(非皮卡压缩表[[#This Row],[BACKSIZE]],ALL尺码表[内部尺码],ALL尺码表[通用尺码]))</f>
        <v/>
      </c>
    </row>
    <row r="487" ht="30" customHeight="1" s="23">
      <c r="A487" s="17" t="inlineStr">
        <is>
          <t>ALL</t>
        </is>
      </c>
      <c r="B487" s="18" t="inlineStr">
        <is>
          <t>Ford Mustang</t>
        </is>
      </c>
      <c r="C487" s="18" t="inlineStr">
        <is>
          <t>Ford</t>
        </is>
      </c>
      <c r="D487" s="18" t="inlineStr">
        <is>
          <t>Mustang</t>
        </is>
      </c>
      <c r="E487" s="18" t="inlineStr">
        <is>
          <t>1973</t>
        </is>
      </c>
      <c r="F487" s="18" t="inlineStr"/>
      <c r="G487" s="18" t="inlineStr">
        <is>
          <t>Convertible/Coupe/Fastback</t>
        </is>
      </c>
      <c r="H487" s="18" t="inlineStr">
        <is>
          <t>3XL+0</t>
        </is>
      </c>
      <c r="I487" s="19">
        <f t="array" ref="I487">TRIM(_xlfn.XLOOKUP(非皮卡压缩表[[#This Row],[BACKSIZE]],ALL尺码表[内部尺码],ALL尺码表[分类],""))</f>
        <v/>
      </c>
      <c r="J487" s="19">
        <f t="array" ref="J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7" s="20">
        <f>LEN(非皮卡压缩表[[#This Row],[LONG-TYPE]])</f>
        <v/>
      </c>
      <c r="L487" s="21">
        <f t="array" ref="L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7" s="22">
        <f>LEN(非皮卡压缩表[[#This Row],[TYPE]])</f>
        <v/>
      </c>
      <c r="N487" s="22">
        <f t="array" ref="N487">_xlfn.XLOOKUP(非皮卡压缩表[[#This Row],[MODEL]],MODEL缩写表[长MODEL],MODEL缩写表[短MODEL],非皮卡压缩表[[#This Row],[MODEL]])</f>
        <v/>
      </c>
      <c r="O487" s="22">
        <f>LEN(非皮卡压缩表[[#This Row],[SHORT-MODEL]])</f>
        <v/>
      </c>
      <c r="P487" s="11">
        <f t="array" ref="P487">TRIM(_xlfn.XLOOKUP(非皮卡压缩表[[#This Row],[BACKSIZE]],ALL尺码表[内部尺码],ALL尺码表[通用尺码]))</f>
        <v/>
      </c>
    </row>
    <row r="488">
      <c r="A488" s="17" t="inlineStr">
        <is>
          <t>ALL</t>
        </is>
      </c>
      <c r="B488" s="18" t="inlineStr">
        <is>
          <t>Ford Mustang</t>
        </is>
      </c>
      <c r="C488" s="18" t="inlineStr">
        <is>
          <t>Ford</t>
        </is>
      </c>
      <c r="D488" s="18" t="inlineStr">
        <is>
          <t>Mustang</t>
        </is>
      </c>
      <c r="E488" s="18" t="inlineStr">
        <is>
          <t>1974-1978</t>
        </is>
      </c>
      <c r="F488" s="18" t="inlineStr"/>
      <c r="G488" s="18" t="inlineStr">
        <is>
          <t>Hatchback</t>
        </is>
      </c>
      <c r="H488" s="18" t="inlineStr">
        <is>
          <t>2L+</t>
        </is>
      </c>
      <c r="I488" s="19">
        <f t="array" ref="I488">TRIM(_xlfn.XLOOKUP(非皮卡压缩表[[#This Row],[BACKSIZE]],ALL尺码表[内部尺码],ALL尺码表[分类],""))</f>
        <v/>
      </c>
      <c r="J488" s="19">
        <f t="array" ref="J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8" s="20">
        <f>LEN(非皮卡压缩表[[#This Row],[LONG-TYPE]])</f>
        <v/>
      </c>
      <c r="L488" s="21">
        <f t="array" ref="L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8" s="22">
        <f>LEN(非皮卡压缩表[[#This Row],[TYPE]])</f>
        <v/>
      </c>
      <c r="N488" s="22">
        <f t="array" ref="N488">_xlfn.XLOOKUP(非皮卡压缩表[[#This Row],[MODEL]],MODEL缩写表[长MODEL],MODEL缩写表[短MODEL],非皮卡压缩表[[#This Row],[MODEL]])</f>
        <v/>
      </c>
      <c r="O488" s="22">
        <f>LEN(非皮卡压缩表[[#This Row],[SHORT-MODEL]])</f>
        <v/>
      </c>
      <c r="P488" s="11">
        <f t="array" ref="P488">TRIM(_xlfn.XLOOKUP(非皮卡压缩表[[#This Row],[BACKSIZE]],ALL尺码表[内部尺码],ALL尺码表[通用尺码]))</f>
        <v/>
      </c>
    </row>
    <row r="489" ht="30" customHeight="1" s="23">
      <c r="A489" s="17" t="inlineStr">
        <is>
          <t>ALL</t>
        </is>
      </c>
      <c r="B489" s="18" t="inlineStr">
        <is>
          <t>Ford Mustang</t>
        </is>
      </c>
      <c r="C489" s="18" t="inlineStr">
        <is>
          <t>Ford</t>
        </is>
      </c>
      <c r="D489" s="18" t="inlineStr">
        <is>
          <t>Mustang</t>
        </is>
      </c>
      <c r="E489" s="18" t="inlineStr">
        <is>
          <t>1974-1978</t>
        </is>
      </c>
      <c r="F489" s="18" t="inlineStr"/>
      <c r="G489" s="18" t="inlineStr">
        <is>
          <t>Coupe</t>
        </is>
      </c>
      <c r="H489" s="18" t="inlineStr">
        <is>
          <t>3M-0</t>
        </is>
      </c>
      <c r="I489" s="19">
        <f t="array" ref="I489">TRIM(_xlfn.XLOOKUP(非皮卡压缩表[[#This Row],[BACKSIZE]],ALL尺码表[内部尺码],ALL尺码表[分类],""))</f>
        <v/>
      </c>
      <c r="J489" s="19">
        <f t="array" ref="J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9" s="20">
        <f>LEN(非皮卡压缩表[[#This Row],[LONG-TYPE]])</f>
        <v/>
      </c>
      <c r="L489" s="21">
        <f t="array" ref="L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9" s="22">
        <f>LEN(非皮卡压缩表[[#This Row],[TYPE]])</f>
        <v/>
      </c>
      <c r="N489" s="22">
        <f t="array" ref="N489">_xlfn.XLOOKUP(非皮卡压缩表[[#This Row],[MODEL]],MODEL缩写表[长MODEL],MODEL缩写表[短MODEL],非皮卡压缩表[[#This Row],[MODEL]])</f>
        <v/>
      </c>
      <c r="O489" s="22">
        <f>LEN(非皮卡压缩表[[#This Row],[SHORT-MODEL]])</f>
        <v/>
      </c>
      <c r="P489" s="11">
        <f t="array" ref="P489">TRIM(_xlfn.XLOOKUP(非皮卡压缩表[[#This Row],[BACKSIZE]],ALL尺码表[内部尺码],ALL尺码表[通用尺码]))</f>
        <v/>
      </c>
    </row>
    <row r="490" ht="30" customHeight="1" s="23">
      <c r="A490" s="17" t="inlineStr">
        <is>
          <t>ALL</t>
        </is>
      </c>
      <c r="B490" s="18" t="inlineStr">
        <is>
          <t>Ford Mustang</t>
        </is>
      </c>
      <c r="C490" s="18" t="inlineStr">
        <is>
          <t>Ford</t>
        </is>
      </c>
      <c r="D490" s="18" t="inlineStr">
        <is>
          <t>Mustang</t>
        </is>
      </c>
      <c r="E490" s="18" t="inlineStr">
        <is>
          <t>1979-1993</t>
        </is>
      </c>
      <c r="F490" s="18" t="inlineStr"/>
      <c r="G490" s="18" t="inlineStr">
        <is>
          <t>Hatchback</t>
        </is>
      </c>
      <c r="H490" s="18" t="inlineStr">
        <is>
          <t>2XL</t>
        </is>
      </c>
      <c r="I490" s="19">
        <f t="array" ref="I490">TRIM(_xlfn.XLOOKUP(非皮卡压缩表[[#This Row],[BACKSIZE]],ALL尺码表[内部尺码],ALL尺码表[分类],""))</f>
        <v/>
      </c>
      <c r="J490" s="19">
        <f t="array" ref="J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0" s="20">
        <f>LEN(非皮卡压缩表[[#This Row],[LONG-TYPE]])</f>
        <v/>
      </c>
      <c r="L490" s="21">
        <f t="array" ref="L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0" s="22">
        <f>LEN(非皮卡压缩表[[#This Row],[TYPE]])</f>
        <v/>
      </c>
      <c r="N490" s="22">
        <f t="array" ref="N490">_xlfn.XLOOKUP(非皮卡压缩表[[#This Row],[MODEL]],MODEL缩写表[长MODEL],MODEL缩写表[短MODEL],非皮卡压缩表[[#This Row],[MODEL]])</f>
        <v/>
      </c>
      <c r="O490" s="22">
        <f>LEN(非皮卡压缩表[[#This Row],[SHORT-MODEL]])</f>
        <v/>
      </c>
      <c r="P490" s="11">
        <f t="array" ref="P490">TRIM(_xlfn.XLOOKUP(非皮卡压缩表[[#This Row],[BACKSIZE]],ALL尺码表[内部尺码],ALL尺码表[通用尺码]))</f>
        <v/>
      </c>
    </row>
    <row r="491">
      <c r="A491" s="17" t="inlineStr">
        <is>
          <t>ALL</t>
        </is>
      </c>
      <c r="B491" s="18" t="inlineStr">
        <is>
          <t>Ford Mustang</t>
        </is>
      </c>
      <c r="C491" s="18" t="inlineStr">
        <is>
          <t>Ford</t>
        </is>
      </c>
      <c r="D491" s="18" t="inlineStr">
        <is>
          <t>Mustang</t>
        </is>
      </c>
      <c r="E491" s="18" t="inlineStr">
        <is>
          <t>1979-2004</t>
        </is>
      </c>
      <c r="F491" s="18" t="inlineStr">
        <is>
          <t>Incl: Mach 1/SVO/SVT Cobra</t>
        </is>
      </c>
      <c r="G491" s="18" t="inlineStr">
        <is>
          <t>Convertible/Coupe</t>
        </is>
      </c>
      <c r="H491" s="18" t="inlineStr">
        <is>
          <t>3L-0</t>
        </is>
      </c>
      <c r="I491" s="19">
        <f t="array" ref="I491">TRIM(_xlfn.XLOOKUP(非皮卡压缩表[[#This Row],[BACKSIZE]],ALL尺码表[内部尺码],ALL尺码表[分类],""))</f>
        <v/>
      </c>
      <c r="J491" s="19">
        <f t="array" ref="J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1" s="20">
        <f>LEN(非皮卡压缩表[[#This Row],[LONG-TYPE]])</f>
        <v/>
      </c>
      <c r="L491" s="21">
        <f t="array" ref="L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1" s="22">
        <f>LEN(非皮卡压缩表[[#This Row],[TYPE]])</f>
        <v/>
      </c>
      <c r="N491" s="22">
        <f t="array" ref="N491">_xlfn.XLOOKUP(非皮卡压缩表[[#This Row],[MODEL]],MODEL缩写表[长MODEL],MODEL缩写表[短MODEL],非皮卡压缩表[[#This Row],[MODEL]])</f>
        <v/>
      </c>
      <c r="O491" s="22">
        <f>LEN(非皮卡压缩表[[#This Row],[SHORT-MODEL]])</f>
        <v/>
      </c>
      <c r="P491" s="11">
        <f t="array" ref="P491">TRIM(_xlfn.XLOOKUP(非皮卡压缩表[[#This Row],[BACKSIZE]],ALL尺码表[内部尺码],ALL尺码表[通用尺码]))</f>
        <v/>
      </c>
    </row>
    <row r="492">
      <c r="A492" s="17" t="inlineStr">
        <is>
          <t>ALL</t>
        </is>
      </c>
      <c r="B492" s="18" t="inlineStr">
        <is>
          <t>Ford Mustang</t>
        </is>
      </c>
      <c r="C492" s="18" t="inlineStr">
        <is>
          <t>Ford</t>
        </is>
      </c>
      <c r="D492" s="18" t="inlineStr">
        <is>
          <t>Mustang</t>
        </is>
      </c>
      <c r="E492" s="18" t="inlineStr">
        <is>
          <t>2005-2026</t>
        </is>
      </c>
      <c r="F492" s="18" t="inlineStr">
        <is>
          <t>Incl: Dark Horse</t>
        </is>
      </c>
      <c r="G492" s="18" t="inlineStr">
        <is>
          <t>Convertible/Coupe</t>
        </is>
      </c>
      <c r="H492" s="18" t="inlineStr">
        <is>
          <t>3XL-0</t>
        </is>
      </c>
      <c r="I492" s="19">
        <f t="array" ref="I492">TRIM(_xlfn.XLOOKUP(非皮卡压缩表[[#This Row],[BACKSIZE]],ALL尺码表[内部尺码],ALL尺码表[分类],""))</f>
        <v/>
      </c>
      <c r="J492" s="19">
        <f t="array" ref="J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2" s="20">
        <f>LEN(非皮卡压缩表[[#This Row],[LONG-TYPE]])</f>
        <v/>
      </c>
      <c r="L492" s="21">
        <f t="array" ref="L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2" s="22">
        <f>LEN(非皮卡压缩表[[#This Row],[TYPE]])</f>
        <v/>
      </c>
      <c r="N492" s="22">
        <f t="array" ref="N492">_xlfn.XLOOKUP(非皮卡压缩表[[#This Row],[MODEL]],MODEL缩写表[长MODEL],MODEL缩写表[短MODEL],非皮卡压缩表[[#This Row],[MODEL]])</f>
        <v/>
      </c>
      <c r="O492" s="22">
        <f>LEN(非皮卡压缩表[[#This Row],[SHORT-MODEL]])</f>
        <v/>
      </c>
      <c r="P492" s="11">
        <f t="array" ref="P492">TRIM(_xlfn.XLOOKUP(非皮卡压缩表[[#This Row],[BACKSIZE]],ALL尺码表[内部尺码],ALL尺码表[通用尺码]))</f>
        <v/>
      </c>
    </row>
    <row r="493">
      <c r="A493" s="17" t="inlineStr">
        <is>
          <t>ALL</t>
        </is>
      </c>
      <c r="B493" s="18" t="inlineStr">
        <is>
          <t>Ford Mustang Mach-E</t>
        </is>
      </c>
      <c r="C493" s="18" t="inlineStr">
        <is>
          <t>Ford</t>
        </is>
      </c>
      <c r="D493" s="18" t="inlineStr">
        <is>
          <t>Mustang Mach-E</t>
        </is>
      </c>
      <c r="E493" s="18" t="inlineStr">
        <is>
          <t>2021-2026</t>
        </is>
      </c>
      <c r="F493" s="18" t="inlineStr">
        <is>
          <t>Incl: Rally</t>
        </is>
      </c>
      <c r="G493" s="18" t="inlineStr">
        <is>
          <t>Coupe SUV/CUV</t>
        </is>
      </c>
      <c r="H493" s="18" t="inlineStr">
        <is>
          <t>YL</t>
        </is>
      </c>
      <c r="I493" s="19">
        <f t="array" ref="I493">TRIM(_xlfn.XLOOKUP(非皮卡压缩表[[#This Row],[BACKSIZE]],ALL尺码表[内部尺码],ALL尺码表[分类],""))</f>
        <v/>
      </c>
      <c r="J493" s="19">
        <f t="array" ref="J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3" s="20">
        <f>LEN(非皮卡压缩表[[#This Row],[LONG-TYPE]])</f>
        <v/>
      </c>
      <c r="L493" s="21">
        <f t="array" ref="L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3" s="22">
        <f>LEN(非皮卡压缩表[[#This Row],[TYPE]])</f>
        <v/>
      </c>
      <c r="N493" s="22">
        <f t="array" ref="N493">_xlfn.XLOOKUP(非皮卡压缩表[[#This Row],[MODEL]],MODEL缩写表[长MODEL],MODEL缩写表[短MODEL],非皮卡压缩表[[#This Row],[MODEL]])</f>
        <v/>
      </c>
      <c r="O493" s="22">
        <f>LEN(非皮卡压缩表[[#This Row],[SHORT-MODEL]])</f>
        <v/>
      </c>
      <c r="P493" s="11">
        <f t="array" ref="P493">TRIM(_xlfn.XLOOKUP(非皮卡压缩表[[#This Row],[BACKSIZE]],ALL尺码表[内部尺码],ALL尺码表[通用尺码]))</f>
        <v/>
      </c>
    </row>
    <row r="494">
      <c r="A494" s="17" t="inlineStr">
        <is>
          <t>ALL</t>
        </is>
      </c>
      <c r="B494" s="18" t="inlineStr">
        <is>
          <t>Ford Taurus</t>
        </is>
      </c>
      <c r="C494" s="18" t="inlineStr">
        <is>
          <t>Ford</t>
        </is>
      </c>
      <c r="D494" s="18" t="inlineStr">
        <is>
          <t>Taurus</t>
        </is>
      </c>
      <c r="E494" s="18" t="inlineStr">
        <is>
          <t>1986-2005</t>
        </is>
      </c>
      <c r="F494" s="18" t="inlineStr"/>
      <c r="G494" s="18" t="inlineStr">
        <is>
          <t>Wagon</t>
        </is>
      </c>
      <c r="H494" s="18" t="inlineStr">
        <is>
          <t>2XL+</t>
        </is>
      </c>
      <c r="I494" s="19">
        <f t="array" ref="I494">TRIM(_xlfn.XLOOKUP(非皮卡压缩表[[#This Row],[BACKSIZE]],ALL尺码表[内部尺码],ALL尺码表[分类],""))</f>
        <v/>
      </c>
      <c r="J494" s="19">
        <f t="array" ref="J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4" s="20">
        <f>LEN(非皮卡压缩表[[#This Row],[LONG-TYPE]])</f>
        <v/>
      </c>
      <c r="L494" s="21">
        <f t="array" ref="L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4" s="22">
        <f>LEN(非皮卡压缩表[[#This Row],[TYPE]])</f>
        <v/>
      </c>
      <c r="N494" s="22">
        <f t="array" ref="N494">_xlfn.XLOOKUP(非皮卡压缩表[[#This Row],[MODEL]],MODEL缩写表[长MODEL],MODEL缩写表[短MODEL],非皮卡压缩表[[#This Row],[MODEL]])</f>
        <v/>
      </c>
      <c r="O494" s="22">
        <f>LEN(非皮卡压缩表[[#This Row],[SHORT-MODEL]])</f>
        <v/>
      </c>
      <c r="P494" s="11">
        <f t="array" ref="P494">TRIM(_xlfn.XLOOKUP(非皮卡压缩表[[#This Row],[BACKSIZE]],ALL尺码表[内部尺码],ALL尺码表[通用尺码]))</f>
        <v/>
      </c>
    </row>
    <row r="495">
      <c r="A495" s="17" t="inlineStr">
        <is>
          <t>ALL</t>
        </is>
      </c>
      <c r="B495" s="18" t="inlineStr">
        <is>
          <t>Ford Taurus</t>
        </is>
      </c>
      <c r="C495" s="18" t="inlineStr">
        <is>
          <t>Ford</t>
        </is>
      </c>
      <c r="D495" s="18" t="inlineStr">
        <is>
          <t>Taurus</t>
        </is>
      </c>
      <c r="E495" s="18" t="inlineStr">
        <is>
          <t>1986-1991</t>
        </is>
      </c>
      <c r="F495" s="18" t="inlineStr"/>
      <c r="G495" s="18" t="inlineStr">
        <is>
          <t>Sedan</t>
        </is>
      </c>
      <c r="H495" s="18" t="inlineStr">
        <is>
          <t>3XL</t>
        </is>
      </c>
      <c r="I495" s="19">
        <f t="array" ref="I495">TRIM(_xlfn.XLOOKUP(非皮卡压缩表[[#This Row],[BACKSIZE]],ALL尺码表[内部尺码],ALL尺码表[分类],""))</f>
        <v/>
      </c>
      <c r="J495" s="19">
        <f t="array" ref="J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5" s="20">
        <f>LEN(非皮卡压缩表[[#This Row],[LONG-TYPE]])</f>
        <v/>
      </c>
      <c r="L495" s="21">
        <f t="array" ref="L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5" s="22">
        <f>LEN(非皮卡压缩表[[#This Row],[TYPE]])</f>
        <v/>
      </c>
      <c r="N495" s="22">
        <f t="array" ref="N495">_xlfn.XLOOKUP(非皮卡压缩表[[#This Row],[MODEL]],MODEL缩写表[长MODEL],MODEL缩写表[短MODEL],非皮卡压缩表[[#This Row],[MODEL]])</f>
        <v/>
      </c>
      <c r="O495" s="22">
        <f>LEN(非皮卡压缩表[[#This Row],[SHORT-MODEL]])</f>
        <v/>
      </c>
      <c r="P495" s="11">
        <f t="array" ref="P495">TRIM(_xlfn.XLOOKUP(非皮卡压缩表[[#This Row],[BACKSIZE]],ALL尺码表[内部尺码],ALL尺码表[通用尺码]))</f>
        <v/>
      </c>
    </row>
    <row r="496">
      <c r="A496" s="17" t="inlineStr">
        <is>
          <t>ALL</t>
        </is>
      </c>
      <c r="B496" s="18" t="inlineStr">
        <is>
          <t>Ford Taurus</t>
        </is>
      </c>
      <c r="C496" s="18" t="inlineStr">
        <is>
          <t>Ford</t>
        </is>
      </c>
      <c r="D496" s="18" t="inlineStr">
        <is>
          <t>Taurus</t>
        </is>
      </c>
      <c r="E496" s="18" t="inlineStr">
        <is>
          <t>1992-2019</t>
        </is>
      </c>
      <c r="F496" s="18" t="inlineStr">
        <is>
          <t>Incl: SHO</t>
        </is>
      </c>
      <c r="G496" s="18" t="inlineStr">
        <is>
          <t>Sedan</t>
        </is>
      </c>
      <c r="H496" s="18" t="inlineStr">
        <is>
          <t>3XXL</t>
        </is>
      </c>
      <c r="I496" s="19">
        <f t="array" ref="I496">TRIM(_xlfn.XLOOKUP(非皮卡压缩表[[#This Row],[BACKSIZE]],ALL尺码表[内部尺码],ALL尺码表[分类],""))</f>
        <v/>
      </c>
      <c r="J496" s="19">
        <f t="array" ref="J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6" s="20">
        <f>LEN(非皮卡压缩表[[#This Row],[LONG-TYPE]])</f>
        <v/>
      </c>
      <c r="L496" s="21">
        <f t="array" ref="L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6" s="22">
        <f>LEN(非皮卡压缩表[[#This Row],[TYPE]])</f>
        <v/>
      </c>
      <c r="N496" s="22">
        <f t="array" ref="N496">_xlfn.XLOOKUP(非皮卡压缩表[[#This Row],[MODEL]],MODEL缩写表[长MODEL],MODEL缩写表[短MODEL],非皮卡压缩表[[#This Row],[MODEL]])</f>
        <v/>
      </c>
      <c r="O496" s="22">
        <f>LEN(非皮卡压缩表[[#This Row],[SHORT-MODEL]])</f>
        <v/>
      </c>
      <c r="P496" s="11">
        <f t="array" ref="P496">TRIM(_xlfn.XLOOKUP(非皮卡压缩表[[#This Row],[BACKSIZE]],ALL尺码表[内部尺码],ALL尺码表[通用尺码]))</f>
        <v/>
      </c>
    </row>
    <row r="497">
      <c r="A497" s="17" t="inlineStr">
        <is>
          <t>ALL</t>
        </is>
      </c>
      <c r="B497" s="18" t="inlineStr">
        <is>
          <t>Ford Thunderbird</t>
        </is>
      </c>
      <c r="C497" s="18" t="inlineStr">
        <is>
          <t>Ford</t>
        </is>
      </c>
      <c r="D497" s="18" t="inlineStr">
        <is>
          <t>Thunderbird</t>
        </is>
      </c>
      <c r="E497" s="18" t="inlineStr">
        <is>
          <t>1955</t>
        </is>
      </c>
      <c r="F497" s="18" t="inlineStr"/>
      <c r="G497" s="18" t="inlineStr">
        <is>
          <t>Convertible</t>
        </is>
      </c>
      <c r="H497" s="18" t="inlineStr">
        <is>
          <t>3M-0</t>
        </is>
      </c>
      <c r="I497" s="19">
        <f t="array" ref="I497">TRIM(_xlfn.XLOOKUP(非皮卡压缩表[[#This Row],[BACKSIZE]],ALL尺码表[内部尺码],ALL尺码表[分类],""))</f>
        <v/>
      </c>
      <c r="J497" s="19">
        <f t="array" ref="J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7" s="20">
        <f>LEN(非皮卡压缩表[[#This Row],[LONG-TYPE]])</f>
        <v/>
      </c>
      <c r="L497" s="21">
        <f t="array" ref="L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7" s="22">
        <f>LEN(非皮卡压缩表[[#This Row],[TYPE]])</f>
        <v/>
      </c>
      <c r="N497" s="22">
        <f t="array" ref="N497">_xlfn.XLOOKUP(非皮卡压缩表[[#This Row],[MODEL]],MODEL缩写表[长MODEL],MODEL缩写表[短MODEL],非皮卡压缩表[[#This Row],[MODEL]])</f>
        <v/>
      </c>
      <c r="O497" s="22">
        <f>LEN(非皮卡压缩表[[#This Row],[SHORT-MODEL]])</f>
        <v/>
      </c>
      <c r="P497" s="11">
        <f t="array" ref="P497">TRIM(_xlfn.XLOOKUP(非皮卡压缩表[[#This Row],[BACKSIZE]],ALL尺码表[内部尺码],ALL尺码表[通用尺码]))</f>
        <v/>
      </c>
    </row>
    <row r="498">
      <c r="A498" s="17" t="inlineStr">
        <is>
          <t>ALL</t>
        </is>
      </c>
      <c r="B498" s="18" t="inlineStr">
        <is>
          <t>Ford Thunderbird</t>
        </is>
      </c>
      <c r="C498" s="18" t="inlineStr">
        <is>
          <t>Ford</t>
        </is>
      </c>
      <c r="D498" s="18" t="inlineStr">
        <is>
          <t>Thunderbird</t>
        </is>
      </c>
      <c r="E498" s="18" t="inlineStr">
        <is>
          <t>1956</t>
        </is>
      </c>
      <c r="F498" s="18" t="inlineStr"/>
      <c r="G498" s="18" t="inlineStr">
        <is>
          <t>Convertible</t>
        </is>
      </c>
      <c r="H498" s="18" t="inlineStr">
        <is>
          <t>3XL-0</t>
        </is>
      </c>
      <c r="I498" s="19">
        <f t="array" ref="I498">TRIM(_xlfn.XLOOKUP(非皮卡压缩表[[#This Row],[BACKSIZE]],ALL尺码表[内部尺码],ALL尺码表[分类],""))</f>
        <v/>
      </c>
      <c r="J498" s="19">
        <f t="array" ref="J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8" s="20">
        <f>LEN(非皮卡压缩表[[#This Row],[LONG-TYPE]])</f>
        <v/>
      </c>
      <c r="L498" s="21">
        <f t="array" ref="L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8" s="22">
        <f>LEN(非皮卡压缩表[[#This Row],[TYPE]])</f>
        <v/>
      </c>
      <c r="N498" s="22">
        <f t="array" ref="N498">_xlfn.XLOOKUP(非皮卡压缩表[[#This Row],[MODEL]],MODEL缩写表[长MODEL],MODEL缩写表[短MODEL],非皮卡压缩表[[#This Row],[MODEL]])</f>
        <v/>
      </c>
      <c r="O498" s="22">
        <f>LEN(非皮卡压缩表[[#This Row],[SHORT-MODEL]])</f>
        <v/>
      </c>
      <c r="P498" s="11">
        <f t="array" ref="P498">TRIM(_xlfn.XLOOKUP(非皮卡压缩表[[#This Row],[BACKSIZE]],ALL尺码表[内部尺码],ALL尺码表[通用尺码]))</f>
        <v/>
      </c>
    </row>
    <row r="499">
      <c r="A499" s="17" t="inlineStr">
        <is>
          <t>ALL</t>
        </is>
      </c>
      <c r="B499" s="18" t="inlineStr">
        <is>
          <t>Ford Thunderbird</t>
        </is>
      </c>
      <c r="C499" s="18" t="inlineStr">
        <is>
          <t>Ford</t>
        </is>
      </c>
      <c r="D499" s="18" t="inlineStr">
        <is>
          <t>Thunderbird</t>
        </is>
      </c>
      <c r="E499" s="18" t="inlineStr">
        <is>
          <t>1957</t>
        </is>
      </c>
      <c r="F499" s="18" t="inlineStr"/>
      <c r="G499" s="18" t="inlineStr">
        <is>
          <t>Convertible</t>
        </is>
      </c>
      <c r="H499" s="18" t="inlineStr">
        <is>
          <t>3L-0</t>
        </is>
      </c>
      <c r="I499" s="19">
        <f t="array" ref="I499">TRIM(_xlfn.XLOOKUP(非皮卡压缩表[[#This Row],[BACKSIZE]],ALL尺码表[内部尺码],ALL尺码表[分类],""))</f>
        <v/>
      </c>
      <c r="J499" s="19">
        <f t="array" ref="J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9" s="20">
        <f>LEN(非皮卡压缩表[[#This Row],[LONG-TYPE]])</f>
        <v/>
      </c>
      <c r="L499" s="21">
        <f t="array" ref="L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9" s="22">
        <f>LEN(非皮卡压缩表[[#This Row],[TYPE]])</f>
        <v/>
      </c>
      <c r="N499" s="22">
        <f t="array" ref="N499">_xlfn.XLOOKUP(非皮卡压缩表[[#This Row],[MODEL]],MODEL缩写表[长MODEL],MODEL缩写表[短MODEL],非皮卡压缩表[[#This Row],[MODEL]])</f>
        <v/>
      </c>
      <c r="O499" s="22">
        <f>LEN(非皮卡压缩表[[#This Row],[SHORT-MODEL]])</f>
        <v/>
      </c>
      <c r="P499" s="11">
        <f t="array" ref="P499">TRIM(_xlfn.XLOOKUP(非皮卡压缩表[[#This Row],[BACKSIZE]],ALL尺码表[内部尺码],ALL尺码表[通用尺码]))</f>
        <v/>
      </c>
    </row>
    <row r="500">
      <c r="A500" s="17" t="inlineStr">
        <is>
          <t>ALL</t>
        </is>
      </c>
      <c r="B500" s="18" t="inlineStr">
        <is>
          <t>Ford Thunderbird</t>
        </is>
      </c>
      <c r="C500" s="18" t="inlineStr">
        <is>
          <t>Ford</t>
        </is>
      </c>
      <c r="D500" s="18" t="inlineStr">
        <is>
          <t>Thunderbird</t>
        </is>
      </c>
      <c r="E500" s="18" t="inlineStr">
        <is>
          <t>1958-1966</t>
        </is>
      </c>
      <c r="F500" s="18" t="inlineStr"/>
      <c r="G500" s="18" t="inlineStr">
        <is>
          <t>Convertible/Coupe</t>
        </is>
      </c>
      <c r="H500" s="18" t="inlineStr">
        <is>
          <t>3XXL-0</t>
        </is>
      </c>
      <c r="I500" s="19">
        <f t="array" ref="I500">TRIM(_xlfn.XLOOKUP(非皮卡压缩表[[#This Row],[BACKSIZE]],ALL尺码表[内部尺码],ALL尺码表[分类],""))</f>
        <v/>
      </c>
      <c r="J500" s="19">
        <f t="array" ref="J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0" s="20">
        <f>LEN(非皮卡压缩表[[#This Row],[LONG-TYPE]])</f>
        <v/>
      </c>
      <c r="L500" s="21">
        <f t="array" ref="L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0" s="22">
        <f>LEN(非皮卡压缩表[[#This Row],[TYPE]])</f>
        <v/>
      </c>
      <c r="N500" s="22">
        <f t="array" ref="N500">_xlfn.XLOOKUP(非皮卡压缩表[[#This Row],[MODEL]],MODEL缩写表[长MODEL],MODEL缩写表[短MODEL],非皮卡压缩表[[#This Row],[MODEL]])</f>
        <v/>
      </c>
      <c r="O500" s="22">
        <f>LEN(非皮卡压缩表[[#This Row],[SHORT-MODEL]])</f>
        <v/>
      </c>
      <c r="P500" s="11">
        <f t="array" ref="P500">TRIM(_xlfn.XLOOKUP(非皮卡压缩表[[#This Row],[BACKSIZE]],ALL尺码表[内部尺码],ALL尺码表[通用尺码]))</f>
        <v/>
      </c>
    </row>
    <row r="501">
      <c r="A501" s="17" t="inlineStr">
        <is>
          <t>ALL</t>
        </is>
      </c>
      <c r="B501" s="18" t="inlineStr">
        <is>
          <t>Ford Thunderbird</t>
        </is>
      </c>
      <c r="C501" s="18" t="inlineStr">
        <is>
          <t>Ford</t>
        </is>
      </c>
      <c r="D501" s="18" t="inlineStr">
        <is>
          <t>Thunderbird</t>
        </is>
      </c>
      <c r="E501" s="18" t="inlineStr">
        <is>
          <t>1967-1979</t>
        </is>
      </c>
      <c r="F501" s="18" t="inlineStr"/>
      <c r="G501" s="18" t="inlineStr">
        <is>
          <t>Coupe</t>
        </is>
      </c>
      <c r="H501" s="18" t="inlineStr">
        <is>
          <t>3XXXL-0</t>
        </is>
      </c>
      <c r="I501" s="19">
        <f t="array" ref="I501">TRIM(_xlfn.XLOOKUP(非皮卡压缩表[[#This Row],[BACKSIZE]],ALL尺码表[内部尺码],ALL尺码表[分类],""))</f>
        <v/>
      </c>
      <c r="J501" s="19">
        <f t="array" ref="J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1" s="20">
        <f>LEN(非皮卡压缩表[[#This Row],[LONG-TYPE]])</f>
        <v/>
      </c>
      <c r="L501" s="21">
        <f t="array" ref="L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1" s="22">
        <f>LEN(非皮卡压缩表[[#This Row],[TYPE]])</f>
        <v/>
      </c>
      <c r="N501" s="22">
        <f t="array" ref="N501">_xlfn.XLOOKUP(非皮卡压缩表[[#This Row],[MODEL]],MODEL缩写表[长MODEL],MODEL缩写表[短MODEL],非皮卡压缩表[[#This Row],[MODEL]])</f>
        <v/>
      </c>
      <c r="O501" s="22">
        <f>LEN(非皮卡压缩表[[#This Row],[SHORT-MODEL]])</f>
        <v/>
      </c>
      <c r="P501" s="11">
        <f t="array" ref="P501">TRIM(_xlfn.XLOOKUP(非皮卡压缩表[[#This Row],[BACKSIZE]],ALL尺码表[内部尺码],ALL尺码表[通用尺码]))</f>
        <v/>
      </c>
    </row>
    <row r="502">
      <c r="A502" s="17" t="inlineStr">
        <is>
          <t>ALL</t>
        </is>
      </c>
      <c r="B502" s="18" t="inlineStr">
        <is>
          <t>Ford Thunderbird</t>
        </is>
      </c>
      <c r="C502" s="18" t="inlineStr">
        <is>
          <t>Ford</t>
        </is>
      </c>
      <c r="D502" s="18" t="inlineStr">
        <is>
          <t>Thunderbird</t>
        </is>
      </c>
      <c r="E502" s="18" t="inlineStr">
        <is>
          <t>1980-1997</t>
        </is>
      </c>
      <c r="F502" s="18" t="inlineStr"/>
      <c r="G502" s="18" t="inlineStr">
        <is>
          <t>Coupe</t>
        </is>
      </c>
      <c r="H502" s="18" t="inlineStr">
        <is>
          <t>3XL+0</t>
        </is>
      </c>
      <c r="I502" s="19">
        <f t="array" ref="I502">TRIM(_xlfn.XLOOKUP(非皮卡压缩表[[#This Row],[BACKSIZE]],ALL尺码表[内部尺码],ALL尺码表[分类],""))</f>
        <v/>
      </c>
      <c r="J502" s="19">
        <f t="array" ref="J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2" s="20">
        <f>LEN(非皮卡压缩表[[#This Row],[LONG-TYPE]])</f>
        <v/>
      </c>
      <c r="L502" s="21">
        <f t="array" ref="L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2" s="22">
        <f>LEN(非皮卡压缩表[[#This Row],[TYPE]])</f>
        <v/>
      </c>
      <c r="N502" s="22">
        <f t="array" ref="N502">_xlfn.XLOOKUP(非皮卡压缩表[[#This Row],[MODEL]],MODEL缩写表[长MODEL],MODEL缩写表[短MODEL],非皮卡压缩表[[#This Row],[MODEL]])</f>
        <v/>
      </c>
      <c r="O502" s="22">
        <f>LEN(非皮卡压缩表[[#This Row],[SHORT-MODEL]])</f>
        <v/>
      </c>
      <c r="P502" s="11">
        <f t="array" ref="P502">TRIM(_xlfn.XLOOKUP(非皮卡压缩表[[#This Row],[BACKSIZE]],ALL尺码表[内部尺码],ALL尺码表[通用尺码]))</f>
        <v/>
      </c>
    </row>
    <row r="503">
      <c r="A503" s="17" t="inlineStr">
        <is>
          <t>ALL</t>
        </is>
      </c>
      <c r="B503" s="18" t="inlineStr">
        <is>
          <t>Ford Thunderbird</t>
        </is>
      </c>
      <c r="C503" s="18" t="inlineStr">
        <is>
          <t>Ford</t>
        </is>
      </c>
      <c r="D503" s="18" t="inlineStr">
        <is>
          <t>Thunderbird</t>
        </is>
      </c>
      <c r="E503" s="18" t="inlineStr">
        <is>
          <t>2002-2005</t>
        </is>
      </c>
      <c r="F503" s="18" t="inlineStr"/>
      <c r="G503" s="18" t="inlineStr">
        <is>
          <t>Coupe</t>
        </is>
      </c>
      <c r="H503" s="18" t="inlineStr">
        <is>
          <t>3XL-0</t>
        </is>
      </c>
      <c r="I503" s="19">
        <f t="array" ref="I503">TRIM(_xlfn.XLOOKUP(非皮卡压缩表[[#This Row],[BACKSIZE]],ALL尺码表[内部尺码],ALL尺码表[分类],""))</f>
        <v/>
      </c>
      <c r="J503" s="19">
        <f t="array" ref="J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3" s="20">
        <f>LEN(非皮卡压缩表[[#This Row],[LONG-TYPE]])</f>
        <v/>
      </c>
      <c r="L503" s="21">
        <f t="array" ref="L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3" s="22">
        <f>LEN(非皮卡压缩表[[#This Row],[TYPE]])</f>
        <v/>
      </c>
      <c r="N503" s="22">
        <f t="array" ref="N503">_xlfn.XLOOKUP(非皮卡压缩表[[#This Row],[MODEL]],MODEL缩写表[长MODEL],MODEL缩写表[短MODEL],非皮卡压缩表[[#This Row],[MODEL]])</f>
        <v/>
      </c>
      <c r="O503" s="22">
        <f>LEN(非皮卡压缩表[[#This Row],[SHORT-MODEL]])</f>
        <v/>
      </c>
      <c r="P503" s="11">
        <f t="array" ref="P503">TRIM(_xlfn.XLOOKUP(非皮卡压缩表[[#This Row],[BACKSIZE]],ALL尺码表[内部尺码],ALL尺码表[通用尺码]))</f>
        <v/>
      </c>
    </row>
    <row r="504">
      <c r="A504" s="17" t="inlineStr">
        <is>
          <t>ALL</t>
        </is>
      </c>
      <c r="B504" s="18" t="inlineStr">
        <is>
          <t>GMC Acadia</t>
        </is>
      </c>
      <c r="C504" s="18" t="inlineStr">
        <is>
          <t>GMC</t>
        </is>
      </c>
      <c r="D504" s="18" t="inlineStr">
        <is>
          <t>Acadia</t>
        </is>
      </c>
      <c r="E504" s="18" t="inlineStr">
        <is>
          <t>2007-2023</t>
        </is>
      </c>
      <c r="F504" s="18" t="inlineStr">
        <is>
          <t>Incl: Limited</t>
        </is>
      </c>
      <c r="G504" s="18" t="inlineStr">
        <is>
          <t>SUV</t>
        </is>
      </c>
      <c r="H504" s="18" t="inlineStr">
        <is>
          <t>YXL</t>
        </is>
      </c>
      <c r="I504" s="19">
        <f t="array" ref="I504">TRIM(_xlfn.XLOOKUP(非皮卡压缩表[[#This Row],[BACKSIZE]],ALL尺码表[内部尺码],ALL尺码表[分类],""))</f>
        <v/>
      </c>
      <c r="J504" s="19">
        <f t="array" ref="J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4" s="20">
        <f>LEN(非皮卡压缩表[[#This Row],[LONG-TYPE]])</f>
        <v/>
      </c>
      <c r="L504" s="21">
        <f t="array" ref="L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4" s="22">
        <f>LEN(非皮卡压缩表[[#This Row],[TYPE]])</f>
        <v/>
      </c>
      <c r="N504" s="22">
        <f t="array" ref="N504">_xlfn.XLOOKUP(非皮卡压缩表[[#This Row],[MODEL]],MODEL缩写表[长MODEL],MODEL缩写表[短MODEL],非皮卡压缩表[[#This Row],[MODEL]])</f>
        <v/>
      </c>
      <c r="O504" s="22">
        <f>LEN(非皮卡压缩表[[#This Row],[SHORT-MODEL]])</f>
        <v/>
      </c>
      <c r="P504" s="11">
        <f t="array" ref="P504">TRIM(_xlfn.XLOOKUP(非皮卡压缩表[[#This Row],[BACKSIZE]],ALL尺码表[内部尺码],ALL尺码表[通用尺码]))</f>
        <v/>
      </c>
    </row>
    <row r="505">
      <c r="A505" s="17" t="inlineStr">
        <is>
          <t>ALL</t>
        </is>
      </c>
      <c r="B505" s="18" t="inlineStr">
        <is>
          <t>GMC Acadia</t>
        </is>
      </c>
      <c r="C505" s="18" t="inlineStr">
        <is>
          <t>GMC</t>
        </is>
      </c>
      <c r="D505" s="18" t="inlineStr">
        <is>
          <t>Acadia</t>
        </is>
      </c>
      <c r="E505" s="18" t="inlineStr">
        <is>
          <t>2024-2026</t>
        </is>
      </c>
      <c r="F505" s="18" t="inlineStr"/>
      <c r="G505" s="18" t="inlineStr">
        <is>
          <t>SUV</t>
        </is>
      </c>
      <c r="H505" s="18" t="inlineStr">
        <is>
          <t>YXXL</t>
        </is>
      </c>
      <c r="I505" s="19">
        <f t="array" ref="I505">TRIM(_xlfn.XLOOKUP(非皮卡压缩表[[#This Row],[BACKSIZE]],ALL尺码表[内部尺码],ALL尺码表[分类],""))</f>
        <v/>
      </c>
      <c r="J505" s="19">
        <f t="array" ref="J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5" s="20">
        <f>LEN(非皮卡压缩表[[#This Row],[LONG-TYPE]])</f>
        <v/>
      </c>
      <c r="L505" s="21">
        <f t="array" ref="L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5" s="22">
        <f>LEN(非皮卡压缩表[[#This Row],[TYPE]])</f>
        <v/>
      </c>
      <c r="N505" s="22">
        <f t="array" ref="N505">_xlfn.XLOOKUP(非皮卡压缩表[[#This Row],[MODEL]],MODEL缩写表[长MODEL],MODEL缩写表[短MODEL],非皮卡压缩表[[#This Row],[MODEL]])</f>
        <v/>
      </c>
      <c r="O505" s="22">
        <f>LEN(非皮卡压缩表[[#This Row],[SHORT-MODEL]])</f>
        <v/>
      </c>
      <c r="P505" s="11">
        <f t="array" ref="P505">TRIM(_xlfn.XLOOKUP(非皮卡压缩表[[#This Row],[BACKSIZE]],ALL尺码表[内部尺码],ALL尺码表[通用尺码]))</f>
        <v/>
      </c>
    </row>
    <row r="506">
      <c r="A506" s="17" t="inlineStr">
        <is>
          <t>ALL</t>
        </is>
      </c>
      <c r="B506" s="18" t="inlineStr">
        <is>
          <t>GMC Envoy</t>
        </is>
      </c>
      <c r="C506" s="18" t="inlineStr">
        <is>
          <t>GMC</t>
        </is>
      </c>
      <c r="D506" s="18" t="inlineStr">
        <is>
          <t>Envoy</t>
        </is>
      </c>
      <c r="E506" s="18" t="inlineStr">
        <is>
          <t>2002-2009</t>
        </is>
      </c>
      <c r="F506" s="18" t="inlineStr"/>
      <c r="G506" s="18" t="inlineStr">
        <is>
          <t>SUV</t>
        </is>
      </c>
      <c r="H506" s="18" t="inlineStr">
        <is>
          <t>YXL</t>
        </is>
      </c>
      <c r="I506" s="19">
        <f t="array" ref="I506">TRIM(_xlfn.XLOOKUP(非皮卡压缩表[[#This Row],[BACKSIZE]],ALL尺码表[内部尺码],ALL尺码表[分类],""))</f>
        <v/>
      </c>
      <c r="J506" s="19">
        <f t="array" ref="J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6" s="20">
        <f>LEN(非皮卡压缩表[[#This Row],[LONG-TYPE]])</f>
        <v/>
      </c>
      <c r="L506" s="21">
        <f t="array" ref="L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6" s="22">
        <f>LEN(非皮卡压缩表[[#This Row],[TYPE]])</f>
        <v/>
      </c>
      <c r="N506" s="22">
        <f t="array" ref="N506">_xlfn.XLOOKUP(非皮卡压缩表[[#This Row],[MODEL]],MODEL缩写表[长MODEL],MODEL缩写表[短MODEL],非皮卡压缩表[[#This Row],[MODEL]])</f>
        <v/>
      </c>
      <c r="O506" s="22">
        <f>LEN(非皮卡压缩表[[#This Row],[SHORT-MODEL]])</f>
        <v/>
      </c>
      <c r="P506" s="11">
        <f t="array" ref="P506">TRIM(_xlfn.XLOOKUP(非皮卡压缩表[[#This Row],[BACKSIZE]],ALL尺码表[内部尺码],ALL尺码表[通用尺码]))</f>
        <v/>
      </c>
    </row>
    <row r="507">
      <c r="A507" s="17" t="inlineStr">
        <is>
          <t>ALL</t>
        </is>
      </c>
      <c r="B507" s="18" t="inlineStr">
        <is>
          <t>GMC Hummer SUV</t>
        </is>
      </c>
      <c r="C507" s="18" t="inlineStr">
        <is>
          <t>GMC</t>
        </is>
      </c>
      <c r="D507" s="18" t="inlineStr">
        <is>
          <t>Hummer SUV</t>
        </is>
      </c>
      <c r="E507" s="18" t="inlineStr">
        <is>
          <t>2024-2026</t>
        </is>
      </c>
      <c r="F507" s="18" t="inlineStr"/>
      <c r="G507" s="18" t="inlineStr">
        <is>
          <t>SUV</t>
        </is>
      </c>
      <c r="H507" s="18" t="inlineStr">
        <is>
          <t>YXXL</t>
        </is>
      </c>
      <c r="I507" s="19">
        <f t="array" ref="I507">TRIM(_xlfn.XLOOKUP(非皮卡压缩表[[#This Row],[BACKSIZE]],ALL尺码表[内部尺码],ALL尺码表[分类],""))</f>
        <v/>
      </c>
      <c r="J507" s="19">
        <f t="array" ref="J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7" s="20">
        <f>LEN(非皮卡压缩表[[#This Row],[LONG-TYPE]])</f>
        <v/>
      </c>
      <c r="L507" s="21">
        <f t="array" ref="L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7" s="22">
        <f>LEN(非皮卡压缩表[[#This Row],[TYPE]])</f>
        <v/>
      </c>
      <c r="N507" s="22">
        <f t="array" ref="N507">_xlfn.XLOOKUP(非皮卡压缩表[[#This Row],[MODEL]],MODEL缩写表[长MODEL],MODEL缩写表[短MODEL],非皮卡压缩表[[#This Row],[MODEL]])</f>
        <v/>
      </c>
      <c r="O507" s="22">
        <f>LEN(非皮卡压缩表[[#This Row],[SHORT-MODEL]])</f>
        <v/>
      </c>
      <c r="P507" s="11">
        <f t="array" ref="P507">TRIM(_xlfn.XLOOKUP(非皮卡压缩表[[#This Row],[BACKSIZE]],ALL尺码表[内部尺码],ALL尺码表[通用尺码]))</f>
        <v/>
      </c>
    </row>
    <row r="508">
      <c r="A508" s="17" t="inlineStr">
        <is>
          <t>ALL</t>
        </is>
      </c>
      <c r="B508" s="18" t="inlineStr">
        <is>
          <t>GMC Jimmy</t>
        </is>
      </c>
      <c r="C508" s="18" t="inlineStr">
        <is>
          <t>GMC</t>
        </is>
      </c>
      <c r="D508" s="18" t="inlineStr">
        <is>
          <t>Jimmy</t>
        </is>
      </c>
      <c r="E508" s="18" t="inlineStr">
        <is>
          <t>1983-2001</t>
        </is>
      </c>
      <c r="F508" s="18" t="inlineStr"/>
      <c r="G508" s="18" t="inlineStr">
        <is>
          <t>SUV</t>
        </is>
      </c>
      <c r="H508" s="18" t="inlineStr">
        <is>
          <t>YM+</t>
        </is>
      </c>
      <c r="I508" s="19">
        <f t="array" ref="I508">TRIM(_xlfn.XLOOKUP(非皮卡压缩表[[#This Row],[BACKSIZE]],ALL尺码表[内部尺码],ALL尺码表[分类],""))</f>
        <v/>
      </c>
      <c r="J508" s="19">
        <f t="array" ref="J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8" s="20">
        <f>LEN(非皮卡压缩表[[#This Row],[LONG-TYPE]])</f>
        <v/>
      </c>
      <c r="L508" s="21">
        <f t="array" ref="L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8" s="22">
        <f>LEN(非皮卡压缩表[[#This Row],[TYPE]])</f>
        <v/>
      </c>
      <c r="N508" s="22">
        <f t="array" ref="N508">_xlfn.XLOOKUP(非皮卡压缩表[[#This Row],[MODEL]],MODEL缩写表[长MODEL],MODEL缩写表[短MODEL],非皮卡压缩表[[#This Row],[MODEL]])</f>
        <v/>
      </c>
      <c r="O508" s="22">
        <f>LEN(非皮卡压缩表[[#This Row],[SHORT-MODEL]])</f>
        <v/>
      </c>
      <c r="P508" s="11">
        <f t="array" ref="P508">TRIM(_xlfn.XLOOKUP(非皮卡压缩表[[#This Row],[BACKSIZE]],ALL尺码表[内部尺码],ALL尺码表[通用尺码]))</f>
        <v/>
      </c>
    </row>
    <row r="509">
      <c r="A509" s="17" t="inlineStr">
        <is>
          <t>ALL</t>
        </is>
      </c>
      <c r="B509" s="18" t="inlineStr">
        <is>
          <t>GMC Jimmy</t>
        </is>
      </c>
      <c r="C509" s="18" t="inlineStr">
        <is>
          <t>GMC</t>
        </is>
      </c>
      <c r="D509" s="18" t="inlineStr">
        <is>
          <t>Jimmy</t>
        </is>
      </c>
      <c r="E509" s="18" t="inlineStr">
        <is>
          <t>1995-2000</t>
        </is>
      </c>
      <c r="F509" s="18" t="inlineStr"/>
      <c r="G509" s="18" t="inlineStr">
        <is>
          <t>SUV</t>
        </is>
      </c>
      <c r="H509" s="18" t="inlineStr">
        <is>
          <t>YL</t>
        </is>
      </c>
      <c r="I509" s="19">
        <f t="array" ref="I509">TRIM(_xlfn.XLOOKUP(非皮卡压缩表[[#This Row],[BACKSIZE]],ALL尺码表[内部尺码],ALL尺码表[分类],""))</f>
        <v/>
      </c>
      <c r="J509" s="19">
        <f t="array" ref="J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9" s="20">
        <f>LEN(非皮卡压缩表[[#This Row],[LONG-TYPE]])</f>
        <v/>
      </c>
      <c r="L509" s="21">
        <f t="array" ref="L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9" s="22">
        <f>LEN(非皮卡压缩表[[#This Row],[TYPE]])</f>
        <v/>
      </c>
      <c r="N509" s="22">
        <f t="array" ref="N509">_xlfn.XLOOKUP(非皮卡压缩表[[#This Row],[MODEL]],MODEL缩写表[长MODEL],MODEL缩写表[短MODEL],非皮卡压缩表[[#This Row],[MODEL]])</f>
        <v/>
      </c>
      <c r="O509" s="22">
        <f>LEN(非皮卡压缩表[[#This Row],[SHORT-MODEL]])</f>
        <v/>
      </c>
      <c r="P509" s="11">
        <f t="array" ref="P509">TRIM(_xlfn.XLOOKUP(非皮卡压缩表[[#This Row],[BACKSIZE]],ALL尺码表[内部尺码],ALL尺码表[通用尺码]))</f>
        <v/>
      </c>
    </row>
    <row r="510">
      <c r="A510" s="17" t="inlineStr">
        <is>
          <t>ALL</t>
        </is>
      </c>
      <c r="B510" s="18" t="inlineStr">
        <is>
          <t>GMC Terrain</t>
        </is>
      </c>
      <c r="C510" s="18" t="inlineStr">
        <is>
          <t>GMC</t>
        </is>
      </c>
      <c r="D510" s="18" t="inlineStr">
        <is>
          <t>Terrain</t>
        </is>
      </c>
      <c r="E510" s="18" t="inlineStr">
        <is>
          <t>2010-2024</t>
        </is>
      </c>
      <c r="F510" s="18" t="inlineStr"/>
      <c r="G510" s="18" t="inlineStr">
        <is>
          <t>SUV</t>
        </is>
      </c>
      <c r="H510" s="18" t="inlineStr">
        <is>
          <t>YL</t>
        </is>
      </c>
      <c r="I510" s="19">
        <f t="array" ref="I510">TRIM(_xlfn.XLOOKUP(非皮卡压缩表[[#This Row],[BACKSIZE]],ALL尺码表[内部尺码],ALL尺码表[分类],""))</f>
        <v/>
      </c>
      <c r="J510" s="19">
        <f t="array" ref="J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0" s="20">
        <f>LEN(非皮卡压缩表[[#This Row],[LONG-TYPE]])</f>
        <v/>
      </c>
      <c r="L510" s="21">
        <f t="array" ref="L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0" s="22">
        <f>LEN(非皮卡压缩表[[#This Row],[TYPE]])</f>
        <v/>
      </c>
      <c r="N510" s="22">
        <f t="array" ref="N510">_xlfn.XLOOKUP(非皮卡压缩表[[#This Row],[MODEL]],MODEL缩写表[长MODEL],MODEL缩写表[短MODEL],非皮卡压缩表[[#This Row],[MODEL]])</f>
        <v/>
      </c>
      <c r="O510" s="22">
        <f>LEN(非皮卡压缩表[[#This Row],[SHORT-MODEL]])</f>
        <v/>
      </c>
      <c r="P510" s="11">
        <f t="array" ref="P510">TRIM(_xlfn.XLOOKUP(非皮卡压缩表[[#This Row],[BACKSIZE]],ALL尺码表[内部尺码],ALL尺码表[通用尺码]))</f>
        <v/>
      </c>
    </row>
    <row r="511">
      <c r="A511" s="17" t="inlineStr">
        <is>
          <t>ALL</t>
        </is>
      </c>
      <c r="B511" s="18" t="inlineStr">
        <is>
          <t>GMC Terrain</t>
        </is>
      </c>
      <c r="C511" s="18" t="inlineStr">
        <is>
          <t>GMC</t>
        </is>
      </c>
      <c r="D511" s="18" t="inlineStr">
        <is>
          <t>Terrain</t>
        </is>
      </c>
      <c r="E511" s="18" t="inlineStr">
        <is>
          <t>2025-2026</t>
        </is>
      </c>
      <c r="F511" s="18" t="inlineStr"/>
      <c r="G511" s="18" t="inlineStr">
        <is>
          <t>SUV</t>
        </is>
      </c>
      <c r="H511" s="18" t="inlineStr">
        <is>
          <t>YM+</t>
        </is>
      </c>
      <c r="I511" s="19">
        <f t="array" ref="I511">TRIM(_xlfn.XLOOKUP(非皮卡压缩表[[#This Row],[BACKSIZE]],ALL尺码表[内部尺码],ALL尺码表[分类],""))</f>
        <v/>
      </c>
      <c r="J511" s="19">
        <f t="array" ref="J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1" s="20">
        <f>LEN(非皮卡压缩表[[#This Row],[LONG-TYPE]])</f>
        <v/>
      </c>
      <c r="L511" s="21">
        <f t="array" ref="L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1" s="22">
        <f>LEN(非皮卡压缩表[[#This Row],[TYPE]])</f>
        <v/>
      </c>
      <c r="N511" s="22">
        <f t="array" ref="N511">_xlfn.XLOOKUP(非皮卡压缩表[[#This Row],[MODEL]],MODEL缩写表[长MODEL],MODEL缩写表[短MODEL],非皮卡压缩表[[#This Row],[MODEL]])</f>
        <v/>
      </c>
      <c r="O511" s="22">
        <f>LEN(非皮卡压缩表[[#This Row],[SHORT-MODEL]])</f>
        <v/>
      </c>
      <c r="P511" s="11">
        <f t="array" ref="P511">TRIM(_xlfn.XLOOKUP(非皮卡压缩表[[#This Row],[BACKSIZE]],ALL尺码表[内部尺码],ALL尺码表[通用尺码]))</f>
        <v/>
      </c>
    </row>
    <row r="512">
      <c r="A512" s="17" t="inlineStr">
        <is>
          <t>ALL</t>
        </is>
      </c>
      <c r="B512" s="18" t="inlineStr">
        <is>
          <t>GMC Yukon</t>
        </is>
      </c>
      <c r="C512" s="18" t="inlineStr">
        <is>
          <t>GMC</t>
        </is>
      </c>
      <c r="D512" s="18" t="inlineStr">
        <is>
          <t>Yukon</t>
        </is>
      </c>
      <c r="E512" s="18" t="inlineStr">
        <is>
          <t>1992-1997</t>
        </is>
      </c>
      <c r="F512" s="18" t="inlineStr"/>
      <c r="G512" s="18" t="inlineStr">
        <is>
          <t>SUV</t>
        </is>
      </c>
      <c r="H512" s="18" t="inlineStr">
        <is>
          <t>YL</t>
        </is>
      </c>
      <c r="I512" s="19">
        <f t="array" ref="I512">TRIM(_xlfn.XLOOKUP(非皮卡压缩表[[#This Row],[BACKSIZE]],ALL尺码表[内部尺码],ALL尺码表[分类],""))</f>
        <v/>
      </c>
      <c r="J512" s="19">
        <f t="array" ref="J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2" s="20">
        <f>LEN(非皮卡压缩表[[#This Row],[LONG-TYPE]])</f>
        <v/>
      </c>
      <c r="L512" s="21">
        <f t="array" ref="L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2" s="22">
        <f>LEN(非皮卡压缩表[[#This Row],[TYPE]])</f>
        <v/>
      </c>
      <c r="N512" s="22">
        <f t="array" ref="N512">_xlfn.XLOOKUP(非皮卡压缩表[[#This Row],[MODEL]],MODEL缩写表[长MODEL],MODEL缩写表[短MODEL],非皮卡压缩表[[#This Row],[MODEL]])</f>
        <v/>
      </c>
      <c r="O512" s="22">
        <f>LEN(非皮卡压缩表[[#This Row],[SHORT-MODEL]])</f>
        <v/>
      </c>
      <c r="P512" s="11">
        <f t="array" ref="P512">TRIM(_xlfn.XLOOKUP(非皮卡压缩表[[#This Row],[BACKSIZE]],ALL尺码表[内部尺码],ALL尺码表[通用尺码]))</f>
        <v/>
      </c>
    </row>
    <row r="513">
      <c r="A513" s="17" t="inlineStr">
        <is>
          <t>ALL</t>
        </is>
      </c>
      <c r="B513" s="18" t="inlineStr">
        <is>
          <t>GMC Yukon</t>
        </is>
      </c>
      <c r="C513" s="18" t="inlineStr">
        <is>
          <t>GMC</t>
        </is>
      </c>
      <c r="D513" s="18" t="inlineStr">
        <is>
          <t>Yukon</t>
        </is>
      </c>
      <c r="E513" s="18" t="inlineStr">
        <is>
          <t>1995-1999</t>
        </is>
      </c>
      <c r="F513" s="18" t="inlineStr"/>
      <c r="G513" s="18" t="inlineStr">
        <is>
          <t>SUV</t>
        </is>
      </c>
      <c r="H513" s="18" t="inlineStr">
        <is>
          <t>YXL</t>
        </is>
      </c>
      <c r="I513" s="19">
        <f t="array" ref="I513">TRIM(_xlfn.XLOOKUP(非皮卡压缩表[[#This Row],[BACKSIZE]],ALL尺码表[内部尺码],ALL尺码表[分类],""))</f>
        <v/>
      </c>
      <c r="J513" s="19">
        <f t="array" ref="J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3" s="20">
        <f>LEN(非皮卡压缩表[[#This Row],[LONG-TYPE]])</f>
        <v/>
      </c>
      <c r="L513" s="21">
        <f t="array" ref="L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3" s="22">
        <f>LEN(非皮卡压缩表[[#This Row],[TYPE]])</f>
        <v/>
      </c>
      <c r="N513" s="22">
        <f t="array" ref="N513">_xlfn.XLOOKUP(非皮卡压缩表[[#This Row],[MODEL]],MODEL缩写表[长MODEL],MODEL缩写表[短MODEL],非皮卡压缩表[[#This Row],[MODEL]])</f>
        <v/>
      </c>
      <c r="O513" s="22">
        <f>LEN(非皮卡压缩表[[#This Row],[SHORT-MODEL]])</f>
        <v/>
      </c>
      <c r="P513" s="11">
        <f t="array" ref="P513">TRIM(_xlfn.XLOOKUP(非皮卡压缩表[[#This Row],[BACKSIZE]],ALL尺码表[内部尺码],ALL尺码表[通用尺码]))</f>
        <v/>
      </c>
    </row>
    <row r="514">
      <c r="A514" s="17" t="inlineStr">
        <is>
          <t>ALL</t>
        </is>
      </c>
      <c r="B514" s="18" t="inlineStr">
        <is>
          <t>GMC Yukon</t>
        </is>
      </c>
      <c r="C514" s="18" t="inlineStr">
        <is>
          <t>GMC</t>
        </is>
      </c>
      <c r="D514" s="18" t="inlineStr">
        <is>
          <t>Yukon</t>
        </is>
      </c>
      <c r="E514" s="18" t="inlineStr">
        <is>
          <t>2000-2020</t>
        </is>
      </c>
      <c r="F514" s="18" t="inlineStr"/>
      <c r="G514" s="18" t="inlineStr">
        <is>
          <t>SUV</t>
        </is>
      </c>
      <c r="H514" s="18" t="inlineStr">
        <is>
          <t>YXXL</t>
        </is>
      </c>
      <c r="I514" s="19">
        <f t="array" ref="I514">TRIM(_xlfn.XLOOKUP(非皮卡压缩表[[#This Row],[BACKSIZE]],ALL尺码表[内部尺码],ALL尺码表[分类],""))</f>
        <v/>
      </c>
      <c r="J514" s="19">
        <f t="array" ref="J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4" s="20">
        <f>LEN(非皮卡压缩表[[#This Row],[LONG-TYPE]])</f>
        <v/>
      </c>
      <c r="L514" s="21">
        <f t="array" ref="L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4" s="22">
        <f>LEN(非皮卡压缩表[[#This Row],[TYPE]])</f>
        <v/>
      </c>
      <c r="N514" s="22">
        <f t="array" ref="N514">_xlfn.XLOOKUP(非皮卡压缩表[[#This Row],[MODEL]],MODEL缩写表[长MODEL],MODEL缩写表[短MODEL],非皮卡压缩表[[#This Row],[MODEL]])</f>
        <v/>
      </c>
      <c r="O514" s="22">
        <f>LEN(非皮卡压缩表[[#This Row],[SHORT-MODEL]])</f>
        <v/>
      </c>
      <c r="P514" s="11">
        <f t="array" ref="P514">TRIM(_xlfn.XLOOKUP(非皮卡压缩表[[#This Row],[BACKSIZE]],ALL尺码表[内部尺码],ALL尺码表[通用尺码]))</f>
        <v/>
      </c>
    </row>
    <row r="515">
      <c r="A515" s="17" t="inlineStr">
        <is>
          <t>ALL</t>
        </is>
      </c>
      <c r="B515" s="18" t="inlineStr">
        <is>
          <t>GMC Yukon</t>
        </is>
      </c>
      <c r="C515" s="18" t="inlineStr">
        <is>
          <t>GMC</t>
        </is>
      </c>
      <c r="D515" s="18" t="inlineStr">
        <is>
          <t>Yukon</t>
        </is>
      </c>
      <c r="E515" s="18" t="inlineStr">
        <is>
          <t>2021-2026</t>
        </is>
      </c>
      <c r="F515" s="18" t="inlineStr"/>
      <c r="G515" s="18" t="inlineStr">
        <is>
          <t>SUV</t>
        </is>
      </c>
      <c r="H515" s="18" t="inlineStr">
        <is>
          <t>YXXL-545</t>
        </is>
      </c>
      <c r="I515" s="19">
        <f t="array" ref="I515">TRIM(_xlfn.XLOOKUP(非皮卡压缩表[[#This Row],[BACKSIZE]],ALL尺码表[内部尺码],ALL尺码表[分类],""))</f>
        <v/>
      </c>
      <c r="J515" s="19">
        <f t="array" ref="J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5" s="20">
        <f>LEN(非皮卡压缩表[[#This Row],[LONG-TYPE]])</f>
        <v/>
      </c>
      <c r="L515" s="21">
        <f t="array" ref="L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5" s="22">
        <f>LEN(非皮卡压缩表[[#This Row],[TYPE]])</f>
        <v/>
      </c>
      <c r="N515" s="22">
        <f t="array" ref="N515">_xlfn.XLOOKUP(非皮卡压缩表[[#This Row],[MODEL]],MODEL缩写表[长MODEL],MODEL缩写表[短MODEL],非皮卡压缩表[[#This Row],[MODEL]])</f>
        <v/>
      </c>
      <c r="O515" s="22">
        <f>LEN(非皮卡压缩表[[#This Row],[SHORT-MODEL]])</f>
        <v/>
      </c>
      <c r="P515" s="11">
        <f t="array" ref="P515">TRIM(_xlfn.XLOOKUP(非皮卡压缩表[[#This Row],[BACKSIZE]],ALL尺码表[内部尺码],ALL尺码表[通用尺码]))</f>
        <v/>
      </c>
    </row>
    <row r="516">
      <c r="A516" s="17" t="inlineStr">
        <is>
          <t>ALL</t>
        </is>
      </c>
      <c r="B516" s="18" t="inlineStr">
        <is>
          <t>GMC Yukon XL</t>
        </is>
      </c>
      <c r="C516" s="18" t="inlineStr">
        <is>
          <t>GMC</t>
        </is>
      </c>
      <c r="D516" s="18" t="inlineStr">
        <is>
          <t>Yukon XL</t>
        </is>
      </c>
      <c r="E516" s="18" t="inlineStr">
        <is>
          <t>2000-2026</t>
        </is>
      </c>
      <c r="F516" s="18" t="inlineStr"/>
      <c r="G516" s="18" t="inlineStr">
        <is>
          <t>SUV</t>
        </is>
      </c>
      <c r="H516" s="18" t="inlineStr">
        <is>
          <t>YXXL-585</t>
        </is>
      </c>
      <c r="I516" s="19">
        <f t="array" ref="I516">TRIM(_xlfn.XLOOKUP(非皮卡压缩表[[#This Row],[BACKSIZE]],ALL尺码表[内部尺码],ALL尺码表[分类],""))</f>
        <v/>
      </c>
      <c r="J516" s="19">
        <f t="array" ref="J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6" s="20">
        <f>LEN(非皮卡压缩表[[#This Row],[LONG-TYPE]])</f>
        <v/>
      </c>
      <c r="L516" s="21">
        <f t="array" ref="L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6" s="22">
        <f>LEN(非皮卡压缩表[[#This Row],[TYPE]])</f>
        <v/>
      </c>
      <c r="N516" s="22">
        <f t="array" ref="N516">_xlfn.XLOOKUP(非皮卡压缩表[[#This Row],[MODEL]],MODEL缩写表[长MODEL],MODEL缩写表[短MODEL],非皮卡压缩表[[#This Row],[MODEL]])</f>
        <v/>
      </c>
      <c r="O516" s="22">
        <f>LEN(非皮卡压缩表[[#This Row],[SHORT-MODEL]])</f>
        <v/>
      </c>
      <c r="P516" s="11">
        <f t="array" ref="P516">TRIM(_xlfn.XLOOKUP(非皮卡压缩表[[#This Row],[BACKSIZE]],ALL尺码表[内部尺码],ALL尺码表[通用尺码]))</f>
        <v/>
      </c>
    </row>
    <row r="517">
      <c r="A517" s="17" t="inlineStr">
        <is>
          <t>ALL</t>
        </is>
      </c>
      <c r="B517" s="18" t="inlineStr">
        <is>
          <t>Genesis EQ900</t>
        </is>
      </c>
      <c r="C517" s="18" t="inlineStr">
        <is>
          <t>Genesis</t>
        </is>
      </c>
      <c r="D517" s="18" t="inlineStr">
        <is>
          <t>EQ900</t>
        </is>
      </c>
      <c r="E517" s="18" t="inlineStr">
        <is>
          <t>2017-2026</t>
        </is>
      </c>
      <c r="F517" s="18" t="inlineStr">
        <is>
          <t>G90</t>
        </is>
      </c>
      <c r="G517" s="18" t="inlineStr">
        <is>
          <t>Sedan</t>
        </is>
      </c>
      <c r="H517" s="18" t="inlineStr">
        <is>
          <t>3XXL</t>
        </is>
      </c>
      <c r="I517" s="19">
        <f t="array" ref="I517">TRIM(_xlfn.XLOOKUP(非皮卡压缩表[[#This Row],[BACKSIZE]],ALL尺码表[内部尺码],ALL尺码表[分类],""))</f>
        <v/>
      </c>
      <c r="J517" s="19">
        <f t="array" ref="J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7" s="20">
        <f>LEN(非皮卡压缩表[[#This Row],[LONG-TYPE]])</f>
        <v/>
      </c>
      <c r="L517" s="21">
        <f t="array" ref="L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7" s="22">
        <f>LEN(非皮卡压缩表[[#This Row],[TYPE]])</f>
        <v/>
      </c>
      <c r="N517" s="22">
        <f t="array" ref="N517">_xlfn.XLOOKUP(非皮卡压缩表[[#This Row],[MODEL]],MODEL缩写表[长MODEL],MODEL缩写表[短MODEL],非皮卡压缩表[[#This Row],[MODEL]])</f>
        <v/>
      </c>
      <c r="O517" s="22">
        <f>LEN(非皮卡压缩表[[#This Row],[SHORT-MODEL]])</f>
        <v/>
      </c>
      <c r="P517" s="11">
        <f t="array" ref="P517">TRIM(_xlfn.XLOOKUP(非皮卡压缩表[[#This Row],[BACKSIZE]],ALL尺码表[内部尺码],ALL尺码表[通用尺码]))</f>
        <v/>
      </c>
    </row>
    <row r="518">
      <c r="A518" s="17" t="inlineStr">
        <is>
          <t>ALL</t>
        </is>
      </c>
      <c r="B518" s="18" t="inlineStr">
        <is>
          <t>Genesis G70</t>
        </is>
      </c>
      <c r="C518" s="18" t="inlineStr">
        <is>
          <t>Genesis</t>
        </is>
      </c>
      <c r="D518" s="18" t="inlineStr">
        <is>
          <t>G70</t>
        </is>
      </c>
      <c r="E518" s="18" t="inlineStr">
        <is>
          <t>2019-2026</t>
        </is>
      </c>
      <c r="F518" s="18" t="inlineStr"/>
      <c r="G518" s="18" t="inlineStr">
        <is>
          <t>Sedan</t>
        </is>
      </c>
      <c r="H518" s="18" t="inlineStr">
        <is>
          <t>3L</t>
        </is>
      </c>
      <c r="I518" s="19">
        <f t="array" ref="I518">TRIM(_xlfn.XLOOKUP(非皮卡压缩表[[#This Row],[BACKSIZE]],ALL尺码表[内部尺码],ALL尺码表[分类],""))</f>
        <v/>
      </c>
      <c r="J518" s="19">
        <f t="array" ref="J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8" s="20">
        <f>LEN(非皮卡压缩表[[#This Row],[LONG-TYPE]])</f>
        <v/>
      </c>
      <c r="L518" s="21">
        <f t="array" ref="L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8" s="22">
        <f>LEN(非皮卡压缩表[[#This Row],[TYPE]])</f>
        <v/>
      </c>
      <c r="N518" s="22">
        <f t="array" ref="N518">_xlfn.XLOOKUP(非皮卡压缩表[[#This Row],[MODEL]],MODEL缩写表[长MODEL],MODEL缩写表[短MODEL],非皮卡压缩表[[#This Row],[MODEL]])</f>
        <v/>
      </c>
      <c r="O518" s="22">
        <f>LEN(非皮卡压缩表[[#This Row],[SHORT-MODEL]])</f>
        <v/>
      </c>
      <c r="P518" s="11">
        <f t="array" ref="P518">TRIM(_xlfn.XLOOKUP(非皮卡压缩表[[#This Row],[BACKSIZE]],ALL尺码表[内部尺码],ALL尺码表[通用尺码]))</f>
        <v/>
      </c>
    </row>
    <row r="519">
      <c r="A519" s="17" t="inlineStr">
        <is>
          <t>ALL</t>
        </is>
      </c>
      <c r="B519" s="18" t="inlineStr">
        <is>
          <t>Genesis G80</t>
        </is>
      </c>
      <c r="C519" s="18" t="inlineStr">
        <is>
          <t>Genesis</t>
        </is>
      </c>
      <c r="D519" s="18" t="inlineStr">
        <is>
          <t>G80</t>
        </is>
      </c>
      <c r="E519" s="18" t="inlineStr">
        <is>
          <t>2017-2026</t>
        </is>
      </c>
      <c r="F519" s="18" t="inlineStr">
        <is>
          <t>Incl: Sport</t>
        </is>
      </c>
      <c r="G519" s="18" t="inlineStr">
        <is>
          <t>Sedan</t>
        </is>
      </c>
      <c r="H519" s="18" t="inlineStr">
        <is>
          <t>3XXL</t>
        </is>
      </c>
      <c r="I519" s="19">
        <f t="array" ref="I519">TRIM(_xlfn.XLOOKUP(非皮卡压缩表[[#This Row],[BACKSIZE]],ALL尺码表[内部尺码],ALL尺码表[分类],""))</f>
        <v/>
      </c>
      <c r="J519" s="19">
        <f t="array" ref="J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9" s="20">
        <f>LEN(非皮卡压缩表[[#This Row],[LONG-TYPE]])</f>
        <v/>
      </c>
      <c r="L519" s="21">
        <f t="array" ref="L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9" s="22">
        <f>LEN(非皮卡压缩表[[#This Row],[TYPE]])</f>
        <v/>
      </c>
      <c r="N519" s="22">
        <f t="array" ref="N519">_xlfn.XLOOKUP(非皮卡压缩表[[#This Row],[MODEL]],MODEL缩写表[长MODEL],MODEL缩写表[短MODEL],非皮卡压缩表[[#This Row],[MODEL]])</f>
        <v/>
      </c>
      <c r="O519" s="22">
        <f>LEN(非皮卡压缩表[[#This Row],[SHORT-MODEL]])</f>
        <v/>
      </c>
      <c r="P519" s="11">
        <f t="array" ref="P519">TRIM(_xlfn.XLOOKUP(非皮卡压缩表[[#This Row],[BACKSIZE]],ALL尺码表[内部尺码],ALL尺码表[通用尺码]))</f>
        <v/>
      </c>
    </row>
    <row r="520">
      <c r="A520" s="17" t="inlineStr">
        <is>
          <t>ALL</t>
        </is>
      </c>
      <c r="B520" s="18" t="inlineStr">
        <is>
          <t>Genesis G90</t>
        </is>
      </c>
      <c r="C520" s="18" t="inlineStr">
        <is>
          <t>Genesis</t>
        </is>
      </c>
      <c r="D520" s="18" t="inlineStr">
        <is>
          <t>G90</t>
        </is>
      </c>
      <c r="E520" s="18" t="inlineStr">
        <is>
          <t>2017-2026</t>
        </is>
      </c>
      <c r="F520" s="18" t="inlineStr"/>
      <c r="G520" s="18" t="inlineStr">
        <is>
          <t>Sedan</t>
        </is>
      </c>
      <c r="H520" s="18" t="inlineStr">
        <is>
          <t>3XXL</t>
        </is>
      </c>
      <c r="I520" s="19">
        <f t="array" ref="I520">TRIM(_xlfn.XLOOKUP(非皮卡压缩表[[#This Row],[BACKSIZE]],ALL尺码表[内部尺码],ALL尺码表[分类],""))</f>
        <v/>
      </c>
      <c r="J520" s="19">
        <f t="array" ref="J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0" s="20">
        <f>LEN(非皮卡压缩表[[#This Row],[LONG-TYPE]])</f>
        <v/>
      </c>
      <c r="L520" s="21">
        <f t="array" ref="L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0" s="22">
        <f>LEN(非皮卡压缩表[[#This Row],[TYPE]])</f>
        <v/>
      </c>
      <c r="N520" s="22">
        <f t="array" ref="N520">_xlfn.XLOOKUP(非皮卡压缩表[[#This Row],[MODEL]],MODEL缩写表[长MODEL],MODEL缩写表[短MODEL],非皮卡压缩表[[#This Row],[MODEL]])</f>
        <v/>
      </c>
      <c r="O520" s="22">
        <f>LEN(非皮卡压缩表[[#This Row],[SHORT-MODEL]])</f>
        <v/>
      </c>
      <c r="P520" s="11">
        <f t="array" ref="P520">TRIM(_xlfn.XLOOKUP(非皮卡压缩表[[#This Row],[BACKSIZE]],ALL尺码表[内部尺码],ALL尺码表[通用尺码]))</f>
        <v/>
      </c>
    </row>
    <row r="521">
      <c r="A521" s="17" t="inlineStr">
        <is>
          <t>ALL</t>
        </is>
      </c>
      <c r="B521" s="18" t="inlineStr">
        <is>
          <t>Genesis GV60</t>
        </is>
      </c>
      <c r="C521" s="18" t="inlineStr">
        <is>
          <t>Genesis</t>
        </is>
      </c>
      <c r="D521" s="18" t="inlineStr">
        <is>
          <t>GV60</t>
        </is>
      </c>
      <c r="E521" s="18" t="inlineStr">
        <is>
          <t>2023-2026</t>
        </is>
      </c>
      <c r="F521" s="18" t="inlineStr"/>
      <c r="G521" s="18" t="inlineStr">
        <is>
          <t>SUV</t>
        </is>
      </c>
      <c r="H521" s="18" t="inlineStr">
        <is>
          <t>YM+</t>
        </is>
      </c>
      <c r="I521" s="19">
        <f t="array" ref="I521">TRIM(_xlfn.XLOOKUP(非皮卡压缩表[[#This Row],[BACKSIZE]],ALL尺码表[内部尺码],ALL尺码表[分类],""))</f>
        <v/>
      </c>
      <c r="J521" s="19">
        <f t="array" ref="J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1" s="20">
        <f>LEN(非皮卡压缩表[[#This Row],[LONG-TYPE]])</f>
        <v/>
      </c>
      <c r="L521" s="21">
        <f t="array" ref="L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1" s="22">
        <f>LEN(非皮卡压缩表[[#This Row],[TYPE]])</f>
        <v/>
      </c>
      <c r="N521" s="22">
        <f t="array" ref="N521">_xlfn.XLOOKUP(非皮卡压缩表[[#This Row],[MODEL]],MODEL缩写表[长MODEL],MODEL缩写表[短MODEL],非皮卡压缩表[[#This Row],[MODEL]])</f>
        <v/>
      </c>
      <c r="O521" s="22">
        <f>LEN(非皮卡压缩表[[#This Row],[SHORT-MODEL]])</f>
        <v/>
      </c>
      <c r="P521" s="11">
        <f t="array" ref="P521">TRIM(_xlfn.XLOOKUP(非皮卡压缩表[[#This Row],[BACKSIZE]],ALL尺码表[内部尺码],ALL尺码表[通用尺码]))</f>
        <v/>
      </c>
    </row>
    <row r="522">
      <c r="A522" s="17" t="inlineStr">
        <is>
          <t>ALL</t>
        </is>
      </c>
      <c r="B522" s="18" t="inlineStr">
        <is>
          <t>Genesis GV70</t>
        </is>
      </c>
      <c r="C522" s="18" t="inlineStr">
        <is>
          <t>Genesis</t>
        </is>
      </c>
      <c r="D522" s="18" t="inlineStr">
        <is>
          <t>GV70</t>
        </is>
      </c>
      <c r="E522" s="18" t="inlineStr">
        <is>
          <t>2022-2026</t>
        </is>
      </c>
      <c r="F522" s="18" t="inlineStr"/>
      <c r="G522" s="18" t="inlineStr">
        <is>
          <t>SUV</t>
        </is>
      </c>
      <c r="H522" s="18" t="inlineStr">
        <is>
          <t>YL</t>
        </is>
      </c>
      <c r="I522" s="19">
        <f t="array" ref="I522">TRIM(_xlfn.XLOOKUP(非皮卡压缩表[[#This Row],[BACKSIZE]],ALL尺码表[内部尺码],ALL尺码表[分类],""))</f>
        <v/>
      </c>
      <c r="J522" s="19">
        <f t="array" ref="J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2" s="20">
        <f>LEN(非皮卡压缩表[[#This Row],[LONG-TYPE]])</f>
        <v/>
      </c>
      <c r="L522" s="21">
        <f t="array" ref="L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2" s="22">
        <f>LEN(非皮卡压缩表[[#This Row],[TYPE]])</f>
        <v/>
      </c>
      <c r="N522" s="22">
        <f t="array" ref="N522">_xlfn.XLOOKUP(非皮卡压缩表[[#This Row],[MODEL]],MODEL缩写表[长MODEL],MODEL缩写表[短MODEL],非皮卡压缩表[[#This Row],[MODEL]])</f>
        <v/>
      </c>
      <c r="O522" s="22">
        <f>LEN(非皮卡压缩表[[#This Row],[SHORT-MODEL]])</f>
        <v/>
      </c>
      <c r="P522" s="11">
        <f t="array" ref="P522">TRIM(_xlfn.XLOOKUP(非皮卡压缩表[[#This Row],[BACKSIZE]],ALL尺码表[内部尺码],ALL尺码表[通用尺码]))</f>
        <v/>
      </c>
    </row>
    <row r="523">
      <c r="A523" s="17" t="inlineStr">
        <is>
          <t>ALL</t>
        </is>
      </c>
      <c r="B523" s="18" t="inlineStr">
        <is>
          <t>Genesis GV80</t>
        </is>
      </c>
      <c r="C523" s="18" t="inlineStr">
        <is>
          <t>Genesis</t>
        </is>
      </c>
      <c r="D523" s="18" t="inlineStr">
        <is>
          <t>GV80</t>
        </is>
      </c>
      <c r="E523" s="18" t="inlineStr">
        <is>
          <t>2021-2026</t>
        </is>
      </c>
      <c r="F523" s="18" t="inlineStr"/>
      <c r="G523" s="18" t="inlineStr">
        <is>
          <t>SUV</t>
        </is>
      </c>
      <c r="H523" s="18" t="inlineStr">
        <is>
          <t>YXL</t>
        </is>
      </c>
      <c r="I523" s="19">
        <f t="array" ref="I523">TRIM(_xlfn.XLOOKUP(非皮卡压缩表[[#This Row],[BACKSIZE]],ALL尺码表[内部尺码],ALL尺码表[分类],""))</f>
        <v/>
      </c>
      <c r="J523" s="19">
        <f t="array" ref="J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3" s="20">
        <f>LEN(非皮卡压缩表[[#This Row],[LONG-TYPE]])</f>
        <v/>
      </c>
      <c r="L523" s="21">
        <f t="array" ref="L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3" s="22">
        <f>LEN(非皮卡压缩表[[#This Row],[TYPE]])</f>
        <v/>
      </c>
      <c r="N523" s="22">
        <f t="array" ref="N523">_xlfn.XLOOKUP(非皮卡压缩表[[#This Row],[MODEL]],MODEL缩写表[长MODEL],MODEL缩写表[短MODEL],非皮卡压缩表[[#This Row],[MODEL]])</f>
        <v/>
      </c>
      <c r="O523" s="22">
        <f>LEN(非皮卡压缩表[[#This Row],[SHORT-MODEL]])</f>
        <v/>
      </c>
      <c r="P523" s="11">
        <f t="array" ref="P523">TRIM(_xlfn.XLOOKUP(非皮卡压缩表[[#This Row],[BACKSIZE]],ALL尺码表[内部尺码],ALL尺码表[通用尺码]))</f>
        <v/>
      </c>
    </row>
    <row r="524">
      <c r="A524" s="17" t="inlineStr">
        <is>
          <t>ALL</t>
        </is>
      </c>
      <c r="B524" s="18" t="inlineStr">
        <is>
          <t>Honda Accord</t>
        </is>
      </c>
      <c r="C524" s="18" t="inlineStr">
        <is>
          <t>Honda</t>
        </is>
      </c>
      <c r="D524" s="18" t="inlineStr">
        <is>
          <t>Accord</t>
        </is>
      </c>
      <c r="E524" s="18" t="inlineStr">
        <is>
          <t>1976-1981</t>
        </is>
      </c>
      <c r="F524" s="18" t="inlineStr"/>
      <c r="G524" s="18" t="inlineStr">
        <is>
          <t>Hatchback</t>
        </is>
      </c>
      <c r="H524" s="18" t="inlineStr">
        <is>
          <t>2M</t>
        </is>
      </c>
      <c r="I524" s="19">
        <f t="array" ref="I524">TRIM(_xlfn.XLOOKUP(非皮卡压缩表[[#This Row],[BACKSIZE]],ALL尺码表[内部尺码],ALL尺码表[分类],""))</f>
        <v/>
      </c>
      <c r="J524" s="19">
        <f t="array" ref="J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4" s="20">
        <f>LEN(非皮卡压缩表[[#This Row],[LONG-TYPE]])</f>
        <v/>
      </c>
      <c r="L524" s="21">
        <f t="array" ref="L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4" s="22">
        <f>LEN(非皮卡压缩表[[#This Row],[TYPE]])</f>
        <v/>
      </c>
      <c r="N524" s="22">
        <f t="array" ref="N524">_xlfn.XLOOKUP(非皮卡压缩表[[#This Row],[MODEL]],MODEL缩写表[长MODEL],MODEL缩写表[短MODEL],非皮卡压缩表[[#This Row],[MODEL]])</f>
        <v/>
      </c>
      <c r="O524" s="22">
        <f>LEN(非皮卡压缩表[[#This Row],[SHORT-MODEL]])</f>
        <v/>
      </c>
      <c r="P524" s="11">
        <f t="array" ref="P524">TRIM(_xlfn.XLOOKUP(非皮卡压缩表[[#This Row],[BACKSIZE]],ALL尺码表[内部尺码],ALL尺码表[通用尺码]))</f>
        <v/>
      </c>
    </row>
    <row r="525">
      <c r="A525" s="17" t="inlineStr">
        <is>
          <t>ALL</t>
        </is>
      </c>
      <c r="B525" s="18" t="inlineStr">
        <is>
          <t>Honda Accord</t>
        </is>
      </c>
      <c r="C525" s="18" t="inlineStr">
        <is>
          <t>Honda</t>
        </is>
      </c>
      <c r="D525" s="18" t="inlineStr">
        <is>
          <t>Accord</t>
        </is>
      </c>
      <c r="E525" s="18" t="inlineStr">
        <is>
          <t>1979-1989</t>
        </is>
      </c>
      <c r="F525" s="18" t="inlineStr"/>
      <c r="G525" s="18" t="inlineStr">
        <is>
          <t>Sedan</t>
        </is>
      </c>
      <c r="H525" s="18" t="inlineStr">
        <is>
          <t>3L</t>
        </is>
      </c>
      <c r="I525" s="19">
        <f t="array" ref="I525">TRIM(_xlfn.XLOOKUP(非皮卡压缩表[[#This Row],[BACKSIZE]],ALL尺码表[内部尺码],ALL尺码表[分类],""))</f>
        <v/>
      </c>
      <c r="J525" s="19">
        <f t="array" ref="J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5" s="20">
        <f>LEN(非皮卡压缩表[[#This Row],[LONG-TYPE]])</f>
        <v/>
      </c>
      <c r="L525" s="21">
        <f t="array" ref="L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5" s="22">
        <f>LEN(非皮卡压缩表[[#This Row],[TYPE]])</f>
        <v/>
      </c>
      <c r="N525" s="22">
        <f t="array" ref="N525">_xlfn.XLOOKUP(非皮卡压缩表[[#This Row],[MODEL]],MODEL缩写表[长MODEL],MODEL缩写表[短MODEL],非皮卡压缩表[[#This Row],[MODEL]])</f>
        <v/>
      </c>
      <c r="O525" s="22">
        <f>LEN(非皮卡压缩表[[#This Row],[SHORT-MODEL]])</f>
        <v/>
      </c>
      <c r="P525" s="11">
        <f t="array" ref="P525">TRIM(_xlfn.XLOOKUP(非皮卡压缩表[[#This Row],[BACKSIZE]],ALL尺码表[内部尺码],ALL尺码表[通用尺码]))</f>
        <v/>
      </c>
    </row>
    <row r="526">
      <c r="A526" s="17" t="inlineStr">
        <is>
          <t>ALL</t>
        </is>
      </c>
      <c r="B526" s="18" t="inlineStr">
        <is>
          <t>Honda Accord</t>
        </is>
      </c>
      <c r="C526" s="18" t="inlineStr">
        <is>
          <t>Honda</t>
        </is>
      </c>
      <c r="D526" s="18" t="inlineStr">
        <is>
          <t>Accord</t>
        </is>
      </c>
      <c r="E526" s="18" t="inlineStr">
        <is>
          <t>1982-1989</t>
        </is>
      </c>
      <c r="F526" s="18" t="inlineStr"/>
      <c r="G526" s="18" t="inlineStr">
        <is>
          <t>Hatchback</t>
        </is>
      </c>
      <c r="H526" s="18" t="inlineStr">
        <is>
          <t>2L+</t>
        </is>
      </c>
      <c r="I526" s="19">
        <f t="array" ref="I526">TRIM(_xlfn.XLOOKUP(非皮卡压缩表[[#This Row],[BACKSIZE]],ALL尺码表[内部尺码],ALL尺码表[分类],""))</f>
        <v/>
      </c>
      <c r="J526" s="19">
        <f t="array" ref="J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6" s="20">
        <f>LEN(非皮卡压缩表[[#This Row],[LONG-TYPE]])</f>
        <v/>
      </c>
      <c r="L526" s="21">
        <f t="array" ref="L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6" s="22">
        <f>LEN(非皮卡压缩表[[#This Row],[TYPE]])</f>
        <v/>
      </c>
      <c r="N526" s="22">
        <f t="array" ref="N526">_xlfn.XLOOKUP(非皮卡压缩表[[#This Row],[MODEL]],MODEL缩写表[长MODEL],MODEL缩写表[短MODEL],非皮卡压缩表[[#This Row],[MODEL]])</f>
        <v/>
      </c>
      <c r="O526" s="22">
        <f>LEN(非皮卡压缩表[[#This Row],[SHORT-MODEL]])</f>
        <v/>
      </c>
      <c r="P526" s="11">
        <f t="array" ref="P526">TRIM(_xlfn.XLOOKUP(非皮卡压缩表[[#This Row],[BACKSIZE]],ALL尺码表[内部尺码],ALL尺码表[通用尺码]))</f>
        <v/>
      </c>
    </row>
    <row r="527">
      <c r="A527" s="17" t="inlineStr">
        <is>
          <t>ALL</t>
        </is>
      </c>
      <c r="B527" s="18" t="inlineStr">
        <is>
          <t>Honda Accord</t>
        </is>
      </c>
      <c r="C527" s="18" t="inlineStr">
        <is>
          <t>Honda</t>
        </is>
      </c>
      <c r="D527" s="18" t="inlineStr">
        <is>
          <t>Accord</t>
        </is>
      </c>
      <c r="E527" s="18" t="inlineStr">
        <is>
          <t>1988-1990</t>
        </is>
      </c>
      <c r="F527" s="18" t="inlineStr"/>
      <c r="G527" s="18" t="inlineStr">
        <is>
          <t>Coupe</t>
        </is>
      </c>
      <c r="H527" s="18" t="inlineStr">
        <is>
          <t>3L-0</t>
        </is>
      </c>
      <c r="I527" s="19">
        <f t="array" ref="I527">TRIM(_xlfn.XLOOKUP(非皮卡压缩表[[#This Row],[BACKSIZE]],ALL尺码表[内部尺码],ALL尺码表[分类],""))</f>
        <v/>
      </c>
      <c r="J527" s="19">
        <f t="array" ref="J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7" s="20">
        <f>LEN(非皮卡压缩表[[#This Row],[LONG-TYPE]])</f>
        <v/>
      </c>
      <c r="L527" s="21">
        <f t="array" ref="L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7" s="22">
        <f>LEN(非皮卡压缩表[[#This Row],[TYPE]])</f>
        <v/>
      </c>
      <c r="N527" s="22">
        <f t="array" ref="N527">_xlfn.XLOOKUP(非皮卡压缩表[[#This Row],[MODEL]],MODEL缩写表[长MODEL],MODEL缩写表[短MODEL],非皮卡压缩表[[#This Row],[MODEL]])</f>
        <v/>
      </c>
      <c r="O527" s="22">
        <f>LEN(非皮卡压缩表[[#This Row],[SHORT-MODEL]])</f>
        <v/>
      </c>
      <c r="P527" s="11">
        <f t="array" ref="P527">TRIM(_xlfn.XLOOKUP(非皮卡压缩表[[#This Row],[BACKSIZE]],ALL尺码表[内部尺码],ALL尺码表[通用尺码]))</f>
        <v/>
      </c>
    </row>
    <row r="528">
      <c r="A528" s="17" t="inlineStr">
        <is>
          <t>ALL</t>
        </is>
      </c>
      <c r="B528" s="18" t="inlineStr">
        <is>
          <t>Honda Accord</t>
        </is>
      </c>
      <c r="C528" s="18" t="inlineStr">
        <is>
          <t>Honda</t>
        </is>
      </c>
      <c r="D528" s="18" t="inlineStr">
        <is>
          <t>Accord</t>
        </is>
      </c>
      <c r="E528" s="18" t="inlineStr">
        <is>
          <t>1990-1997</t>
        </is>
      </c>
      <c r="F528" s="18" t="inlineStr"/>
      <c r="G528" s="18" t="inlineStr">
        <is>
          <t>Wagon</t>
        </is>
      </c>
      <c r="H528" s="18" t="inlineStr">
        <is>
          <t>2XL</t>
        </is>
      </c>
      <c r="I528" s="19">
        <f t="array" ref="I528">TRIM(_xlfn.XLOOKUP(非皮卡压缩表[[#This Row],[BACKSIZE]],ALL尺码表[内部尺码],ALL尺码表[分类],""))</f>
        <v/>
      </c>
      <c r="J528" s="19">
        <f t="array" ref="J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8" s="20">
        <f>LEN(非皮卡压缩表[[#This Row],[LONG-TYPE]])</f>
        <v/>
      </c>
      <c r="L528" s="21">
        <f t="array" ref="L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8" s="22">
        <f>LEN(非皮卡压缩表[[#This Row],[TYPE]])</f>
        <v/>
      </c>
      <c r="N528" s="22">
        <f t="array" ref="N528">_xlfn.XLOOKUP(非皮卡压缩表[[#This Row],[MODEL]],MODEL缩写表[长MODEL],MODEL缩写表[短MODEL],非皮卡压缩表[[#This Row],[MODEL]])</f>
        <v/>
      </c>
      <c r="O528" s="22">
        <f>LEN(非皮卡压缩表[[#This Row],[SHORT-MODEL]])</f>
        <v/>
      </c>
      <c r="P528" s="11">
        <f t="array" ref="P528">TRIM(_xlfn.XLOOKUP(非皮卡压缩表[[#This Row],[BACKSIZE]],ALL尺码表[内部尺码],ALL尺码表[通用尺码]))</f>
        <v/>
      </c>
    </row>
    <row r="529">
      <c r="A529" s="17" t="inlineStr">
        <is>
          <t>ALL</t>
        </is>
      </c>
      <c r="B529" s="18" t="inlineStr">
        <is>
          <t>Honda Accord</t>
        </is>
      </c>
      <c r="C529" s="18" t="inlineStr">
        <is>
          <t>Honda</t>
        </is>
      </c>
      <c r="D529" s="18" t="inlineStr">
        <is>
          <t>Accord</t>
        </is>
      </c>
      <c r="E529" s="18" t="inlineStr">
        <is>
          <t>1990-2007</t>
        </is>
      </c>
      <c r="F529" s="18" t="inlineStr"/>
      <c r="G529" s="18" t="inlineStr">
        <is>
          <t>Sedan</t>
        </is>
      </c>
      <c r="H529" s="18" t="inlineStr">
        <is>
          <t>3XL</t>
        </is>
      </c>
      <c r="I529" s="19">
        <f t="array" ref="I529">TRIM(_xlfn.XLOOKUP(非皮卡压缩表[[#This Row],[BACKSIZE]],ALL尺码表[内部尺码],ALL尺码表[分类],""))</f>
        <v/>
      </c>
      <c r="J529" s="19">
        <f t="array" ref="J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9" s="20">
        <f>LEN(非皮卡压缩表[[#This Row],[LONG-TYPE]])</f>
        <v/>
      </c>
      <c r="L529" s="21">
        <f t="array" ref="L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9" s="22">
        <f>LEN(非皮卡压缩表[[#This Row],[TYPE]])</f>
        <v/>
      </c>
      <c r="N529" s="22">
        <f t="array" ref="N529">_xlfn.XLOOKUP(非皮卡压缩表[[#This Row],[MODEL]],MODEL缩写表[长MODEL],MODEL缩写表[短MODEL],非皮卡压缩表[[#This Row],[MODEL]])</f>
        <v/>
      </c>
      <c r="O529" s="22">
        <f>LEN(非皮卡压缩表[[#This Row],[SHORT-MODEL]])</f>
        <v/>
      </c>
      <c r="P529" s="11">
        <f t="array" ref="P529">TRIM(_xlfn.XLOOKUP(非皮卡压缩表[[#This Row],[BACKSIZE]],ALL尺码表[内部尺码],ALL尺码表[通用尺码]))</f>
        <v/>
      </c>
    </row>
    <row r="530">
      <c r="A530" s="17" t="inlineStr">
        <is>
          <t>ALL</t>
        </is>
      </c>
      <c r="B530" s="18" t="inlineStr">
        <is>
          <t>Honda Accord</t>
        </is>
      </c>
      <c r="C530" s="18" t="inlineStr">
        <is>
          <t>Honda</t>
        </is>
      </c>
      <c r="D530" s="18" t="inlineStr">
        <is>
          <t>Accord</t>
        </is>
      </c>
      <c r="E530" s="18" t="inlineStr">
        <is>
          <t>1991-2017</t>
        </is>
      </c>
      <c r="F530" s="18" t="inlineStr"/>
      <c r="G530" s="18" t="inlineStr">
        <is>
          <t>Coupe</t>
        </is>
      </c>
      <c r="H530" s="18" t="inlineStr">
        <is>
          <t>3XL-0</t>
        </is>
      </c>
      <c r="I530" s="19">
        <f t="array" ref="I530">TRIM(_xlfn.XLOOKUP(非皮卡压缩表[[#This Row],[BACKSIZE]],ALL尺码表[内部尺码],ALL尺码表[分类],""))</f>
        <v/>
      </c>
      <c r="J530" s="19">
        <f t="array" ref="J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0" s="20">
        <f>LEN(非皮卡压缩表[[#This Row],[LONG-TYPE]])</f>
        <v/>
      </c>
      <c r="L530" s="21">
        <f t="array" ref="L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0" s="22">
        <f>LEN(非皮卡压缩表[[#This Row],[TYPE]])</f>
        <v/>
      </c>
      <c r="N530" s="22">
        <f t="array" ref="N530">_xlfn.XLOOKUP(非皮卡压缩表[[#This Row],[MODEL]],MODEL缩写表[长MODEL],MODEL缩写表[短MODEL],非皮卡压缩表[[#This Row],[MODEL]])</f>
        <v/>
      </c>
      <c r="O530" s="22">
        <f>LEN(非皮卡压缩表[[#This Row],[SHORT-MODEL]])</f>
        <v/>
      </c>
      <c r="P530" s="11">
        <f t="array" ref="P530">TRIM(_xlfn.XLOOKUP(非皮卡压缩表[[#This Row],[BACKSIZE]],ALL尺码表[内部尺码],ALL尺码表[通用尺码]))</f>
        <v/>
      </c>
    </row>
    <row r="531">
      <c r="A531" s="17" t="inlineStr">
        <is>
          <t>ALL</t>
        </is>
      </c>
      <c r="B531" s="18" t="inlineStr">
        <is>
          <t>Honda Accord</t>
        </is>
      </c>
      <c r="C531" s="18" t="inlineStr">
        <is>
          <t>Honda</t>
        </is>
      </c>
      <c r="D531" s="18" t="inlineStr">
        <is>
          <t>Accord</t>
        </is>
      </c>
      <c r="E531" s="18" t="inlineStr">
        <is>
          <t>2008-2026</t>
        </is>
      </c>
      <c r="F531" s="18" t="inlineStr"/>
      <c r="G531" s="18" t="inlineStr">
        <is>
          <t>Sedan</t>
        </is>
      </c>
      <c r="H531" s="18" t="inlineStr">
        <is>
          <t>3XXL</t>
        </is>
      </c>
      <c r="I531" s="19">
        <f t="array" ref="I531">TRIM(_xlfn.XLOOKUP(非皮卡压缩表[[#This Row],[BACKSIZE]],ALL尺码表[内部尺码],ALL尺码表[分类],""))</f>
        <v/>
      </c>
      <c r="J531" s="19">
        <f t="array" ref="J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1" s="20">
        <f>LEN(非皮卡压缩表[[#This Row],[LONG-TYPE]])</f>
        <v/>
      </c>
      <c r="L531" s="21">
        <f t="array" ref="L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1" s="22">
        <f>LEN(非皮卡压缩表[[#This Row],[TYPE]])</f>
        <v/>
      </c>
      <c r="N531" s="22">
        <f t="array" ref="N531">_xlfn.XLOOKUP(非皮卡压缩表[[#This Row],[MODEL]],MODEL缩写表[长MODEL],MODEL缩写表[短MODEL],非皮卡压缩表[[#This Row],[MODEL]])</f>
        <v/>
      </c>
      <c r="O531" s="22">
        <f>LEN(非皮卡压缩表[[#This Row],[SHORT-MODEL]])</f>
        <v/>
      </c>
      <c r="P531" s="11">
        <f t="array" ref="P531">TRIM(_xlfn.XLOOKUP(非皮卡压缩表[[#This Row],[BACKSIZE]],ALL尺码表[内部尺码],ALL尺码表[通用尺码]))</f>
        <v/>
      </c>
    </row>
    <row r="532">
      <c r="A532" s="17" t="inlineStr">
        <is>
          <t>ALL</t>
        </is>
      </c>
      <c r="B532" s="18" t="inlineStr">
        <is>
          <t>Honda CR-V</t>
        </is>
      </c>
      <c r="C532" s="18" t="inlineStr">
        <is>
          <t>Honda</t>
        </is>
      </c>
      <c r="D532" s="18" t="inlineStr">
        <is>
          <t>CR-V</t>
        </is>
      </c>
      <c r="E532" s="18" t="inlineStr">
        <is>
          <t>1997-2016</t>
        </is>
      </c>
      <c r="F532" s="18" t="inlineStr"/>
      <c r="G532" s="18" t="inlineStr">
        <is>
          <t>SUV</t>
        </is>
      </c>
      <c r="H532" s="18" t="inlineStr">
        <is>
          <t>YM+</t>
        </is>
      </c>
      <c r="I532" s="19">
        <f t="array" ref="I532">TRIM(_xlfn.XLOOKUP(非皮卡压缩表[[#This Row],[BACKSIZE]],ALL尺码表[内部尺码],ALL尺码表[分类],""))</f>
        <v/>
      </c>
      <c r="J532" s="19">
        <f t="array" ref="J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2" s="20">
        <f>LEN(非皮卡压缩表[[#This Row],[LONG-TYPE]])</f>
        <v/>
      </c>
      <c r="L532" s="21">
        <f t="array" ref="L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2" s="22">
        <f>LEN(非皮卡压缩表[[#This Row],[TYPE]])</f>
        <v/>
      </c>
      <c r="N532" s="22">
        <f t="array" ref="N532">_xlfn.XLOOKUP(非皮卡压缩表[[#This Row],[MODEL]],MODEL缩写表[长MODEL],MODEL缩写表[短MODEL],非皮卡压缩表[[#This Row],[MODEL]])</f>
        <v/>
      </c>
      <c r="O532" s="22">
        <f>LEN(非皮卡压缩表[[#This Row],[SHORT-MODEL]])</f>
        <v/>
      </c>
      <c r="P532" s="11">
        <f t="array" ref="P532">TRIM(_xlfn.XLOOKUP(非皮卡压缩表[[#This Row],[BACKSIZE]],ALL尺码表[内部尺码],ALL尺码表[通用尺码]))</f>
        <v/>
      </c>
    </row>
    <row r="533">
      <c r="A533" s="17" t="inlineStr">
        <is>
          <t>ALL</t>
        </is>
      </c>
      <c r="B533" s="18" t="inlineStr">
        <is>
          <t>Honda CR-V</t>
        </is>
      </c>
      <c r="C533" s="18" t="inlineStr">
        <is>
          <t>Honda</t>
        </is>
      </c>
      <c r="D533" s="18" t="inlineStr">
        <is>
          <t>CR-V</t>
        </is>
      </c>
      <c r="E533" s="18" t="inlineStr">
        <is>
          <t>2017-2026</t>
        </is>
      </c>
      <c r="F533" s="18" t="inlineStr"/>
      <c r="G533" s="18" t="inlineStr">
        <is>
          <t>SUV</t>
        </is>
      </c>
      <c r="H533" s="18" t="inlineStr">
        <is>
          <t>YL</t>
        </is>
      </c>
      <c r="I533" s="19">
        <f t="array" ref="I533">TRIM(_xlfn.XLOOKUP(非皮卡压缩表[[#This Row],[BACKSIZE]],ALL尺码表[内部尺码],ALL尺码表[分类],""))</f>
        <v/>
      </c>
      <c r="J533" s="19">
        <f t="array" ref="J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3" s="20">
        <f>LEN(非皮卡压缩表[[#This Row],[LONG-TYPE]])</f>
        <v/>
      </c>
      <c r="L533" s="21">
        <f t="array" ref="L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3" s="22">
        <f>LEN(非皮卡压缩表[[#This Row],[TYPE]])</f>
        <v/>
      </c>
      <c r="N533" s="22">
        <f t="array" ref="N533">_xlfn.XLOOKUP(非皮卡压缩表[[#This Row],[MODEL]],MODEL缩写表[长MODEL],MODEL缩写表[短MODEL],非皮卡压缩表[[#This Row],[MODEL]])</f>
        <v/>
      </c>
      <c r="O533" s="22">
        <f>LEN(非皮卡压缩表[[#This Row],[SHORT-MODEL]])</f>
        <v/>
      </c>
      <c r="P533" s="11">
        <f t="array" ref="P533">TRIM(_xlfn.XLOOKUP(非皮卡压缩表[[#This Row],[BACKSIZE]],ALL尺码表[内部尺码],ALL尺码表[通用尺码]))</f>
        <v/>
      </c>
    </row>
    <row r="534">
      <c r="A534" s="17" t="inlineStr">
        <is>
          <t>ALL</t>
        </is>
      </c>
      <c r="B534" s="18" t="inlineStr">
        <is>
          <t>Honda CR-Z</t>
        </is>
      </c>
      <c r="C534" s="18" t="inlineStr">
        <is>
          <t>Honda</t>
        </is>
      </c>
      <c r="D534" s="18" t="inlineStr">
        <is>
          <t>CR-Z</t>
        </is>
      </c>
      <c r="E534" s="18" t="inlineStr">
        <is>
          <t>2011-2016</t>
        </is>
      </c>
      <c r="F534" s="18" t="inlineStr"/>
      <c r="G534" s="18" t="inlineStr">
        <is>
          <t>Hatchback</t>
        </is>
      </c>
      <c r="H534" s="18" t="inlineStr">
        <is>
          <t>2M</t>
        </is>
      </c>
      <c r="I534" s="19">
        <f t="array" ref="I534">TRIM(_xlfn.XLOOKUP(非皮卡压缩表[[#This Row],[BACKSIZE]],ALL尺码表[内部尺码],ALL尺码表[分类],""))</f>
        <v/>
      </c>
      <c r="J534" s="19">
        <f t="array" ref="J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4" s="20">
        <f>LEN(非皮卡压缩表[[#This Row],[LONG-TYPE]])</f>
        <v/>
      </c>
      <c r="L534" s="21">
        <f t="array" ref="L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4" s="22">
        <f>LEN(非皮卡压缩表[[#This Row],[TYPE]])</f>
        <v/>
      </c>
      <c r="N534" s="22">
        <f t="array" ref="N534">_xlfn.XLOOKUP(非皮卡压缩表[[#This Row],[MODEL]],MODEL缩写表[长MODEL],MODEL缩写表[短MODEL],非皮卡压缩表[[#This Row],[MODEL]])</f>
        <v/>
      </c>
      <c r="O534" s="22">
        <f>LEN(非皮卡压缩表[[#This Row],[SHORT-MODEL]])</f>
        <v/>
      </c>
      <c r="P534" s="11">
        <f t="array" ref="P534">TRIM(_xlfn.XLOOKUP(非皮卡压缩表[[#This Row],[BACKSIZE]],ALL尺码表[内部尺码],ALL尺码表[通用尺码]))</f>
        <v/>
      </c>
    </row>
    <row r="535">
      <c r="A535" s="17" t="inlineStr">
        <is>
          <t>ALL</t>
        </is>
      </c>
      <c r="B535" s="18" t="inlineStr">
        <is>
          <t>Honda Civic</t>
        </is>
      </c>
      <c r="C535" s="18" t="inlineStr">
        <is>
          <t>Honda</t>
        </is>
      </c>
      <c r="D535" s="18" t="inlineStr">
        <is>
          <t>Civic</t>
        </is>
      </c>
      <c r="E535" s="18" t="inlineStr">
        <is>
          <t>1973-1983</t>
        </is>
      </c>
      <c r="F535" s="18" t="inlineStr"/>
      <c r="G535" s="18" t="inlineStr">
        <is>
          <t>Wagon</t>
        </is>
      </c>
      <c r="H535" s="18" t="inlineStr">
        <is>
          <t>2M</t>
        </is>
      </c>
      <c r="I535" s="19">
        <f t="array" ref="I535">TRIM(_xlfn.XLOOKUP(非皮卡压缩表[[#This Row],[BACKSIZE]],ALL尺码表[内部尺码],ALL尺码表[分类],""))</f>
        <v/>
      </c>
      <c r="J535" s="19">
        <f t="array" ref="J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5" s="20">
        <f>LEN(非皮卡压缩表[[#This Row],[LONG-TYPE]])</f>
        <v/>
      </c>
      <c r="L535" s="21">
        <f t="array" ref="L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5" s="22">
        <f>LEN(非皮卡压缩表[[#This Row],[TYPE]])</f>
        <v/>
      </c>
      <c r="N535" s="22">
        <f t="array" ref="N535">_xlfn.XLOOKUP(非皮卡压缩表[[#This Row],[MODEL]],MODEL缩写表[长MODEL],MODEL缩写表[短MODEL],非皮卡压缩表[[#This Row],[MODEL]])</f>
        <v/>
      </c>
      <c r="O535" s="22">
        <f>LEN(非皮卡压缩表[[#This Row],[SHORT-MODEL]])</f>
        <v/>
      </c>
      <c r="P535" s="11">
        <f t="array" ref="P535">TRIM(_xlfn.XLOOKUP(非皮卡压缩表[[#This Row],[BACKSIZE]],ALL尺码表[内部尺码],ALL尺码表[通用尺码]))</f>
        <v/>
      </c>
    </row>
    <row r="536">
      <c r="A536" s="17" t="inlineStr">
        <is>
          <t>ALL</t>
        </is>
      </c>
      <c r="B536" s="18" t="inlineStr">
        <is>
          <t>Honda Civic</t>
        </is>
      </c>
      <c r="C536" s="18" t="inlineStr">
        <is>
          <t>Honda</t>
        </is>
      </c>
      <c r="D536" s="18" t="inlineStr">
        <is>
          <t>Civic</t>
        </is>
      </c>
      <c r="E536" s="18" t="inlineStr">
        <is>
          <t>1973-2026</t>
        </is>
      </c>
      <c r="F536" s="18" t="inlineStr"/>
      <c r="G536" s="18" t="inlineStr">
        <is>
          <t>Sedan</t>
        </is>
      </c>
      <c r="H536" s="18" t="inlineStr">
        <is>
          <t>3L</t>
        </is>
      </c>
      <c r="I536" s="19">
        <f t="array" ref="I536">TRIM(_xlfn.XLOOKUP(非皮卡压缩表[[#This Row],[BACKSIZE]],ALL尺码表[内部尺码],ALL尺码表[分类],""))</f>
        <v/>
      </c>
      <c r="J536" s="19">
        <f t="array" ref="J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6" s="20">
        <f>LEN(非皮卡压缩表[[#This Row],[LONG-TYPE]])</f>
        <v/>
      </c>
      <c r="L536" s="21">
        <f t="array" ref="L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6" s="22">
        <f>LEN(非皮卡压缩表[[#This Row],[TYPE]])</f>
        <v/>
      </c>
      <c r="N536" s="22">
        <f t="array" ref="N536">_xlfn.XLOOKUP(非皮卡压缩表[[#This Row],[MODEL]],MODEL缩写表[长MODEL],MODEL缩写表[短MODEL],非皮卡压缩表[[#This Row],[MODEL]])</f>
        <v/>
      </c>
      <c r="O536" s="22">
        <f>LEN(非皮卡压缩表[[#This Row],[SHORT-MODEL]])</f>
        <v/>
      </c>
      <c r="P536" s="11">
        <f t="array" ref="P536">TRIM(_xlfn.XLOOKUP(非皮卡压缩表[[#This Row],[BACKSIZE]],ALL尺码表[内部尺码],ALL尺码表[通用尺码]))</f>
        <v/>
      </c>
    </row>
    <row r="537">
      <c r="A537" s="17" t="inlineStr">
        <is>
          <t>ALL</t>
        </is>
      </c>
      <c r="B537" s="18" t="inlineStr">
        <is>
          <t>Honda Civic</t>
        </is>
      </c>
      <c r="C537" s="18" t="inlineStr">
        <is>
          <t>Honda</t>
        </is>
      </c>
      <c r="D537" s="18" t="inlineStr">
        <is>
          <t>Civic</t>
        </is>
      </c>
      <c r="E537" s="18" t="inlineStr">
        <is>
          <t>1980-1995</t>
        </is>
      </c>
      <c r="F537" s="18" t="inlineStr"/>
      <c r="G537" s="18" t="inlineStr">
        <is>
          <t>Hatchback</t>
        </is>
      </c>
      <c r="H537" s="18" t="inlineStr">
        <is>
          <t>2M</t>
        </is>
      </c>
      <c r="I537" s="19">
        <f t="array" ref="I537">TRIM(_xlfn.XLOOKUP(非皮卡压缩表[[#This Row],[BACKSIZE]],ALL尺码表[内部尺码],ALL尺码表[分类],""))</f>
        <v/>
      </c>
      <c r="J537" s="19">
        <f t="array" ref="J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7" s="20">
        <f>LEN(非皮卡压缩表[[#This Row],[LONG-TYPE]])</f>
        <v/>
      </c>
      <c r="L537" s="21">
        <f t="array" ref="L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7" s="22">
        <f>LEN(非皮卡压缩表[[#This Row],[TYPE]])</f>
        <v/>
      </c>
      <c r="N537" s="22">
        <f t="array" ref="N537">_xlfn.XLOOKUP(非皮卡压缩表[[#This Row],[MODEL]],MODEL缩写表[长MODEL],MODEL缩写表[短MODEL],非皮卡压缩表[[#This Row],[MODEL]])</f>
        <v/>
      </c>
      <c r="O537" s="22">
        <f>LEN(非皮卡压缩表[[#This Row],[SHORT-MODEL]])</f>
        <v/>
      </c>
      <c r="P537" s="11">
        <f t="array" ref="P537">TRIM(_xlfn.XLOOKUP(非皮卡压缩表[[#This Row],[BACKSIZE]],ALL尺码表[内部尺码],ALL尺码表[通用尺码]))</f>
        <v/>
      </c>
    </row>
    <row r="538">
      <c r="A538" s="17" t="inlineStr">
        <is>
          <t>ALL</t>
        </is>
      </c>
      <c r="B538" s="18" t="inlineStr">
        <is>
          <t>Honda Civic</t>
        </is>
      </c>
      <c r="C538" s="18" t="inlineStr">
        <is>
          <t>Honda</t>
        </is>
      </c>
      <c r="D538" s="18" t="inlineStr">
        <is>
          <t>Civic</t>
        </is>
      </c>
      <c r="E538" s="18" t="inlineStr">
        <is>
          <t>1984-1987</t>
        </is>
      </c>
      <c r="F538" s="18" t="inlineStr"/>
      <c r="G538" s="18" t="inlineStr">
        <is>
          <t>Wagon</t>
        </is>
      </c>
      <c r="H538" s="18" t="inlineStr">
        <is>
          <t>2L+</t>
        </is>
      </c>
      <c r="I538" s="19">
        <f t="array" ref="I538">TRIM(_xlfn.XLOOKUP(非皮卡压缩表[[#This Row],[BACKSIZE]],ALL尺码表[内部尺码],ALL尺码表[分类],""))</f>
        <v/>
      </c>
      <c r="J538" s="19">
        <f t="array" ref="J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8" s="20">
        <f>LEN(非皮卡压缩表[[#This Row],[LONG-TYPE]])</f>
        <v/>
      </c>
      <c r="L538" s="21">
        <f t="array" ref="L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8" s="22">
        <f>LEN(非皮卡压缩表[[#This Row],[TYPE]])</f>
        <v/>
      </c>
      <c r="N538" s="22">
        <f t="array" ref="N538">_xlfn.XLOOKUP(非皮卡压缩表[[#This Row],[MODEL]],MODEL缩写表[长MODEL],MODEL缩写表[短MODEL],非皮卡压缩表[[#This Row],[MODEL]])</f>
        <v/>
      </c>
      <c r="O538" s="22">
        <f>LEN(非皮卡压缩表[[#This Row],[SHORT-MODEL]])</f>
        <v/>
      </c>
      <c r="P538" s="11">
        <f t="array" ref="P538">TRIM(_xlfn.XLOOKUP(非皮卡压缩表[[#This Row],[BACKSIZE]],ALL尺码表[内部尺码],ALL尺码表[通用尺码]))</f>
        <v/>
      </c>
    </row>
    <row r="539">
      <c r="A539" s="17" t="inlineStr">
        <is>
          <t>ALL</t>
        </is>
      </c>
      <c r="B539" s="18" t="inlineStr">
        <is>
          <t>Honda Civic</t>
        </is>
      </c>
      <c r="C539" s="18" t="inlineStr">
        <is>
          <t>Honda</t>
        </is>
      </c>
      <c r="D539" s="18" t="inlineStr">
        <is>
          <t>Civic</t>
        </is>
      </c>
      <c r="E539" s="18" t="inlineStr">
        <is>
          <t>1988-1991</t>
        </is>
      </c>
      <c r="F539" s="18" t="inlineStr"/>
      <c r="G539" s="18" t="inlineStr">
        <is>
          <t>Wagon</t>
        </is>
      </c>
      <c r="H539" s="18" t="inlineStr">
        <is>
          <t>2M</t>
        </is>
      </c>
      <c r="I539" s="19">
        <f t="array" ref="I539">TRIM(_xlfn.XLOOKUP(非皮卡压缩表[[#This Row],[BACKSIZE]],ALL尺码表[内部尺码],ALL尺码表[分类],""))</f>
        <v/>
      </c>
      <c r="J539" s="19">
        <f t="array" ref="J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9" s="20">
        <f>LEN(非皮卡压缩表[[#This Row],[LONG-TYPE]])</f>
        <v/>
      </c>
      <c r="L539" s="21">
        <f t="array" ref="L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9" s="22">
        <f>LEN(非皮卡压缩表[[#This Row],[TYPE]])</f>
        <v/>
      </c>
      <c r="N539" s="22">
        <f t="array" ref="N539">_xlfn.XLOOKUP(非皮卡压缩表[[#This Row],[MODEL]],MODEL缩写表[长MODEL],MODEL缩写表[短MODEL],非皮卡压缩表[[#This Row],[MODEL]])</f>
        <v/>
      </c>
      <c r="O539" s="22">
        <f>LEN(非皮卡压缩表[[#This Row],[SHORT-MODEL]])</f>
        <v/>
      </c>
      <c r="P539" s="11">
        <f t="array" ref="P539">TRIM(_xlfn.XLOOKUP(非皮卡压缩表[[#This Row],[BACKSIZE]],ALL尺码表[内部尺码],ALL尺码表[通用尺码]))</f>
        <v/>
      </c>
    </row>
    <row r="540">
      <c r="A540" s="17" t="inlineStr">
        <is>
          <t>ALL</t>
        </is>
      </c>
      <c r="B540" s="18" t="inlineStr">
        <is>
          <t>Honda Civic</t>
        </is>
      </c>
      <c r="C540" s="18" t="inlineStr">
        <is>
          <t>Honda</t>
        </is>
      </c>
      <c r="D540" s="18" t="inlineStr">
        <is>
          <t>Civic</t>
        </is>
      </c>
      <c r="E540" s="18" t="inlineStr">
        <is>
          <t>1988-1991</t>
        </is>
      </c>
      <c r="F540" s="18" t="inlineStr">
        <is>
          <t>CRX</t>
        </is>
      </c>
      <c r="G540" s="18" t="inlineStr">
        <is>
          <t>Coupe</t>
        </is>
      </c>
      <c r="H540" s="18" t="inlineStr">
        <is>
          <t>3S-0</t>
        </is>
      </c>
      <c r="I540" s="19">
        <f t="array" ref="I540">TRIM(_xlfn.XLOOKUP(非皮卡压缩表[[#This Row],[BACKSIZE]],ALL尺码表[内部尺码],ALL尺码表[分类],""))</f>
        <v/>
      </c>
      <c r="J540" s="19">
        <f t="array" ref="J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0" s="20">
        <f>LEN(非皮卡压缩表[[#This Row],[LONG-TYPE]])</f>
        <v/>
      </c>
      <c r="L540" s="21">
        <f t="array" ref="L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0" s="22">
        <f>LEN(非皮卡压缩表[[#This Row],[TYPE]])</f>
        <v/>
      </c>
      <c r="N540" s="22">
        <f t="array" ref="N540">_xlfn.XLOOKUP(非皮卡压缩表[[#This Row],[MODEL]],MODEL缩写表[长MODEL],MODEL缩写表[短MODEL],非皮卡压缩表[[#This Row],[MODEL]])</f>
        <v/>
      </c>
      <c r="O540" s="22">
        <f>LEN(非皮卡压缩表[[#This Row],[SHORT-MODEL]])</f>
        <v/>
      </c>
      <c r="P540" s="11">
        <f t="array" ref="P540">TRIM(_xlfn.XLOOKUP(非皮卡压缩表[[#This Row],[BACKSIZE]],ALL尺码表[内部尺码],ALL尺码表[通用尺码]))</f>
        <v/>
      </c>
    </row>
    <row r="541">
      <c r="A541" s="17" t="inlineStr">
        <is>
          <t>ALL</t>
        </is>
      </c>
      <c r="B541" s="18" t="inlineStr">
        <is>
          <t>Honda Civic</t>
        </is>
      </c>
      <c r="C541" s="18" t="inlineStr">
        <is>
          <t>Honda</t>
        </is>
      </c>
      <c r="D541" s="18" t="inlineStr">
        <is>
          <t>Civic</t>
        </is>
      </c>
      <c r="E541" s="18" t="inlineStr">
        <is>
          <t>1992-2020</t>
        </is>
      </c>
      <c r="F541" s="18" t="inlineStr"/>
      <c r="G541" s="18" t="inlineStr">
        <is>
          <t>Coupe</t>
        </is>
      </c>
      <c r="H541" s="18" t="inlineStr">
        <is>
          <t>3M-0</t>
        </is>
      </c>
      <c r="I541" s="19">
        <f t="array" ref="I541">TRIM(_xlfn.XLOOKUP(非皮卡压缩表[[#This Row],[BACKSIZE]],ALL尺码表[内部尺码],ALL尺码表[分类],""))</f>
        <v/>
      </c>
      <c r="J541" s="19">
        <f t="array" ref="J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1" s="20">
        <f>LEN(非皮卡压缩表[[#This Row],[LONG-TYPE]])</f>
        <v/>
      </c>
      <c r="L541" s="21">
        <f t="array" ref="L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1" s="22">
        <f>LEN(非皮卡压缩表[[#This Row],[TYPE]])</f>
        <v/>
      </c>
      <c r="N541" s="22">
        <f t="array" ref="N541">_xlfn.XLOOKUP(非皮卡压缩表[[#This Row],[MODEL]],MODEL缩写表[长MODEL],MODEL缩写表[短MODEL],非皮卡压缩表[[#This Row],[MODEL]])</f>
        <v/>
      </c>
      <c r="O541" s="22">
        <f>LEN(非皮卡压缩表[[#This Row],[SHORT-MODEL]])</f>
        <v/>
      </c>
      <c r="P541" s="11">
        <f t="array" ref="P541">TRIM(_xlfn.XLOOKUP(非皮卡压缩表[[#This Row],[BACKSIZE]],ALL尺码表[内部尺码],ALL尺码表[通用尺码]))</f>
        <v/>
      </c>
    </row>
    <row r="542">
      <c r="A542" s="17" t="inlineStr">
        <is>
          <t>ALL</t>
        </is>
      </c>
      <c r="B542" s="18" t="inlineStr">
        <is>
          <t>Honda Civic</t>
        </is>
      </c>
      <c r="C542" s="18" t="inlineStr">
        <is>
          <t>Honda</t>
        </is>
      </c>
      <c r="D542" s="18" t="inlineStr">
        <is>
          <t>Civic</t>
        </is>
      </c>
      <c r="E542" s="18" t="inlineStr">
        <is>
          <t>1996-2021</t>
        </is>
      </c>
      <c r="F542" s="18" t="inlineStr"/>
      <c r="G542" s="18" t="inlineStr">
        <is>
          <t>Hatchback</t>
        </is>
      </c>
      <c r="H542" s="18" t="inlineStr">
        <is>
          <t>2L+</t>
        </is>
      </c>
      <c r="I542" s="19">
        <f t="array" ref="I542">TRIM(_xlfn.XLOOKUP(非皮卡压缩表[[#This Row],[BACKSIZE]],ALL尺码表[内部尺码],ALL尺码表[分类],""))</f>
        <v/>
      </c>
      <c r="J542" s="19">
        <f t="array" ref="J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2" s="20">
        <f>LEN(非皮卡压缩表[[#This Row],[LONG-TYPE]])</f>
        <v/>
      </c>
      <c r="L542" s="21">
        <f t="array" ref="L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2" s="22">
        <f>LEN(非皮卡压缩表[[#This Row],[TYPE]])</f>
        <v/>
      </c>
      <c r="N542" s="22">
        <f t="array" ref="N542">_xlfn.XLOOKUP(非皮卡压缩表[[#This Row],[MODEL]],MODEL缩写表[长MODEL],MODEL缩写表[短MODEL],非皮卡压缩表[[#This Row],[MODEL]])</f>
        <v/>
      </c>
      <c r="O542" s="22">
        <f>LEN(非皮卡压缩表[[#This Row],[SHORT-MODEL]])</f>
        <v/>
      </c>
      <c r="P542" s="11">
        <f t="array" ref="P542">TRIM(_xlfn.XLOOKUP(非皮卡压缩表[[#This Row],[BACKSIZE]],ALL尺码表[内部尺码],ALL尺码表[通用尺码]))</f>
        <v/>
      </c>
    </row>
    <row r="543">
      <c r="A543" s="17" t="inlineStr">
        <is>
          <t>ALL</t>
        </is>
      </c>
      <c r="B543" s="18" t="inlineStr">
        <is>
          <t>Honda Civic</t>
        </is>
      </c>
      <c r="C543" s="18" t="inlineStr">
        <is>
          <t>Honda</t>
        </is>
      </c>
      <c r="D543" s="18" t="inlineStr">
        <is>
          <t>Civic</t>
        </is>
      </c>
      <c r="E543" s="18" t="inlineStr">
        <is>
          <t>2017-2026</t>
        </is>
      </c>
      <c r="F543" s="18" t="inlineStr">
        <is>
          <t>Type R</t>
        </is>
      </c>
      <c r="G543" s="18" t="inlineStr">
        <is>
          <t>Hatchback</t>
        </is>
      </c>
      <c r="H543" s="18" t="inlineStr">
        <is>
          <t>2XL</t>
        </is>
      </c>
      <c r="I543" s="19">
        <f t="array" ref="I543">TRIM(_xlfn.XLOOKUP(非皮卡压缩表[[#This Row],[BACKSIZE]],ALL尺码表[内部尺码],ALL尺码表[分类],""))</f>
        <v/>
      </c>
      <c r="J543" s="19">
        <f t="array" ref="J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3" s="20">
        <f>LEN(非皮卡压缩表[[#This Row],[LONG-TYPE]])</f>
        <v/>
      </c>
      <c r="L543" s="21">
        <f t="array" ref="L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3" s="22">
        <f>LEN(非皮卡压缩表[[#This Row],[TYPE]])</f>
        <v/>
      </c>
      <c r="N543" s="22">
        <f t="array" ref="N543">_xlfn.XLOOKUP(非皮卡压缩表[[#This Row],[MODEL]],MODEL缩写表[长MODEL],MODEL缩写表[短MODEL],非皮卡压缩表[[#This Row],[MODEL]])</f>
        <v/>
      </c>
      <c r="O543" s="22">
        <f>LEN(非皮卡压缩表[[#This Row],[SHORT-MODEL]])</f>
        <v/>
      </c>
      <c r="P543" s="11">
        <f t="array" ref="P543">TRIM(_xlfn.XLOOKUP(非皮卡压缩表[[#This Row],[BACKSIZE]],ALL尺码表[内部尺码],ALL尺码表[通用尺码]))</f>
        <v/>
      </c>
    </row>
    <row r="544">
      <c r="A544" s="17" t="inlineStr">
        <is>
          <t>ALL</t>
        </is>
      </c>
      <c r="B544" s="18" t="inlineStr">
        <is>
          <t>Honda Civic</t>
        </is>
      </c>
      <c r="C544" s="18" t="inlineStr">
        <is>
          <t>Honda</t>
        </is>
      </c>
      <c r="D544" s="18" t="inlineStr">
        <is>
          <t>Civic</t>
        </is>
      </c>
      <c r="E544" s="18" t="inlineStr">
        <is>
          <t>2022-2026</t>
        </is>
      </c>
      <c r="F544" s="18" t="inlineStr"/>
      <c r="G544" s="18" t="inlineStr">
        <is>
          <t>Hatchback</t>
        </is>
      </c>
      <c r="H544" s="18" t="inlineStr">
        <is>
          <t>2XL</t>
        </is>
      </c>
      <c r="I544" s="19">
        <f t="array" ref="I544">TRIM(_xlfn.XLOOKUP(非皮卡压缩表[[#This Row],[BACKSIZE]],ALL尺码表[内部尺码],ALL尺码表[分类],""))</f>
        <v/>
      </c>
      <c r="J544" s="19">
        <f t="array" ref="J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4" s="20">
        <f>LEN(非皮卡压缩表[[#This Row],[LONG-TYPE]])</f>
        <v/>
      </c>
      <c r="L544" s="21">
        <f t="array" ref="L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4" s="22">
        <f>LEN(非皮卡压缩表[[#This Row],[TYPE]])</f>
        <v/>
      </c>
      <c r="N544" s="22">
        <f t="array" ref="N544">_xlfn.XLOOKUP(非皮卡压缩表[[#This Row],[MODEL]],MODEL缩写表[长MODEL],MODEL缩写表[短MODEL],非皮卡压缩表[[#This Row],[MODEL]])</f>
        <v/>
      </c>
      <c r="O544" s="22">
        <f>LEN(非皮卡压缩表[[#This Row],[SHORT-MODEL]])</f>
        <v/>
      </c>
      <c r="P544" s="11">
        <f t="array" ref="P544">TRIM(_xlfn.XLOOKUP(非皮卡压缩表[[#This Row],[BACKSIZE]],ALL尺码表[内部尺码],ALL尺码表[通用尺码]))</f>
        <v/>
      </c>
    </row>
    <row r="545">
      <c r="A545" s="17" t="inlineStr">
        <is>
          <t>ALL</t>
        </is>
      </c>
      <c r="B545" s="18" t="inlineStr">
        <is>
          <t>Honda Clarity</t>
        </is>
      </c>
      <c r="C545" s="18" t="inlineStr">
        <is>
          <t>Honda</t>
        </is>
      </c>
      <c r="D545" s="18" t="inlineStr">
        <is>
          <t>Clarity</t>
        </is>
      </c>
      <c r="E545" s="18" t="inlineStr">
        <is>
          <t>2017-2021</t>
        </is>
      </c>
      <c r="F545" s="18" t="inlineStr"/>
      <c r="G545" s="18" t="inlineStr">
        <is>
          <t>Sedan</t>
        </is>
      </c>
      <c r="H545" s="18" t="inlineStr">
        <is>
          <t>3XXL</t>
        </is>
      </c>
      <c r="I545" s="19">
        <f t="array" ref="I545">TRIM(_xlfn.XLOOKUP(非皮卡压缩表[[#This Row],[BACKSIZE]],ALL尺码表[内部尺码],ALL尺码表[分类],""))</f>
        <v/>
      </c>
      <c r="J545" s="19">
        <f t="array" ref="J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5" s="20">
        <f>LEN(非皮卡压缩表[[#This Row],[LONG-TYPE]])</f>
        <v/>
      </c>
      <c r="L545" s="21">
        <f t="array" ref="L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5" s="22">
        <f>LEN(非皮卡压缩表[[#This Row],[TYPE]])</f>
        <v/>
      </c>
      <c r="N545" s="22">
        <f t="array" ref="N545">_xlfn.XLOOKUP(非皮卡压缩表[[#This Row],[MODEL]],MODEL缩写表[长MODEL],MODEL缩写表[短MODEL],非皮卡压缩表[[#This Row],[MODEL]])</f>
        <v/>
      </c>
      <c r="O545" s="22">
        <f>LEN(非皮卡压缩表[[#This Row],[SHORT-MODEL]])</f>
        <v/>
      </c>
      <c r="P545" s="11">
        <f t="array" ref="P545">TRIM(_xlfn.XLOOKUP(非皮卡压缩表[[#This Row],[BACKSIZE]],ALL尺码表[内部尺码],ALL尺码表[通用尺码]))</f>
        <v/>
      </c>
    </row>
    <row r="546">
      <c r="A546" s="17" t="inlineStr">
        <is>
          <t>ALL</t>
        </is>
      </c>
      <c r="B546" s="18" t="inlineStr">
        <is>
          <t>Honda Clarity Plug In</t>
        </is>
      </c>
      <c r="C546" s="18" t="inlineStr">
        <is>
          <t>Honda</t>
        </is>
      </c>
      <c r="D546" s="18" t="inlineStr">
        <is>
          <t>Clarity Plug In</t>
        </is>
      </c>
      <c r="E546" s="18" t="inlineStr">
        <is>
          <t>2018-2021</t>
        </is>
      </c>
      <c r="F546" s="18" t="inlineStr"/>
      <c r="G546" s="18" t="inlineStr">
        <is>
          <t>Sedan</t>
        </is>
      </c>
      <c r="H546" s="18" t="inlineStr">
        <is>
          <t>3XXL</t>
        </is>
      </c>
      <c r="I546" s="19">
        <f t="array" ref="I546">TRIM(_xlfn.XLOOKUP(非皮卡压缩表[[#This Row],[BACKSIZE]],ALL尺码表[内部尺码],ALL尺码表[分类],""))</f>
        <v/>
      </c>
      <c r="J546" s="19">
        <f t="array" ref="J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6" s="20">
        <f>LEN(非皮卡压缩表[[#This Row],[LONG-TYPE]])</f>
        <v/>
      </c>
      <c r="L546" s="21">
        <f t="array" ref="L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6" s="22">
        <f>LEN(非皮卡压缩表[[#This Row],[TYPE]])</f>
        <v/>
      </c>
      <c r="N546" s="22">
        <f t="array" ref="N546">_xlfn.XLOOKUP(非皮卡压缩表[[#This Row],[MODEL]],MODEL缩写表[长MODEL],MODEL缩写表[短MODEL],非皮卡压缩表[[#This Row],[MODEL]])</f>
        <v/>
      </c>
      <c r="O546" s="22">
        <f>LEN(非皮卡压缩表[[#This Row],[SHORT-MODEL]])</f>
        <v/>
      </c>
      <c r="P546" s="11">
        <f t="array" ref="P546">TRIM(_xlfn.XLOOKUP(非皮卡压缩表[[#This Row],[BACKSIZE]],ALL尺码表[内部尺码],ALL尺码表[通用尺码]))</f>
        <v/>
      </c>
    </row>
    <row r="547">
      <c r="A547" s="17" t="inlineStr">
        <is>
          <t>ALL</t>
        </is>
      </c>
      <c r="B547" s="18" t="inlineStr">
        <is>
          <t>Honda Crosstour</t>
        </is>
      </c>
      <c r="C547" s="18" t="inlineStr">
        <is>
          <t>Honda</t>
        </is>
      </c>
      <c r="D547" s="18" t="inlineStr">
        <is>
          <t>Crosstour</t>
        </is>
      </c>
      <c r="E547" s="18" t="inlineStr">
        <is>
          <t>2010-2015</t>
        </is>
      </c>
      <c r="F547" s="18" t="inlineStr"/>
      <c r="G547" s="18" t="inlineStr">
        <is>
          <t>Hatchback</t>
        </is>
      </c>
      <c r="H547" s="18" t="inlineStr">
        <is>
          <t>2XL+</t>
        </is>
      </c>
      <c r="I547" s="19">
        <f t="array" ref="I547">TRIM(_xlfn.XLOOKUP(非皮卡压缩表[[#This Row],[BACKSIZE]],ALL尺码表[内部尺码],ALL尺码表[分类],""))</f>
        <v/>
      </c>
      <c r="J547" s="19">
        <f t="array" ref="J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7" s="20">
        <f>LEN(非皮卡压缩表[[#This Row],[LONG-TYPE]])</f>
        <v/>
      </c>
      <c r="L547" s="21">
        <f t="array" ref="L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7" s="22">
        <f>LEN(非皮卡压缩表[[#This Row],[TYPE]])</f>
        <v/>
      </c>
      <c r="N547" s="22">
        <f t="array" ref="N547">_xlfn.XLOOKUP(非皮卡压缩表[[#This Row],[MODEL]],MODEL缩写表[长MODEL],MODEL缩写表[短MODEL],非皮卡压缩表[[#This Row],[MODEL]])</f>
        <v/>
      </c>
      <c r="O547" s="22">
        <f>LEN(非皮卡压缩表[[#This Row],[SHORT-MODEL]])</f>
        <v/>
      </c>
      <c r="P547" s="11">
        <f t="array" ref="P547">TRIM(_xlfn.XLOOKUP(非皮卡压缩表[[#This Row],[BACKSIZE]],ALL尺码表[内部尺码],ALL尺码表[通用尺码]))</f>
        <v/>
      </c>
    </row>
    <row r="548">
      <c r="A548" s="17" t="inlineStr">
        <is>
          <t>ALL</t>
        </is>
      </c>
      <c r="B548" s="18" t="inlineStr">
        <is>
          <t>Honda Element</t>
        </is>
      </c>
      <c r="C548" s="18" t="inlineStr">
        <is>
          <t>Honda</t>
        </is>
      </c>
      <c r="D548" s="18" t="inlineStr">
        <is>
          <t>Element</t>
        </is>
      </c>
      <c r="E548" s="18" t="inlineStr">
        <is>
          <t>2003-2009</t>
        </is>
      </c>
      <c r="F548" s="18" t="inlineStr"/>
      <c r="G548" s="18" t="inlineStr">
        <is>
          <t>CUV</t>
        </is>
      </c>
      <c r="H548" s="18" t="inlineStr">
        <is>
          <t>YM+</t>
        </is>
      </c>
      <c r="I548" s="19">
        <f t="array" ref="I548">TRIM(_xlfn.XLOOKUP(非皮卡压缩表[[#This Row],[BACKSIZE]],ALL尺码表[内部尺码],ALL尺码表[分类],""))</f>
        <v/>
      </c>
      <c r="J548" s="19">
        <f t="array" ref="J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8" s="20">
        <f>LEN(非皮卡压缩表[[#This Row],[LONG-TYPE]])</f>
        <v/>
      </c>
      <c r="L548" s="21">
        <f t="array" ref="L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8" s="22">
        <f>LEN(非皮卡压缩表[[#This Row],[TYPE]])</f>
        <v/>
      </c>
      <c r="N548" s="22">
        <f t="array" ref="N548">_xlfn.XLOOKUP(非皮卡压缩表[[#This Row],[MODEL]],MODEL缩写表[长MODEL],MODEL缩写表[短MODEL],非皮卡压缩表[[#This Row],[MODEL]])</f>
        <v/>
      </c>
      <c r="O548" s="22">
        <f>LEN(非皮卡压缩表[[#This Row],[SHORT-MODEL]])</f>
        <v/>
      </c>
      <c r="P548" s="11">
        <f t="array" ref="P548">TRIM(_xlfn.XLOOKUP(非皮卡压缩表[[#This Row],[BACKSIZE]],ALL尺码表[内部尺码],ALL尺码表[通用尺码]))</f>
        <v/>
      </c>
    </row>
    <row r="549">
      <c r="A549" s="17" t="inlineStr">
        <is>
          <t>ALL</t>
        </is>
      </c>
      <c r="B549" s="18" t="inlineStr">
        <is>
          <t>Honda Fit</t>
        </is>
      </c>
      <c r="C549" s="18" t="inlineStr">
        <is>
          <t>Honda</t>
        </is>
      </c>
      <c r="D549" s="18" t="inlineStr">
        <is>
          <t>Fit</t>
        </is>
      </c>
      <c r="E549" s="18" t="inlineStr">
        <is>
          <t>2007-2020</t>
        </is>
      </c>
      <c r="F549" s="18" t="inlineStr"/>
      <c r="G549" s="18" t="inlineStr">
        <is>
          <t>Hatchback</t>
        </is>
      </c>
      <c r="H549" s="18" t="inlineStr">
        <is>
          <t>2M</t>
        </is>
      </c>
      <c r="I549" s="19">
        <f t="array" ref="I549">TRIM(_xlfn.XLOOKUP(非皮卡压缩表[[#This Row],[BACKSIZE]],ALL尺码表[内部尺码],ALL尺码表[分类],""))</f>
        <v/>
      </c>
      <c r="J549" s="19">
        <f t="array" ref="J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9" s="20">
        <f>LEN(非皮卡压缩表[[#This Row],[LONG-TYPE]])</f>
        <v/>
      </c>
      <c r="L549" s="21">
        <f t="array" ref="L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9" s="22">
        <f>LEN(非皮卡压缩表[[#This Row],[TYPE]])</f>
        <v/>
      </c>
      <c r="N549" s="22">
        <f t="array" ref="N549">_xlfn.XLOOKUP(非皮卡压缩表[[#This Row],[MODEL]],MODEL缩写表[长MODEL],MODEL缩写表[短MODEL],非皮卡压缩表[[#This Row],[MODEL]])</f>
        <v/>
      </c>
      <c r="O549" s="22">
        <f>LEN(非皮卡压缩表[[#This Row],[SHORT-MODEL]])</f>
        <v/>
      </c>
      <c r="P549" s="11">
        <f t="array" ref="P549">TRIM(_xlfn.XLOOKUP(非皮卡压缩表[[#This Row],[BACKSIZE]],ALL尺码表[内部尺码],ALL尺码表[通用尺码]))</f>
        <v/>
      </c>
    </row>
    <row r="550">
      <c r="A550" s="17" t="inlineStr">
        <is>
          <t>ALL</t>
        </is>
      </c>
      <c r="B550" s="18" t="inlineStr">
        <is>
          <t>Honda HR-V</t>
        </is>
      </c>
      <c r="C550" s="18" t="inlineStr">
        <is>
          <t>Honda</t>
        </is>
      </c>
      <c r="D550" s="18" t="inlineStr">
        <is>
          <t>HR-V</t>
        </is>
      </c>
      <c r="E550" s="18" t="inlineStr">
        <is>
          <t>2016-2026</t>
        </is>
      </c>
      <c r="F550" s="18" t="inlineStr"/>
      <c r="G550" s="18" t="inlineStr">
        <is>
          <t>SUV</t>
        </is>
      </c>
      <c r="H550" s="18" t="inlineStr">
        <is>
          <t>YM+</t>
        </is>
      </c>
      <c r="I550" s="19">
        <f t="array" ref="I550">TRIM(_xlfn.XLOOKUP(非皮卡压缩表[[#This Row],[BACKSIZE]],ALL尺码表[内部尺码],ALL尺码表[分类],""))</f>
        <v/>
      </c>
      <c r="J550" s="19">
        <f t="array" ref="J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0" s="20">
        <f>LEN(非皮卡压缩表[[#This Row],[LONG-TYPE]])</f>
        <v/>
      </c>
      <c r="L550" s="21">
        <f t="array" ref="L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0" s="22">
        <f>LEN(非皮卡压缩表[[#This Row],[TYPE]])</f>
        <v/>
      </c>
      <c r="N550" s="22">
        <f t="array" ref="N550">_xlfn.XLOOKUP(非皮卡压缩表[[#This Row],[MODEL]],MODEL缩写表[长MODEL],MODEL缩写表[短MODEL],非皮卡压缩表[[#This Row],[MODEL]])</f>
        <v/>
      </c>
      <c r="O550" s="22">
        <f>LEN(非皮卡压缩表[[#This Row],[SHORT-MODEL]])</f>
        <v/>
      </c>
      <c r="P550" s="11">
        <f t="array" ref="P550">TRIM(_xlfn.XLOOKUP(非皮卡压缩表[[#This Row],[BACKSIZE]],ALL尺码表[内部尺码],ALL尺码表[通用尺码]))</f>
        <v/>
      </c>
    </row>
    <row r="551">
      <c r="A551" s="17" t="inlineStr">
        <is>
          <t>ALL</t>
        </is>
      </c>
      <c r="B551" s="18" t="inlineStr">
        <is>
          <t>Honda Insight</t>
        </is>
      </c>
      <c r="C551" s="18" t="inlineStr">
        <is>
          <t>Honda</t>
        </is>
      </c>
      <c r="D551" s="18" t="inlineStr">
        <is>
          <t>Insight</t>
        </is>
      </c>
      <c r="E551" s="18" t="inlineStr">
        <is>
          <t>2000-2006</t>
        </is>
      </c>
      <c r="F551" s="18" t="inlineStr"/>
      <c r="G551" s="18" t="inlineStr">
        <is>
          <t>Hatchback</t>
        </is>
      </c>
      <c r="H551" s="18" t="inlineStr">
        <is>
          <t>2M</t>
        </is>
      </c>
      <c r="I551" s="19">
        <f t="array" ref="I551">TRIM(_xlfn.XLOOKUP(非皮卡压缩表[[#This Row],[BACKSIZE]],ALL尺码表[内部尺码],ALL尺码表[分类],""))</f>
        <v/>
      </c>
      <c r="J551" s="19">
        <f t="array" ref="J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1" s="20">
        <f>LEN(非皮卡压缩表[[#This Row],[LONG-TYPE]])</f>
        <v/>
      </c>
      <c r="L551" s="21">
        <f t="array" ref="L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1" s="22">
        <f>LEN(非皮卡压缩表[[#This Row],[TYPE]])</f>
        <v/>
      </c>
      <c r="N551" s="22">
        <f t="array" ref="N551">_xlfn.XLOOKUP(非皮卡压缩表[[#This Row],[MODEL]],MODEL缩写表[长MODEL],MODEL缩写表[短MODEL],非皮卡压缩表[[#This Row],[MODEL]])</f>
        <v/>
      </c>
      <c r="O551" s="22">
        <f>LEN(非皮卡压缩表[[#This Row],[SHORT-MODEL]])</f>
        <v/>
      </c>
      <c r="P551" s="11">
        <f t="array" ref="P551">TRIM(_xlfn.XLOOKUP(非皮卡压缩表[[#This Row],[BACKSIZE]],ALL尺码表[内部尺码],ALL尺码表[通用尺码]))</f>
        <v/>
      </c>
    </row>
    <row r="552">
      <c r="A552" s="17" t="inlineStr">
        <is>
          <t>ALL</t>
        </is>
      </c>
      <c r="B552" s="18" t="inlineStr">
        <is>
          <t>Honda Insight</t>
        </is>
      </c>
      <c r="C552" s="18" t="inlineStr">
        <is>
          <t>Honda</t>
        </is>
      </c>
      <c r="D552" s="18" t="inlineStr">
        <is>
          <t>Insight</t>
        </is>
      </c>
      <c r="E552" s="18" t="inlineStr">
        <is>
          <t>2010-2014</t>
        </is>
      </c>
      <c r="F552" s="18" t="inlineStr"/>
      <c r="G552" s="18" t="inlineStr">
        <is>
          <t>Hatchback</t>
        </is>
      </c>
      <c r="H552" s="18" t="inlineStr">
        <is>
          <t>2L+</t>
        </is>
      </c>
      <c r="I552" s="19">
        <f t="array" ref="I552">TRIM(_xlfn.XLOOKUP(非皮卡压缩表[[#This Row],[BACKSIZE]],ALL尺码表[内部尺码],ALL尺码表[分类],""))</f>
        <v/>
      </c>
      <c r="J552" s="19">
        <f t="array" ref="J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2" s="20">
        <f>LEN(非皮卡压缩表[[#This Row],[LONG-TYPE]])</f>
        <v/>
      </c>
      <c r="L552" s="21">
        <f t="array" ref="L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2" s="22">
        <f>LEN(非皮卡压缩表[[#This Row],[TYPE]])</f>
        <v/>
      </c>
      <c r="N552" s="22">
        <f t="array" ref="N552">_xlfn.XLOOKUP(非皮卡压缩表[[#This Row],[MODEL]],MODEL缩写表[长MODEL],MODEL缩写表[短MODEL],非皮卡压缩表[[#This Row],[MODEL]])</f>
        <v/>
      </c>
      <c r="O552" s="22">
        <f>LEN(非皮卡压缩表[[#This Row],[SHORT-MODEL]])</f>
        <v/>
      </c>
      <c r="P552" s="11">
        <f t="array" ref="P552">TRIM(_xlfn.XLOOKUP(非皮卡压缩表[[#This Row],[BACKSIZE]],ALL尺码表[内部尺码],ALL尺码表[通用尺码]))</f>
        <v/>
      </c>
    </row>
    <row r="553">
      <c r="A553" s="17" t="inlineStr">
        <is>
          <t>ALL</t>
        </is>
      </c>
      <c r="B553" s="18" t="inlineStr">
        <is>
          <t>Honda Insight</t>
        </is>
      </c>
      <c r="C553" s="18" t="inlineStr">
        <is>
          <t>Honda</t>
        </is>
      </c>
      <c r="D553" s="18" t="inlineStr">
        <is>
          <t>Insight</t>
        </is>
      </c>
      <c r="E553" s="18" t="inlineStr">
        <is>
          <t>2019-2022</t>
        </is>
      </c>
      <c r="F553" s="18" t="inlineStr"/>
      <c r="G553" s="18" t="inlineStr">
        <is>
          <t>Sedan</t>
        </is>
      </c>
      <c r="H553" s="18" t="inlineStr">
        <is>
          <t>3L</t>
        </is>
      </c>
      <c r="I553" s="19">
        <f t="array" ref="I553">TRIM(_xlfn.XLOOKUP(非皮卡压缩表[[#This Row],[BACKSIZE]],ALL尺码表[内部尺码],ALL尺码表[分类],""))</f>
        <v/>
      </c>
      <c r="J553" s="19">
        <f t="array" ref="J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3" s="20">
        <f>LEN(非皮卡压缩表[[#This Row],[LONG-TYPE]])</f>
        <v/>
      </c>
      <c r="L553" s="21">
        <f t="array" ref="L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3" s="22">
        <f>LEN(非皮卡压缩表[[#This Row],[TYPE]])</f>
        <v/>
      </c>
      <c r="N553" s="22">
        <f t="array" ref="N553">_xlfn.XLOOKUP(非皮卡压缩表[[#This Row],[MODEL]],MODEL缩写表[长MODEL],MODEL缩写表[短MODEL],非皮卡压缩表[[#This Row],[MODEL]])</f>
        <v/>
      </c>
      <c r="O553" s="22">
        <f>LEN(非皮卡压缩表[[#This Row],[SHORT-MODEL]])</f>
        <v/>
      </c>
      <c r="P553" s="11">
        <f t="array" ref="P553">TRIM(_xlfn.XLOOKUP(非皮卡压缩表[[#This Row],[BACKSIZE]],ALL尺码表[内部尺码],ALL尺码表[通用尺码]))</f>
        <v/>
      </c>
    </row>
    <row r="554">
      <c r="A554" s="17" t="inlineStr">
        <is>
          <t>ALL</t>
        </is>
      </c>
      <c r="B554" s="18" t="inlineStr">
        <is>
          <t>Honda Odyssey</t>
        </is>
      </c>
      <c r="C554" s="18" t="inlineStr">
        <is>
          <t>Honda</t>
        </is>
      </c>
      <c r="D554" s="18" t="inlineStr">
        <is>
          <t>Odyssey</t>
        </is>
      </c>
      <c r="E554" s="18" t="inlineStr">
        <is>
          <t>1995-1998</t>
        </is>
      </c>
      <c r="F554" s="18" t="inlineStr"/>
      <c r="G554" s="18" t="inlineStr">
        <is>
          <t>Minivan</t>
        </is>
      </c>
      <c r="H554" s="18" t="inlineStr">
        <is>
          <t>2XL</t>
        </is>
      </c>
      <c r="I554" s="19">
        <f t="array" ref="I554">TRIM(_xlfn.XLOOKUP(非皮卡压缩表[[#This Row],[BACKSIZE]],ALL尺码表[内部尺码],ALL尺码表[分类],""))</f>
        <v/>
      </c>
      <c r="J554" s="19">
        <f t="array" ref="J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4" s="20">
        <f>LEN(非皮卡压缩表[[#This Row],[LONG-TYPE]])</f>
        <v/>
      </c>
      <c r="L554" s="21">
        <f t="array" ref="L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4" s="22">
        <f>LEN(非皮卡压缩表[[#This Row],[TYPE]])</f>
        <v/>
      </c>
      <c r="N554" s="22">
        <f t="array" ref="N554">_xlfn.XLOOKUP(非皮卡压缩表[[#This Row],[MODEL]],MODEL缩写表[长MODEL],MODEL缩写表[短MODEL],非皮卡压缩表[[#This Row],[MODEL]])</f>
        <v/>
      </c>
      <c r="O554" s="22">
        <f>LEN(非皮卡压缩表[[#This Row],[SHORT-MODEL]])</f>
        <v/>
      </c>
      <c r="P554" s="11">
        <f t="array" ref="P554">TRIM(_xlfn.XLOOKUP(非皮卡压缩表[[#This Row],[BACKSIZE]],ALL尺码表[内部尺码],ALL尺码表[通用尺码]))</f>
        <v/>
      </c>
    </row>
    <row r="555">
      <c r="A555" s="17" t="inlineStr">
        <is>
          <t>ALL</t>
        </is>
      </c>
      <c r="B555" s="18" t="inlineStr">
        <is>
          <t>Honda Odyssey</t>
        </is>
      </c>
      <c r="C555" s="18" t="inlineStr">
        <is>
          <t>Honda</t>
        </is>
      </c>
      <c r="D555" s="18" t="inlineStr">
        <is>
          <t>Odyssey</t>
        </is>
      </c>
      <c r="E555" s="18" t="inlineStr">
        <is>
          <t>1999-2026</t>
        </is>
      </c>
      <c r="F555" s="18" t="inlineStr"/>
      <c r="G555" s="18" t="inlineStr">
        <is>
          <t>Minivan</t>
        </is>
      </c>
      <c r="H555" s="18" t="inlineStr">
        <is>
          <t>2XXL</t>
        </is>
      </c>
      <c r="I555" s="19">
        <f t="array" ref="I555">TRIM(_xlfn.XLOOKUP(非皮卡压缩表[[#This Row],[BACKSIZE]],ALL尺码表[内部尺码],ALL尺码表[分类],""))</f>
        <v/>
      </c>
      <c r="J555" s="19">
        <f t="array" ref="J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5" s="20">
        <f>LEN(非皮卡压缩表[[#This Row],[LONG-TYPE]])</f>
        <v/>
      </c>
      <c r="L555" s="21">
        <f t="array" ref="L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5" s="22">
        <f>LEN(非皮卡压缩表[[#This Row],[TYPE]])</f>
        <v/>
      </c>
      <c r="N555" s="22">
        <f t="array" ref="N555">_xlfn.XLOOKUP(非皮卡压缩表[[#This Row],[MODEL]],MODEL缩写表[长MODEL],MODEL缩写表[短MODEL],非皮卡压缩表[[#This Row],[MODEL]])</f>
        <v/>
      </c>
      <c r="O555" s="22">
        <f>LEN(非皮卡压缩表[[#This Row],[SHORT-MODEL]])</f>
        <v/>
      </c>
      <c r="P555" s="11">
        <f t="array" ref="P555">TRIM(_xlfn.XLOOKUP(非皮卡压缩表[[#This Row],[BACKSIZE]],ALL尺码表[内部尺码],ALL尺码表[通用尺码]))</f>
        <v/>
      </c>
    </row>
    <row r="556">
      <c r="A556" s="17" t="inlineStr">
        <is>
          <t>ALL</t>
        </is>
      </c>
      <c r="B556" s="18" t="inlineStr">
        <is>
          <t>Honda Passport</t>
        </is>
      </c>
      <c r="C556" s="18" t="inlineStr">
        <is>
          <t>Honda</t>
        </is>
      </c>
      <c r="D556" s="18" t="inlineStr">
        <is>
          <t>Passport</t>
        </is>
      </c>
      <c r="E556" s="18" t="inlineStr">
        <is>
          <t>1994-2002</t>
        </is>
      </c>
      <c r="F556" s="18" t="inlineStr"/>
      <c r="G556" s="18" t="inlineStr">
        <is>
          <t>SUV</t>
        </is>
      </c>
      <c r="H556" s="18" t="inlineStr">
        <is>
          <t>YM+</t>
        </is>
      </c>
      <c r="I556" s="19">
        <f t="array" ref="I556">TRIM(_xlfn.XLOOKUP(非皮卡压缩表[[#This Row],[BACKSIZE]],ALL尺码表[内部尺码],ALL尺码表[分类],""))</f>
        <v/>
      </c>
      <c r="J556" s="19">
        <f t="array" ref="J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6" s="20">
        <f>LEN(非皮卡压缩表[[#This Row],[LONG-TYPE]])</f>
        <v/>
      </c>
      <c r="L556" s="21">
        <f t="array" ref="L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6" s="22">
        <f>LEN(非皮卡压缩表[[#This Row],[TYPE]])</f>
        <v/>
      </c>
      <c r="N556" s="22">
        <f t="array" ref="N556">_xlfn.XLOOKUP(非皮卡压缩表[[#This Row],[MODEL]],MODEL缩写表[长MODEL],MODEL缩写表[短MODEL],非皮卡压缩表[[#This Row],[MODEL]])</f>
        <v/>
      </c>
      <c r="O556" s="22">
        <f>LEN(非皮卡压缩表[[#This Row],[SHORT-MODEL]])</f>
        <v/>
      </c>
      <c r="P556" s="11">
        <f t="array" ref="P556">TRIM(_xlfn.XLOOKUP(非皮卡压缩表[[#This Row],[BACKSIZE]],ALL尺码表[内部尺码],ALL尺码表[通用尺码]))</f>
        <v/>
      </c>
    </row>
    <row r="557">
      <c r="A557" s="17" t="inlineStr">
        <is>
          <t>ALL</t>
        </is>
      </c>
      <c r="B557" s="18" t="inlineStr">
        <is>
          <t>Honda Passport</t>
        </is>
      </c>
      <c r="C557" s="18" t="inlineStr">
        <is>
          <t>Honda</t>
        </is>
      </c>
      <c r="D557" s="18" t="inlineStr">
        <is>
          <t>Passport</t>
        </is>
      </c>
      <c r="E557" s="18" t="inlineStr">
        <is>
          <t>2019-2026</t>
        </is>
      </c>
      <c r="F557" s="18" t="inlineStr"/>
      <c r="G557" s="18" t="inlineStr">
        <is>
          <t>SUV</t>
        </is>
      </c>
      <c r="H557" s="18" t="inlineStr">
        <is>
          <t>YXL</t>
        </is>
      </c>
      <c r="I557" s="19">
        <f t="array" ref="I557">TRIM(_xlfn.XLOOKUP(非皮卡压缩表[[#This Row],[BACKSIZE]],ALL尺码表[内部尺码],ALL尺码表[分类],""))</f>
        <v/>
      </c>
      <c r="J557" s="19">
        <f t="array" ref="J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7" s="20">
        <f>LEN(非皮卡压缩表[[#This Row],[LONG-TYPE]])</f>
        <v/>
      </c>
      <c r="L557" s="21">
        <f t="array" ref="L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7" s="22">
        <f>LEN(非皮卡压缩表[[#This Row],[TYPE]])</f>
        <v/>
      </c>
      <c r="N557" s="22">
        <f t="array" ref="N557">_xlfn.XLOOKUP(非皮卡压缩表[[#This Row],[MODEL]],MODEL缩写表[长MODEL],MODEL缩写表[短MODEL],非皮卡压缩表[[#This Row],[MODEL]])</f>
        <v/>
      </c>
      <c r="O557" s="22">
        <f>LEN(非皮卡压缩表[[#This Row],[SHORT-MODEL]])</f>
        <v/>
      </c>
      <c r="P557" s="11">
        <f t="array" ref="P557">TRIM(_xlfn.XLOOKUP(非皮卡压缩表[[#This Row],[BACKSIZE]],ALL尺码表[内部尺码],ALL尺码表[通用尺码]))</f>
        <v/>
      </c>
    </row>
    <row r="558">
      <c r="A558" s="17" t="inlineStr">
        <is>
          <t>ALL</t>
        </is>
      </c>
      <c r="B558" s="18" t="inlineStr">
        <is>
          <t>Honda Pilot</t>
        </is>
      </c>
      <c r="C558" s="18" t="inlineStr">
        <is>
          <t>Honda</t>
        </is>
      </c>
      <c r="D558" s="18" t="inlineStr">
        <is>
          <t>Pilot</t>
        </is>
      </c>
      <c r="E558" s="18" t="inlineStr">
        <is>
          <t>2003-2008</t>
        </is>
      </c>
      <c r="F558" s="18" t="inlineStr"/>
      <c r="G558" s="18" t="inlineStr">
        <is>
          <t>SUV</t>
        </is>
      </c>
      <c r="H558" s="18" t="inlineStr">
        <is>
          <t>YL</t>
        </is>
      </c>
      <c r="I558" s="19">
        <f t="array" ref="I558">TRIM(_xlfn.XLOOKUP(非皮卡压缩表[[#This Row],[BACKSIZE]],ALL尺码表[内部尺码],ALL尺码表[分类],""))</f>
        <v/>
      </c>
      <c r="J558" s="19">
        <f t="array" ref="J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8" s="20">
        <f>LEN(非皮卡压缩表[[#This Row],[LONG-TYPE]])</f>
        <v/>
      </c>
      <c r="L558" s="21">
        <f t="array" ref="L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8" s="22">
        <f>LEN(非皮卡压缩表[[#This Row],[TYPE]])</f>
        <v/>
      </c>
      <c r="N558" s="22">
        <f t="array" ref="N558">_xlfn.XLOOKUP(非皮卡压缩表[[#This Row],[MODEL]],MODEL缩写表[长MODEL],MODEL缩写表[短MODEL],非皮卡压缩表[[#This Row],[MODEL]])</f>
        <v/>
      </c>
      <c r="O558" s="22">
        <f>LEN(非皮卡压缩表[[#This Row],[SHORT-MODEL]])</f>
        <v/>
      </c>
      <c r="P558" s="11">
        <f t="array" ref="P558">TRIM(_xlfn.XLOOKUP(非皮卡压缩表[[#This Row],[BACKSIZE]],ALL尺码表[内部尺码],ALL尺码表[通用尺码]))</f>
        <v/>
      </c>
    </row>
    <row r="559">
      <c r="A559" s="17" t="inlineStr">
        <is>
          <t>ALL</t>
        </is>
      </c>
      <c r="B559" s="18" t="inlineStr">
        <is>
          <t>Honda Pilot</t>
        </is>
      </c>
      <c r="C559" s="18" t="inlineStr">
        <is>
          <t>Honda</t>
        </is>
      </c>
      <c r="D559" s="18" t="inlineStr">
        <is>
          <t>Pilot</t>
        </is>
      </c>
      <c r="E559" s="18" t="inlineStr">
        <is>
          <t>2009-2026</t>
        </is>
      </c>
      <c r="F559" s="18" t="inlineStr">
        <is>
          <t>Incl: TrailSport</t>
        </is>
      </c>
      <c r="G559" s="18" t="inlineStr">
        <is>
          <t>SUV</t>
        </is>
      </c>
      <c r="H559" s="18" t="inlineStr">
        <is>
          <t>YXL</t>
        </is>
      </c>
      <c r="I559" s="19">
        <f t="array" ref="I559">TRIM(_xlfn.XLOOKUP(非皮卡压缩表[[#This Row],[BACKSIZE]],ALL尺码表[内部尺码],ALL尺码表[分类],""))</f>
        <v/>
      </c>
      <c r="J559" s="19">
        <f t="array" ref="J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9" s="20">
        <f>LEN(非皮卡压缩表[[#This Row],[LONG-TYPE]])</f>
        <v/>
      </c>
      <c r="L559" s="21">
        <f t="array" ref="L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9" s="22">
        <f>LEN(非皮卡压缩表[[#This Row],[TYPE]])</f>
        <v/>
      </c>
      <c r="N559" s="22">
        <f t="array" ref="N559">_xlfn.XLOOKUP(非皮卡压缩表[[#This Row],[MODEL]],MODEL缩写表[长MODEL],MODEL缩写表[短MODEL],非皮卡压缩表[[#This Row],[MODEL]])</f>
        <v/>
      </c>
      <c r="O559" s="22">
        <f>LEN(非皮卡压缩表[[#This Row],[SHORT-MODEL]])</f>
        <v/>
      </c>
      <c r="P559" s="11">
        <f t="array" ref="P559">TRIM(_xlfn.XLOOKUP(非皮卡压缩表[[#This Row],[BACKSIZE]],ALL尺码表[内部尺码],ALL尺码表[通用尺码]))</f>
        <v/>
      </c>
    </row>
    <row r="560">
      <c r="A560" s="17" t="inlineStr">
        <is>
          <t>ALL</t>
        </is>
      </c>
      <c r="B560" s="18" t="inlineStr">
        <is>
          <t>Honda Prelude</t>
        </is>
      </c>
      <c r="C560" s="18" t="inlineStr">
        <is>
          <t>Honda</t>
        </is>
      </c>
      <c r="D560" s="18" t="inlineStr">
        <is>
          <t>Prelude</t>
        </is>
      </c>
      <c r="E560" s="18" t="inlineStr">
        <is>
          <t>1979-1982</t>
        </is>
      </c>
      <c r="F560" s="18" t="inlineStr"/>
      <c r="G560" s="18" t="inlineStr">
        <is>
          <t>Coupe</t>
        </is>
      </c>
      <c r="H560" s="18" t="inlineStr">
        <is>
          <t>3S-0</t>
        </is>
      </c>
      <c r="I560" s="19">
        <f t="array" ref="I560">TRIM(_xlfn.XLOOKUP(非皮卡压缩表[[#This Row],[BACKSIZE]],ALL尺码表[内部尺码],ALL尺码表[分类],""))</f>
        <v/>
      </c>
      <c r="J560" s="19">
        <f t="array" ref="J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0" s="20">
        <f>LEN(非皮卡压缩表[[#This Row],[LONG-TYPE]])</f>
        <v/>
      </c>
      <c r="L560" s="21">
        <f t="array" ref="L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0" s="22">
        <f>LEN(非皮卡压缩表[[#This Row],[TYPE]])</f>
        <v/>
      </c>
      <c r="N560" s="22">
        <f t="array" ref="N560">_xlfn.XLOOKUP(非皮卡压缩表[[#This Row],[MODEL]],MODEL缩写表[长MODEL],MODEL缩写表[短MODEL],非皮卡压缩表[[#This Row],[MODEL]])</f>
        <v/>
      </c>
      <c r="O560" s="22">
        <f>LEN(非皮卡压缩表[[#This Row],[SHORT-MODEL]])</f>
        <v/>
      </c>
      <c r="P560" s="11">
        <f t="array" ref="P560">TRIM(_xlfn.XLOOKUP(非皮卡压缩表[[#This Row],[BACKSIZE]],ALL尺码表[内部尺码],ALL尺码表[通用尺码]))</f>
        <v/>
      </c>
    </row>
    <row r="561">
      <c r="A561" s="17" t="inlineStr">
        <is>
          <t>ALL</t>
        </is>
      </c>
      <c r="B561" s="18" t="inlineStr">
        <is>
          <t>Honda Prelude</t>
        </is>
      </c>
      <c r="C561" s="18" t="inlineStr">
        <is>
          <t>Honda</t>
        </is>
      </c>
      <c r="D561" s="18" t="inlineStr">
        <is>
          <t>Prelude</t>
        </is>
      </c>
      <c r="E561" s="18" t="inlineStr">
        <is>
          <t>1983-2001</t>
        </is>
      </c>
      <c r="F561" s="18" t="inlineStr"/>
      <c r="G561" s="18" t="inlineStr">
        <is>
          <t>Coupe</t>
        </is>
      </c>
      <c r="H561" s="18" t="inlineStr">
        <is>
          <t>3M-0</t>
        </is>
      </c>
      <c r="I561" s="19">
        <f t="array" ref="I561">TRIM(_xlfn.XLOOKUP(非皮卡压缩表[[#This Row],[BACKSIZE]],ALL尺码表[内部尺码],ALL尺码表[分类],""))</f>
        <v/>
      </c>
      <c r="J561" s="19">
        <f t="array" ref="J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1" s="20">
        <f>LEN(非皮卡压缩表[[#This Row],[LONG-TYPE]])</f>
        <v/>
      </c>
      <c r="L561" s="21">
        <f t="array" ref="L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1" s="22">
        <f>LEN(非皮卡压缩表[[#This Row],[TYPE]])</f>
        <v/>
      </c>
      <c r="N561" s="22">
        <f t="array" ref="N561">_xlfn.XLOOKUP(非皮卡压缩表[[#This Row],[MODEL]],MODEL缩写表[长MODEL],MODEL缩写表[短MODEL],非皮卡压缩表[[#This Row],[MODEL]])</f>
        <v/>
      </c>
      <c r="O561" s="22">
        <f>LEN(非皮卡压缩表[[#This Row],[SHORT-MODEL]])</f>
        <v/>
      </c>
      <c r="P561" s="11">
        <f t="array" ref="P561">TRIM(_xlfn.XLOOKUP(非皮卡压缩表[[#This Row],[BACKSIZE]],ALL尺码表[内部尺码],ALL尺码表[通用尺码]))</f>
        <v/>
      </c>
    </row>
    <row r="562">
      <c r="A562" s="17" t="inlineStr">
        <is>
          <t>ALL</t>
        </is>
      </c>
      <c r="B562" s="18" t="inlineStr">
        <is>
          <t>Honda Prelude</t>
        </is>
      </c>
      <c r="C562" s="18" t="inlineStr">
        <is>
          <t>Honda</t>
        </is>
      </c>
      <c r="D562" s="18" t="inlineStr">
        <is>
          <t>Prelude</t>
        </is>
      </c>
      <c r="E562" s="18" t="inlineStr">
        <is>
          <t>2026</t>
        </is>
      </c>
      <c r="F562" s="18" t="inlineStr"/>
      <c r="G562" s="18" t="inlineStr">
        <is>
          <t>Coupe</t>
        </is>
      </c>
      <c r="H562" s="18" t="inlineStr">
        <is>
          <t>3L-0</t>
        </is>
      </c>
      <c r="I562" s="19">
        <f t="array" ref="I562">TRIM(_xlfn.XLOOKUP(非皮卡压缩表[[#This Row],[BACKSIZE]],ALL尺码表[内部尺码],ALL尺码表[分类],""))</f>
        <v/>
      </c>
      <c r="J562" s="19">
        <f t="array" ref="J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2" s="20">
        <f>LEN(非皮卡压缩表[[#This Row],[LONG-TYPE]])</f>
        <v/>
      </c>
      <c r="L562" s="21">
        <f t="array" ref="L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2" s="22">
        <f>LEN(非皮卡压缩表[[#This Row],[TYPE]])</f>
        <v/>
      </c>
      <c r="N562" s="22">
        <f t="array" ref="N562">_xlfn.XLOOKUP(非皮卡压缩表[[#This Row],[MODEL]],MODEL缩写表[长MODEL],MODEL缩写表[短MODEL],非皮卡压缩表[[#This Row],[MODEL]])</f>
        <v/>
      </c>
      <c r="O562" s="22">
        <f>LEN(非皮卡压缩表[[#This Row],[SHORT-MODEL]])</f>
        <v/>
      </c>
      <c r="P562" s="11">
        <f t="array" ref="P562">TRIM(_xlfn.XLOOKUP(非皮卡压缩表[[#This Row],[BACKSIZE]],ALL尺码表[内部尺码],ALL尺码表[通用尺码]))</f>
        <v/>
      </c>
    </row>
    <row r="563">
      <c r="A563" s="17" t="inlineStr">
        <is>
          <t>ALL</t>
        </is>
      </c>
      <c r="B563" s="18" t="inlineStr">
        <is>
          <t>Honda Prologue</t>
        </is>
      </c>
      <c r="C563" s="18" t="inlineStr">
        <is>
          <t>Honda</t>
        </is>
      </c>
      <c r="D563" s="18" t="inlineStr">
        <is>
          <t>Prologue</t>
        </is>
      </c>
      <c r="E563" s="18" t="inlineStr">
        <is>
          <t>2024-2026</t>
        </is>
      </c>
      <c r="F563" s="18" t="inlineStr"/>
      <c r="G563" s="18" t="inlineStr">
        <is>
          <t>SUV</t>
        </is>
      </c>
      <c r="H563" s="18" t="inlineStr">
        <is>
          <t>YXL</t>
        </is>
      </c>
      <c r="I563" s="19">
        <f t="array" ref="I563">TRIM(_xlfn.XLOOKUP(非皮卡压缩表[[#This Row],[BACKSIZE]],ALL尺码表[内部尺码],ALL尺码表[分类],""))</f>
        <v/>
      </c>
      <c r="J563" s="19">
        <f t="array" ref="J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3" s="20">
        <f>LEN(非皮卡压缩表[[#This Row],[LONG-TYPE]])</f>
        <v/>
      </c>
      <c r="L563" s="21">
        <f t="array" ref="L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3" s="22">
        <f>LEN(非皮卡压缩表[[#This Row],[TYPE]])</f>
        <v/>
      </c>
      <c r="N563" s="22">
        <f t="array" ref="N563">_xlfn.XLOOKUP(非皮卡压缩表[[#This Row],[MODEL]],MODEL缩写表[长MODEL],MODEL缩写表[短MODEL],非皮卡压缩表[[#This Row],[MODEL]])</f>
        <v/>
      </c>
      <c r="O563" s="22">
        <f>LEN(非皮卡压缩表[[#This Row],[SHORT-MODEL]])</f>
        <v/>
      </c>
      <c r="P563" s="11">
        <f t="array" ref="P563">TRIM(_xlfn.XLOOKUP(非皮卡压缩表[[#This Row],[BACKSIZE]],ALL尺码表[内部尺码],ALL尺码表[通用尺码]))</f>
        <v/>
      </c>
    </row>
    <row r="564">
      <c r="A564" s="17" t="inlineStr">
        <is>
          <t>ALL</t>
        </is>
      </c>
      <c r="B564" s="18" t="inlineStr">
        <is>
          <t>Honda S2000</t>
        </is>
      </c>
      <c r="C564" s="18" t="inlineStr">
        <is>
          <t>Honda</t>
        </is>
      </c>
      <c r="D564" s="18" t="inlineStr">
        <is>
          <t>S2000</t>
        </is>
      </c>
      <c r="E564" s="18" t="inlineStr">
        <is>
          <t>2000-2009</t>
        </is>
      </c>
      <c r="F564" s="18" t="inlineStr"/>
      <c r="G564" s="18" t="inlineStr">
        <is>
          <t>Roadster</t>
        </is>
      </c>
      <c r="H564" s="18" t="inlineStr">
        <is>
          <t>3S-0</t>
        </is>
      </c>
      <c r="I564" s="19">
        <f t="array" ref="I564">TRIM(_xlfn.XLOOKUP(非皮卡压缩表[[#This Row],[BACKSIZE]],ALL尺码表[内部尺码],ALL尺码表[分类],""))</f>
        <v/>
      </c>
      <c r="J564" s="19">
        <f t="array" ref="J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4" s="20">
        <f>LEN(非皮卡压缩表[[#This Row],[LONG-TYPE]])</f>
        <v/>
      </c>
      <c r="L564" s="21">
        <f t="array" ref="L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4" s="22">
        <f>LEN(非皮卡压缩表[[#This Row],[TYPE]])</f>
        <v/>
      </c>
      <c r="N564" s="22">
        <f t="array" ref="N564">_xlfn.XLOOKUP(非皮卡压缩表[[#This Row],[MODEL]],MODEL缩写表[长MODEL],MODEL缩写表[短MODEL],非皮卡压缩表[[#This Row],[MODEL]])</f>
        <v/>
      </c>
      <c r="O564" s="22">
        <f>LEN(非皮卡压缩表[[#This Row],[SHORT-MODEL]])</f>
        <v/>
      </c>
      <c r="P564" s="11">
        <f t="array" ref="P564">TRIM(_xlfn.XLOOKUP(非皮卡压缩表[[#This Row],[BACKSIZE]],ALL尺码表[内部尺码],ALL尺码表[通用尺码]))</f>
        <v/>
      </c>
    </row>
    <row r="565">
      <c r="A565" s="17" t="inlineStr">
        <is>
          <t>ALL</t>
        </is>
      </c>
      <c r="B565" s="18" t="inlineStr">
        <is>
          <t>Hyundai Accent</t>
        </is>
      </c>
      <c r="C565" s="18" t="inlineStr">
        <is>
          <t>Hyundai</t>
        </is>
      </c>
      <c r="D565" s="18" t="inlineStr">
        <is>
          <t>Accent</t>
        </is>
      </c>
      <c r="E565" s="18" t="inlineStr">
        <is>
          <t>1995-1999</t>
        </is>
      </c>
      <c r="F565" s="18" t="inlineStr"/>
      <c r="G565" s="18" t="inlineStr">
        <is>
          <t>Hatchback</t>
        </is>
      </c>
      <c r="H565" s="18" t="inlineStr">
        <is>
          <t>2M</t>
        </is>
      </c>
      <c r="I565" s="19">
        <f t="array" ref="I565">TRIM(_xlfn.XLOOKUP(非皮卡压缩表[[#This Row],[BACKSIZE]],ALL尺码表[内部尺码],ALL尺码表[分类],""))</f>
        <v/>
      </c>
      <c r="J565" s="19">
        <f t="array" ref="J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5" s="20">
        <f>LEN(非皮卡压缩表[[#This Row],[LONG-TYPE]])</f>
        <v/>
      </c>
      <c r="L565" s="21">
        <f t="array" ref="L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5" s="22">
        <f>LEN(非皮卡压缩表[[#This Row],[TYPE]])</f>
        <v/>
      </c>
      <c r="N565" s="22">
        <f t="array" ref="N565">_xlfn.XLOOKUP(非皮卡压缩表[[#This Row],[MODEL]],MODEL缩写表[长MODEL],MODEL缩写表[短MODEL],非皮卡压缩表[[#This Row],[MODEL]])</f>
        <v/>
      </c>
      <c r="O565" s="22">
        <f>LEN(非皮卡压缩表[[#This Row],[SHORT-MODEL]])</f>
        <v/>
      </c>
      <c r="P565" s="11">
        <f t="array" ref="P565">TRIM(_xlfn.XLOOKUP(非皮卡压缩表[[#This Row],[BACKSIZE]],ALL尺码表[内部尺码],ALL尺码表[通用尺码]))</f>
        <v/>
      </c>
    </row>
    <row r="566">
      <c r="A566" s="17" t="inlineStr">
        <is>
          <t>ALL</t>
        </is>
      </c>
      <c r="B566" s="18" t="inlineStr">
        <is>
          <t>Hyundai Accent</t>
        </is>
      </c>
      <c r="C566" s="18" t="inlineStr">
        <is>
          <t>Hyundai</t>
        </is>
      </c>
      <c r="D566" s="18" t="inlineStr">
        <is>
          <t>Accent</t>
        </is>
      </c>
      <c r="E566" s="18" t="inlineStr">
        <is>
          <t>1995-2022</t>
        </is>
      </c>
      <c r="F566" s="18" t="inlineStr"/>
      <c r="G566" s="18" t="inlineStr">
        <is>
          <t>Sedan</t>
        </is>
      </c>
      <c r="H566" s="18" t="inlineStr">
        <is>
          <t>3L</t>
        </is>
      </c>
      <c r="I566" s="19">
        <f t="array" ref="I566">TRIM(_xlfn.XLOOKUP(非皮卡压缩表[[#This Row],[BACKSIZE]],ALL尺码表[内部尺码],ALL尺码表[分类],""))</f>
        <v/>
      </c>
      <c r="J566" s="19">
        <f t="array" ref="J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6" s="20">
        <f>LEN(非皮卡压缩表[[#This Row],[LONG-TYPE]])</f>
        <v/>
      </c>
      <c r="L566" s="21">
        <f t="array" ref="L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6" s="22">
        <f>LEN(非皮卡压缩表[[#This Row],[TYPE]])</f>
        <v/>
      </c>
      <c r="N566" s="22">
        <f t="array" ref="N566">_xlfn.XLOOKUP(非皮卡压缩表[[#This Row],[MODEL]],MODEL缩写表[长MODEL],MODEL缩写表[短MODEL],非皮卡压缩表[[#This Row],[MODEL]])</f>
        <v/>
      </c>
      <c r="O566" s="22">
        <f>LEN(非皮卡压缩表[[#This Row],[SHORT-MODEL]])</f>
        <v/>
      </c>
      <c r="P566" s="11">
        <f t="array" ref="P566">TRIM(_xlfn.XLOOKUP(非皮卡压缩表[[#This Row],[BACKSIZE]],ALL尺码表[内部尺码],ALL尺码表[通用尺码]))</f>
        <v/>
      </c>
    </row>
    <row r="567">
      <c r="A567" s="17" t="inlineStr">
        <is>
          <t>ALL</t>
        </is>
      </c>
      <c r="B567" s="18" t="inlineStr">
        <is>
          <t>Hyundai Accent</t>
        </is>
      </c>
      <c r="C567" s="18" t="inlineStr">
        <is>
          <t>Hyundai</t>
        </is>
      </c>
      <c r="D567" s="18" t="inlineStr">
        <is>
          <t>Accent</t>
        </is>
      </c>
      <c r="E567" s="18" t="inlineStr">
        <is>
          <t>2000-2005</t>
        </is>
      </c>
      <c r="F567" s="18" t="inlineStr"/>
      <c r="G567" s="18" t="inlineStr">
        <is>
          <t>Hatchback</t>
        </is>
      </c>
      <c r="H567" s="18" t="inlineStr">
        <is>
          <t>2L+</t>
        </is>
      </c>
      <c r="I567" s="19">
        <f t="array" ref="I567">TRIM(_xlfn.XLOOKUP(非皮卡压缩表[[#This Row],[BACKSIZE]],ALL尺码表[内部尺码],ALL尺码表[分类],""))</f>
        <v/>
      </c>
      <c r="J567" s="19">
        <f t="array" ref="J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7" s="20">
        <f>LEN(非皮卡压缩表[[#This Row],[LONG-TYPE]])</f>
        <v/>
      </c>
      <c r="L567" s="21">
        <f t="array" ref="L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7" s="22">
        <f>LEN(非皮卡压缩表[[#This Row],[TYPE]])</f>
        <v/>
      </c>
      <c r="N567" s="22">
        <f t="array" ref="N567">_xlfn.XLOOKUP(非皮卡压缩表[[#This Row],[MODEL]],MODEL缩写表[长MODEL],MODEL缩写表[短MODEL],非皮卡压缩表[[#This Row],[MODEL]])</f>
        <v/>
      </c>
      <c r="O567" s="22">
        <f>LEN(非皮卡压缩表[[#This Row],[SHORT-MODEL]])</f>
        <v/>
      </c>
      <c r="P567" s="11">
        <f t="array" ref="P567">TRIM(_xlfn.XLOOKUP(非皮卡压缩表[[#This Row],[BACKSIZE]],ALL尺码表[内部尺码],ALL尺码表[通用尺码]))</f>
        <v/>
      </c>
    </row>
    <row r="568">
      <c r="A568" s="17" t="inlineStr">
        <is>
          <t>ALL</t>
        </is>
      </c>
      <c r="B568" s="18" t="inlineStr">
        <is>
          <t>Hyundai Accent</t>
        </is>
      </c>
      <c r="C568" s="18" t="inlineStr">
        <is>
          <t>Hyundai</t>
        </is>
      </c>
      <c r="D568" s="18" t="inlineStr">
        <is>
          <t>Accent</t>
        </is>
      </c>
      <c r="E568" s="18" t="inlineStr">
        <is>
          <t>2006-2017</t>
        </is>
      </c>
      <c r="F568" s="18" t="inlineStr"/>
      <c r="G568" s="18" t="inlineStr">
        <is>
          <t>Hatchback</t>
        </is>
      </c>
      <c r="H568" s="18" t="inlineStr">
        <is>
          <t>2M</t>
        </is>
      </c>
      <c r="I568" s="19">
        <f t="array" ref="I568">TRIM(_xlfn.XLOOKUP(非皮卡压缩表[[#This Row],[BACKSIZE]],ALL尺码表[内部尺码],ALL尺码表[分类],""))</f>
        <v/>
      </c>
      <c r="J568" s="19">
        <f t="array" ref="J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8" s="20">
        <f>LEN(非皮卡压缩表[[#This Row],[LONG-TYPE]])</f>
        <v/>
      </c>
      <c r="L568" s="21">
        <f t="array" ref="L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8" s="22">
        <f>LEN(非皮卡压缩表[[#This Row],[TYPE]])</f>
        <v/>
      </c>
      <c r="N568" s="22">
        <f t="array" ref="N568">_xlfn.XLOOKUP(非皮卡压缩表[[#This Row],[MODEL]],MODEL缩写表[长MODEL],MODEL缩写表[短MODEL],非皮卡压缩表[[#This Row],[MODEL]])</f>
        <v/>
      </c>
      <c r="O568" s="22">
        <f>LEN(非皮卡压缩表[[#This Row],[SHORT-MODEL]])</f>
        <v/>
      </c>
      <c r="P568" s="11">
        <f t="array" ref="P568">TRIM(_xlfn.XLOOKUP(非皮卡压缩表[[#This Row],[BACKSIZE]],ALL尺码表[内部尺码],ALL尺码表[通用尺码]))</f>
        <v/>
      </c>
    </row>
    <row r="569">
      <c r="A569" s="17" t="inlineStr">
        <is>
          <t>ALL</t>
        </is>
      </c>
      <c r="B569" s="18" t="inlineStr">
        <is>
          <t>Hyundai Azera</t>
        </is>
      </c>
      <c r="C569" s="18" t="inlineStr">
        <is>
          <t>Hyundai</t>
        </is>
      </c>
      <c r="D569" s="18" t="inlineStr">
        <is>
          <t>Azera</t>
        </is>
      </c>
      <c r="E569" s="18" t="inlineStr">
        <is>
          <t>2006-2017</t>
        </is>
      </c>
      <c r="F569" s="18" t="inlineStr"/>
      <c r="G569" s="18" t="inlineStr">
        <is>
          <t>Sedan</t>
        </is>
      </c>
      <c r="H569" s="18" t="inlineStr">
        <is>
          <t>3XXL</t>
        </is>
      </c>
      <c r="I569" s="19">
        <f t="array" ref="I569">TRIM(_xlfn.XLOOKUP(非皮卡压缩表[[#This Row],[BACKSIZE]],ALL尺码表[内部尺码],ALL尺码表[分类],""))</f>
        <v/>
      </c>
      <c r="J569" s="19">
        <f t="array" ref="J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9" s="20">
        <f>LEN(非皮卡压缩表[[#This Row],[LONG-TYPE]])</f>
        <v/>
      </c>
      <c r="L569" s="21">
        <f t="array" ref="L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9" s="22">
        <f>LEN(非皮卡压缩表[[#This Row],[TYPE]])</f>
        <v/>
      </c>
      <c r="N569" s="22">
        <f t="array" ref="N569">_xlfn.XLOOKUP(非皮卡压缩表[[#This Row],[MODEL]],MODEL缩写表[长MODEL],MODEL缩写表[短MODEL],非皮卡压缩表[[#This Row],[MODEL]])</f>
        <v/>
      </c>
      <c r="O569" s="22">
        <f>LEN(非皮卡压缩表[[#This Row],[SHORT-MODEL]])</f>
        <v/>
      </c>
      <c r="P569" s="11">
        <f t="array" ref="P569">TRIM(_xlfn.XLOOKUP(非皮卡压缩表[[#This Row],[BACKSIZE]],ALL尺码表[内部尺码],ALL尺码表[通用尺码]))</f>
        <v/>
      </c>
    </row>
    <row r="570">
      <c r="A570" s="17" t="inlineStr">
        <is>
          <t>ALL</t>
        </is>
      </c>
      <c r="B570" s="18" t="inlineStr">
        <is>
          <t>Hyundai Elantra</t>
        </is>
      </c>
      <c r="C570" s="18" t="inlineStr">
        <is>
          <t>Hyundai</t>
        </is>
      </c>
      <c r="D570" s="18" t="inlineStr">
        <is>
          <t>Elantra</t>
        </is>
      </c>
      <c r="E570" s="18" t="inlineStr">
        <is>
          <t>1992-2020</t>
        </is>
      </c>
      <c r="F570" s="18" t="inlineStr"/>
      <c r="G570" s="18" t="inlineStr">
        <is>
          <t>Sedan</t>
        </is>
      </c>
      <c r="H570" s="18" t="inlineStr">
        <is>
          <t>3L</t>
        </is>
      </c>
      <c r="I570" s="19">
        <f t="array" ref="I570">TRIM(_xlfn.XLOOKUP(非皮卡压缩表[[#This Row],[BACKSIZE]],ALL尺码表[内部尺码],ALL尺码表[分类],""))</f>
        <v/>
      </c>
      <c r="J570" s="19">
        <f t="array" ref="J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0" s="20">
        <f>LEN(非皮卡压缩表[[#This Row],[LONG-TYPE]])</f>
        <v/>
      </c>
      <c r="L570" s="21">
        <f t="array" ref="L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0" s="22">
        <f>LEN(非皮卡压缩表[[#This Row],[TYPE]])</f>
        <v/>
      </c>
      <c r="N570" s="22">
        <f t="array" ref="N570">_xlfn.XLOOKUP(非皮卡压缩表[[#This Row],[MODEL]],MODEL缩写表[长MODEL],MODEL缩写表[短MODEL],非皮卡压缩表[[#This Row],[MODEL]])</f>
        <v/>
      </c>
      <c r="O570" s="22">
        <f>LEN(非皮卡压缩表[[#This Row],[SHORT-MODEL]])</f>
        <v/>
      </c>
      <c r="P570" s="11">
        <f t="array" ref="P570">TRIM(_xlfn.XLOOKUP(非皮卡压缩表[[#This Row],[BACKSIZE]],ALL尺码表[内部尺码],ALL尺码表[通用尺码]))</f>
        <v/>
      </c>
    </row>
    <row r="571">
      <c r="A571" s="17" t="inlineStr">
        <is>
          <t>ALL</t>
        </is>
      </c>
      <c r="B571" s="18" t="inlineStr">
        <is>
          <t>Hyundai Elantra</t>
        </is>
      </c>
      <c r="C571" s="18" t="inlineStr">
        <is>
          <t>Hyundai</t>
        </is>
      </c>
      <c r="D571" s="18" t="inlineStr">
        <is>
          <t>Elantra</t>
        </is>
      </c>
      <c r="E571" s="18" t="inlineStr">
        <is>
          <t>1996-2020</t>
        </is>
      </c>
      <c r="F571" s="18" t="inlineStr"/>
      <c r="G571" s="18" t="inlineStr">
        <is>
          <t>Hatchback/Wagon</t>
        </is>
      </c>
      <c r="H571" s="18" t="inlineStr">
        <is>
          <t>2L+</t>
        </is>
      </c>
      <c r="I571" s="19">
        <f t="array" ref="I571">TRIM(_xlfn.XLOOKUP(非皮卡压缩表[[#This Row],[BACKSIZE]],ALL尺码表[内部尺码],ALL尺码表[分类],""))</f>
        <v/>
      </c>
      <c r="J571" s="19">
        <f t="array" ref="J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1" s="20">
        <f>LEN(非皮卡压缩表[[#This Row],[LONG-TYPE]])</f>
        <v/>
      </c>
      <c r="L571" s="21">
        <f t="array" ref="L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1" s="22">
        <f>LEN(非皮卡压缩表[[#This Row],[TYPE]])</f>
        <v/>
      </c>
      <c r="N571" s="22">
        <f t="array" ref="N571">_xlfn.XLOOKUP(非皮卡压缩表[[#This Row],[MODEL]],MODEL缩写表[长MODEL],MODEL缩写表[短MODEL],非皮卡压缩表[[#This Row],[MODEL]])</f>
        <v/>
      </c>
      <c r="O571" s="22">
        <f>LEN(非皮卡压缩表[[#This Row],[SHORT-MODEL]])</f>
        <v/>
      </c>
      <c r="P571" s="11">
        <f t="array" ref="P571">TRIM(_xlfn.XLOOKUP(非皮卡压缩表[[#This Row],[BACKSIZE]],ALL尺码表[内部尺码],ALL尺码表[通用尺码]))</f>
        <v/>
      </c>
    </row>
    <row r="572">
      <c r="A572" s="17" t="inlineStr">
        <is>
          <t>ALL</t>
        </is>
      </c>
      <c r="B572" s="18" t="inlineStr">
        <is>
          <t>Hyundai Elantra</t>
        </is>
      </c>
      <c r="C572" s="18" t="inlineStr">
        <is>
          <t>Hyundai</t>
        </is>
      </c>
      <c r="D572" s="18" t="inlineStr">
        <is>
          <t>Elantra</t>
        </is>
      </c>
      <c r="E572" s="18" t="inlineStr">
        <is>
          <t>2021-2026</t>
        </is>
      </c>
      <c r="F572" s="18" t="inlineStr"/>
      <c r="G572" s="18" t="inlineStr">
        <is>
          <t>Sedan</t>
        </is>
      </c>
      <c r="H572" s="18" t="inlineStr">
        <is>
          <t>3XL</t>
        </is>
      </c>
      <c r="I572" s="19">
        <f t="array" ref="I572">TRIM(_xlfn.XLOOKUP(非皮卡压缩表[[#This Row],[BACKSIZE]],ALL尺码表[内部尺码],ALL尺码表[分类],""))</f>
        <v/>
      </c>
      <c r="J572" s="19">
        <f t="array" ref="J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2" s="20">
        <f>LEN(非皮卡压缩表[[#This Row],[LONG-TYPE]])</f>
        <v/>
      </c>
      <c r="L572" s="21">
        <f t="array" ref="L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2" s="22">
        <f>LEN(非皮卡压缩表[[#This Row],[TYPE]])</f>
        <v/>
      </c>
      <c r="N572" s="22">
        <f t="array" ref="N572">_xlfn.XLOOKUP(非皮卡压缩表[[#This Row],[MODEL]],MODEL缩写表[长MODEL],MODEL缩写表[短MODEL],非皮卡压缩表[[#This Row],[MODEL]])</f>
        <v/>
      </c>
      <c r="O572" s="22">
        <f>LEN(非皮卡压缩表[[#This Row],[SHORT-MODEL]])</f>
        <v/>
      </c>
      <c r="P572" s="11">
        <f t="array" ref="P572">TRIM(_xlfn.XLOOKUP(非皮卡压缩表[[#This Row],[BACKSIZE]],ALL尺码表[内部尺码],ALL尺码表[通用尺码]))</f>
        <v/>
      </c>
    </row>
    <row r="573">
      <c r="A573" s="17" t="inlineStr">
        <is>
          <t>ALL</t>
        </is>
      </c>
      <c r="B573" s="18" t="inlineStr">
        <is>
          <t>Hyundai Elantra GT</t>
        </is>
      </c>
      <c r="C573" s="18" t="inlineStr">
        <is>
          <t>Hyundai</t>
        </is>
      </c>
      <c r="D573" s="18" t="inlineStr">
        <is>
          <t>Elantra GT</t>
        </is>
      </c>
      <c r="E573" s="18" t="inlineStr">
        <is>
          <t>2013-2020</t>
        </is>
      </c>
      <c r="F573" s="18" t="inlineStr"/>
      <c r="G573" s="18" t="inlineStr">
        <is>
          <t>Hatchback</t>
        </is>
      </c>
      <c r="H573" s="18" t="inlineStr">
        <is>
          <t>2L+</t>
        </is>
      </c>
      <c r="I573" s="19">
        <f t="array" ref="I573">TRIM(_xlfn.XLOOKUP(非皮卡压缩表[[#This Row],[BACKSIZE]],ALL尺码表[内部尺码],ALL尺码表[分类],""))</f>
        <v/>
      </c>
      <c r="J573" s="19">
        <f t="array" ref="J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3" s="20">
        <f>LEN(非皮卡压缩表[[#This Row],[LONG-TYPE]])</f>
        <v/>
      </c>
      <c r="L573" s="21">
        <f t="array" ref="L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3" s="22">
        <f>LEN(非皮卡压缩表[[#This Row],[TYPE]])</f>
        <v/>
      </c>
      <c r="N573" s="22">
        <f t="array" ref="N573">_xlfn.XLOOKUP(非皮卡压缩表[[#This Row],[MODEL]],MODEL缩写表[长MODEL],MODEL缩写表[短MODEL],非皮卡压缩表[[#This Row],[MODEL]])</f>
        <v/>
      </c>
      <c r="O573" s="22">
        <f>LEN(非皮卡压缩表[[#This Row],[SHORT-MODEL]])</f>
        <v/>
      </c>
      <c r="P573" s="11">
        <f t="array" ref="P573">TRIM(_xlfn.XLOOKUP(非皮卡压缩表[[#This Row],[BACKSIZE]],ALL尺码表[内部尺码],ALL尺码表[通用尺码]))</f>
        <v/>
      </c>
    </row>
    <row r="574">
      <c r="A574" s="17" t="inlineStr">
        <is>
          <t>ALL</t>
        </is>
      </c>
      <c r="B574" s="18" t="inlineStr">
        <is>
          <t>Hyundai Elantra Tour</t>
        </is>
      </c>
      <c r="C574" s="18" t="inlineStr">
        <is>
          <t>Hyundai</t>
        </is>
      </c>
      <c r="D574" s="18" t="inlineStr">
        <is>
          <t>Elantra Tour</t>
        </is>
      </c>
      <c r="E574" s="18" t="inlineStr">
        <is>
          <t>2009-2012</t>
        </is>
      </c>
      <c r="F574" s="18" t="inlineStr"/>
      <c r="G574" s="18" t="inlineStr">
        <is>
          <t>Wagon</t>
        </is>
      </c>
      <c r="H574" s="18" t="inlineStr">
        <is>
          <t>2L+</t>
        </is>
      </c>
      <c r="I574" s="19">
        <f t="array" ref="I574">TRIM(_xlfn.XLOOKUP(非皮卡压缩表[[#This Row],[BACKSIZE]],ALL尺码表[内部尺码],ALL尺码表[分类],""))</f>
        <v/>
      </c>
      <c r="J574" s="19">
        <f t="array" ref="J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4" s="20">
        <f>LEN(非皮卡压缩表[[#This Row],[LONG-TYPE]])</f>
        <v/>
      </c>
      <c r="L574" s="21">
        <f t="array" ref="L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4" s="22">
        <f>LEN(非皮卡压缩表[[#This Row],[TYPE]])</f>
        <v/>
      </c>
      <c r="N574" s="22">
        <f t="array" ref="N574">_xlfn.XLOOKUP(非皮卡压缩表[[#This Row],[MODEL]],MODEL缩写表[长MODEL],MODEL缩写表[短MODEL],非皮卡压缩表[[#This Row],[MODEL]])</f>
        <v/>
      </c>
      <c r="O574" s="22">
        <f>LEN(非皮卡压缩表[[#This Row],[SHORT-MODEL]])</f>
        <v/>
      </c>
      <c r="P574" s="11">
        <f t="array" ref="P574">TRIM(_xlfn.XLOOKUP(非皮卡压缩表[[#This Row],[BACKSIZE]],ALL尺码表[内部尺码],ALL尺码表[通用尺码]))</f>
        <v/>
      </c>
    </row>
    <row r="575">
      <c r="A575" s="17" t="inlineStr">
        <is>
          <t>ALL</t>
        </is>
      </c>
      <c r="B575" s="18" t="inlineStr">
        <is>
          <t>Hyundai Equus</t>
        </is>
      </c>
      <c r="C575" s="18" t="inlineStr">
        <is>
          <t>Hyundai</t>
        </is>
      </c>
      <c r="D575" s="18" t="inlineStr">
        <is>
          <t>Equus</t>
        </is>
      </c>
      <c r="E575" s="18" t="inlineStr">
        <is>
          <t>2011-2016</t>
        </is>
      </c>
      <c r="F575" s="18" t="inlineStr"/>
      <c r="G575" s="18" t="inlineStr">
        <is>
          <t>Sedan</t>
        </is>
      </c>
      <c r="H575" s="18" t="inlineStr">
        <is>
          <t>3XXL</t>
        </is>
      </c>
      <c r="I575" s="19">
        <f t="array" ref="I575">TRIM(_xlfn.XLOOKUP(非皮卡压缩表[[#This Row],[BACKSIZE]],ALL尺码表[内部尺码],ALL尺码表[分类],""))</f>
        <v/>
      </c>
      <c r="J575" s="19">
        <f t="array" ref="J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5" s="20">
        <f>LEN(非皮卡压缩表[[#This Row],[LONG-TYPE]])</f>
        <v/>
      </c>
      <c r="L575" s="21">
        <f t="array" ref="L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5" s="22">
        <f>LEN(非皮卡压缩表[[#This Row],[TYPE]])</f>
        <v/>
      </c>
      <c r="N575" s="22">
        <f t="array" ref="N575">_xlfn.XLOOKUP(非皮卡压缩表[[#This Row],[MODEL]],MODEL缩写表[长MODEL],MODEL缩写表[短MODEL],非皮卡压缩表[[#This Row],[MODEL]])</f>
        <v/>
      </c>
      <c r="O575" s="22">
        <f>LEN(非皮卡压缩表[[#This Row],[SHORT-MODEL]])</f>
        <v/>
      </c>
      <c r="P575" s="11">
        <f t="array" ref="P575">TRIM(_xlfn.XLOOKUP(非皮卡压缩表[[#This Row],[BACKSIZE]],ALL尺码表[内部尺码],ALL尺码表[通用尺码]))</f>
        <v/>
      </c>
    </row>
    <row r="576">
      <c r="A576" s="17" t="inlineStr">
        <is>
          <t>ALL</t>
        </is>
      </c>
      <c r="B576" s="18" t="inlineStr">
        <is>
          <t>Hyundai Genesis</t>
        </is>
      </c>
      <c r="C576" s="18" t="inlineStr">
        <is>
          <t>Hyundai</t>
        </is>
      </c>
      <c r="D576" s="18" t="inlineStr">
        <is>
          <t>Genesis</t>
        </is>
      </c>
      <c r="E576" s="18" t="inlineStr">
        <is>
          <t>2009-2016</t>
        </is>
      </c>
      <c r="F576" s="18" t="inlineStr">
        <is>
          <t>Incl: 5.0 R-Spec</t>
        </is>
      </c>
      <c r="G576" s="18" t="inlineStr">
        <is>
          <t>Sedan</t>
        </is>
      </c>
      <c r="H576" s="18" t="inlineStr">
        <is>
          <t>3XXL</t>
        </is>
      </c>
      <c r="I576" s="19">
        <f t="array" ref="I576">TRIM(_xlfn.XLOOKUP(非皮卡压缩表[[#This Row],[BACKSIZE]],ALL尺码表[内部尺码],ALL尺码表[分类],""))</f>
        <v/>
      </c>
      <c r="J576" s="19">
        <f t="array" ref="J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6" s="20">
        <f>LEN(非皮卡压缩表[[#This Row],[LONG-TYPE]])</f>
        <v/>
      </c>
      <c r="L576" s="21">
        <f t="array" ref="L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6" s="22">
        <f>LEN(非皮卡压缩表[[#This Row],[TYPE]])</f>
        <v/>
      </c>
      <c r="N576" s="22">
        <f t="array" ref="N576">_xlfn.XLOOKUP(非皮卡压缩表[[#This Row],[MODEL]],MODEL缩写表[长MODEL],MODEL缩写表[短MODEL],非皮卡压缩表[[#This Row],[MODEL]])</f>
        <v/>
      </c>
      <c r="O576" s="22">
        <f>LEN(非皮卡压缩表[[#This Row],[SHORT-MODEL]])</f>
        <v/>
      </c>
      <c r="P576" s="11">
        <f t="array" ref="P576">TRIM(_xlfn.XLOOKUP(非皮卡压缩表[[#This Row],[BACKSIZE]],ALL尺码表[内部尺码],ALL尺码表[通用尺码]))</f>
        <v/>
      </c>
    </row>
    <row r="577">
      <c r="A577" s="17" t="inlineStr">
        <is>
          <t>ALL</t>
        </is>
      </c>
      <c r="B577" s="18" t="inlineStr">
        <is>
          <t>Hyundai IONIQ 5</t>
        </is>
      </c>
      <c r="C577" s="18" t="inlineStr">
        <is>
          <t>Hyundai</t>
        </is>
      </c>
      <c r="D577" s="18" t="inlineStr">
        <is>
          <t>IONIQ 5</t>
        </is>
      </c>
      <c r="E577" s="18" t="inlineStr">
        <is>
          <t>2022-2026</t>
        </is>
      </c>
      <c r="F577" s="18" t="inlineStr">
        <is>
          <t>Incl: N</t>
        </is>
      </c>
      <c r="G577" s="18" t="inlineStr">
        <is>
          <t>SUV</t>
        </is>
      </c>
      <c r="H577" s="18" t="inlineStr">
        <is>
          <t>YL</t>
        </is>
      </c>
      <c r="I577" s="19">
        <f t="array" ref="I577">TRIM(_xlfn.XLOOKUP(非皮卡压缩表[[#This Row],[BACKSIZE]],ALL尺码表[内部尺码],ALL尺码表[分类],""))</f>
        <v/>
      </c>
      <c r="J577" s="19">
        <f t="array" ref="J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7" s="20">
        <f>LEN(非皮卡压缩表[[#This Row],[LONG-TYPE]])</f>
        <v/>
      </c>
      <c r="L577" s="21">
        <f t="array" ref="L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7" s="22">
        <f>LEN(非皮卡压缩表[[#This Row],[TYPE]])</f>
        <v/>
      </c>
      <c r="N577" s="22">
        <f t="array" ref="N577">_xlfn.XLOOKUP(非皮卡压缩表[[#This Row],[MODEL]],MODEL缩写表[长MODEL],MODEL缩写表[短MODEL],非皮卡压缩表[[#This Row],[MODEL]])</f>
        <v/>
      </c>
      <c r="O577" s="22">
        <f>LEN(非皮卡压缩表[[#This Row],[SHORT-MODEL]])</f>
        <v/>
      </c>
      <c r="P577" s="11">
        <f t="array" ref="P577">TRIM(_xlfn.XLOOKUP(非皮卡压缩表[[#This Row],[BACKSIZE]],ALL尺码表[内部尺码],ALL尺码表[通用尺码]))</f>
        <v/>
      </c>
    </row>
    <row r="578">
      <c r="A578" s="17" t="inlineStr">
        <is>
          <t>ALL</t>
        </is>
      </c>
      <c r="B578" s="18" t="inlineStr">
        <is>
          <t>Hyundai IONIQ 6</t>
        </is>
      </c>
      <c r="C578" s="18" t="inlineStr">
        <is>
          <t>Hyundai</t>
        </is>
      </c>
      <c r="D578" s="18" t="inlineStr">
        <is>
          <t>IONIQ 6</t>
        </is>
      </c>
      <c r="E578" s="18" t="inlineStr">
        <is>
          <t>2023-2026</t>
        </is>
      </c>
      <c r="F578" s="18" t="inlineStr"/>
      <c r="G578" s="18" t="inlineStr">
        <is>
          <t>Sedan</t>
        </is>
      </c>
      <c r="H578" s="18" t="inlineStr">
        <is>
          <t>3XL</t>
        </is>
      </c>
      <c r="I578" s="19">
        <f t="array" ref="I578">TRIM(_xlfn.XLOOKUP(非皮卡压缩表[[#This Row],[BACKSIZE]],ALL尺码表[内部尺码],ALL尺码表[分类],""))</f>
        <v/>
      </c>
      <c r="J578" s="19">
        <f t="array" ref="J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8" s="20">
        <f>LEN(非皮卡压缩表[[#This Row],[LONG-TYPE]])</f>
        <v/>
      </c>
      <c r="L578" s="21">
        <f t="array" ref="L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8" s="22">
        <f>LEN(非皮卡压缩表[[#This Row],[TYPE]])</f>
        <v/>
      </c>
      <c r="N578" s="22">
        <f t="array" ref="N578">_xlfn.XLOOKUP(非皮卡压缩表[[#This Row],[MODEL]],MODEL缩写表[长MODEL],MODEL缩写表[短MODEL],非皮卡压缩表[[#This Row],[MODEL]])</f>
        <v/>
      </c>
      <c r="O578" s="22">
        <f>LEN(非皮卡压缩表[[#This Row],[SHORT-MODEL]])</f>
        <v/>
      </c>
      <c r="P578" s="11">
        <f t="array" ref="P578">TRIM(_xlfn.XLOOKUP(非皮卡压缩表[[#This Row],[BACKSIZE]],ALL尺码表[内部尺码],ALL尺码表[通用尺码]))</f>
        <v/>
      </c>
    </row>
    <row r="579">
      <c r="A579" s="17" t="inlineStr">
        <is>
          <t>ALL</t>
        </is>
      </c>
      <c r="B579" s="18" t="inlineStr">
        <is>
          <t>Hyundai IONIQ 6</t>
        </is>
      </c>
      <c r="C579" s="18" t="inlineStr">
        <is>
          <t>Hyundai</t>
        </is>
      </c>
      <c r="D579" s="18" t="inlineStr">
        <is>
          <t>IONIQ 6</t>
        </is>
      </c>
      <c r="E579" s="18" t="inlineStr">
        <is>
          <t>2026</t>
        </is>
      </c>
      <c r="F579" s="18" t="inlineStr">
        <is>
          <t>N</t>
        </is>
      </c>
      <c r="G579" s="18" t="inlineStr">
        <is>
          <t>Sedan</t>
        </is>
      </c>
      <c r="H579" s="18" t="inlineStr">
        <is>
          <t>3XXL</t>
        </is>
      </c>
      <c r="I579" s="19">
        <f t="array" ref="I579">TRIM(_xlfn.XLOOKUP(非皮卡压缩表[[#This Row],[BACKSIZE]],ALL尺码表[内部尺码],ALL尺码表[分类],""))</f>
        <v/>
      </c>
      <c r="J579" s="19">
        <f t="array" ref="J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9" s="20">
        <f>LEN(非皮卡压缩表[[#This Row],[LONG-TYPE]])</f>
        <v/>
      </c>
      <c r="L579" s="21">
        <f t="array" ref="L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9" s="22">
        <f>LEN(非皮卡压缩表[[#This Row],[TYPE]])</f>
        <v/>
      </c>
      <c r="N579" s="22">
        <f t="array" ref="N579">_xlfn.XLOOKUP(非皮卡压缩表[[#This Row],[MODEL]],MODEL缩写表[长MODEL],MODEL缩写表[短MODEL],非皮卡压缩表[[#This Row],[MODEL]])</f>
        <v/>
      </c>
      <c r="O579" s="22">
        <f>LEN(非皮卡压缩表[[#This Row],[SHORT-MODEL]])</f>
        <v/>
      </c>
      <c r="P579" s="11">
        <f t="array" ref="P579">TRIM(_xlfn.XLOOKUP(非皮卡压缩表[[#This Row],[BACKSIZE]],ALL尺码表[内部尺码],ALL尺码表[通用尺码]))</f>
        <v/>
      </c>
    </row>
    <row r="580">
      <c r="A580" s="17" t="inlineStr">
        <is>
          <t>ALL</t>
        </is>
      </c>
      <c r="B580" s="18" t="inlineStr">
        <is>
          <t>Hyundai Ioniq</t>
        </is>
      </c>
      <c r="C580" s="18" t="inlineStr">
        <is>
          <t>Hyundai</t>
        </is>
      </c>
      <c r="D580" s="18" t="inlineStr">
        <is>
          <t>Ioniq</t>
        </is>
      </c>
      <c r="E580" s="18" t="inlineStr">
        <is>
          <t>2017-2022</t>
        </is>
      </c>
      <c r="F580" s="18" t="inlineStr"/>
      <c r="G580" s="18" t="inlineStr">
        <is>
          <t>Hatchback</t>
        </is>
      </c>
      <c r="H580" s="18" t="inlineStr">
        <is>
          <t>2L+</t>
        </is>
      </c>
      <c r="I580" s="19">
        <f t="array" ref="I580">TRIM(_xlfn.XLOOKUP(非皮卡压缩表[[#This Row],[BACKSIZE]],ALL尺码表[内部尺码],ALL尺码表[分类],""))</f>
        <v/>
      </c>
      <c r="J580" s="19">
        <f t="array" ref="J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0" s="20">
        <f>LEN(非皮卡压缩表[[#This Row],[LONG-TYPE]])</f>
        <v/>
      </c>
      <c r="L580" s="21">
        <f t="array" ref="L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0" s="22">
        <f>LEN(非皮卡压缩表[[#This Row],[TYPE]])</f>
        <v/>
      </c>
      <c r="N580" s="22">
        <f t="array" ref="N580">_xlfn.XLOOKUP(非皮卡压缩表[[#This Row],[MODEL]],MODEL缩写表[长MODEL],MODEL缩写表[短MODEL],非皮卡压缩表[[#This Row],[MODEL]])</f>
        <v/>
      </c>
      <c r="O580" s="22">
        <f>LEN(非皮卡压缩表[[#This Row],[SHORT-MODEL]])</f>
        <v/>
      </c>
      <c r="P580" s="11">
        <f t="array" ref="P580">TRIM(_xlfn.XLOOKUP(非皮卡压缩表[[#This Row],[BACKSIZE]],ALL尺码表[内部尺码],ALL尺码表[通用尺码]))</f>
        <v/>
      </c>
    </row>
    <row r="581">
      <c r="A581" s="17" t="inlineStr">
        <is>
          <t>ALL</t>
        </is>
      </c>
      <c r="B581" s="18" t="inlineStr">
        <is>
          <t>Hyundai Ioniq 9</t>
        </is>
      </c>
      <c r="C581" s="18" t="inlineStr">
        <is>
          <t>Hyundai</t>
        </is>
      </c>
      <c r="D581" s="18" t="inlineStr">
        <is>
          <t>Ioniq 9</t>
        </is>
      </c>
      <c r="E581" s="18" t="inlineStr">
        <is>
          <t>2026</t>
        </is>
      </c>
      <c r="F581" s="18" t="inlineStr"/>
      <c r="G581" s="18" t="inlineStr">
        <is>
          <t>SUV</t>
        </is>
      </c>
      <c r="H581" s="18" t="inlineStr">
        <is>
          <t>YXL</t>
        </is>
      </c>
      <c r="I581" s="19">
        <f t="array" ref="I581">TRIM(_xlfn.XLOOKUP(非皮卡压缩表[[#This Row],[BACKSIZE]],ALL尺码表[内部尺码],ALL尺码表[分类],""))</f>
        <v/>
      </c>
      <c r="J581" s="19">
        <f t="array" ref="J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1" s="20">
        <f>LEN(非皮卡压缩表[[#This Row],[LONG-TYPE]])</f>
        <v/>
      </c>
      <c r="L581" s="21">
        <f t="array" ref="L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1" s="22">
        <f>LEN(非皮卡压缩表[[#This Row],[TYPE]])</f>
        <v/>
      </c>
      <c r="N581" s="22">
        <f t="array" ref="N581">_xlfn.XLOOKUP(非皮卡压缩表[[#This Row],[MODEL]],MODEL缩写表[长MODEL],MODEL缩写表[短MODEL],非皮卡压缩表[[#This Row],[MODEL]])</f>
        <v/>
      </c>
      <c r="O581" s="22">
        <f>LEN(非皮卡压缩表[[#This Row],[SHORT-MODEL]])</f>
        <v/>
      </c>
      <c r="P581" s="11">
        <f t="array" ref="P581">TRIM(_xlfn.XLOOKUP(非皮卡压缩表[[#This Row],[BACKSIZE]],ALL尺码表[内部尺码],ALL尺码表[通用尺码]))</f>
        <v/>
      </c>
    </row>
    <row r="582">
      <c r="A582" s="17" t="inlineStr">
        <is>
          <t>ALL</t>
        </is>
      </c>
      <c r="B582" s="18" t="inlineStr">
        <is>
          <t>Hyundai Kona</t>
        </is>
      </c>
      <c r="C582" s="18" t="inlineStr">
        <is>
          <t>Hyundai</t>
        </is>
      </c>
      <c r="D582" s="18" t="inlineStr">
        <is>
          <t>Kona</t>
        </is>
      </c>
      <c r="E582" s="18" t="inlineStr">
        <is>
          <t>2019-2026</t>
        </is>
      </c>
      <c r="F582" s="18" t="inlineStr"/>
      <c r="G582" s="18" t="inlineStr">
        <is>
          <t>CUV</t>
        </is>
      </c>
      <c r="H582" s="18" t="inlineStr">
        <is>
          <t>YM+</t>
        </is>
      </c>
      <c r="I582" s="19">
        <f t="array" ref="I582">TRIM(_xlfn.XLOOKUP(非皮卡压缩表[[#This Row],[BACKSIZE]],ALL尺码表[内部尺码],ALL尺码表[分类],""))</f>
        <v/>
      </c>
      <c r="J582" s="19">
        <f t="array" ref="J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2" s="20">
        <f>LEN(非皮卡压缩表[[#This Row],[LONG-TYPE]])</f>
        <v/>
      </c>
      <c r="L582" s="21">
        <f t="array" ref="L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2" s="22">
        <f>LEN(非皮卡压缩表[[#This Row],[TYPE]])</f>
        <v/>
      </c>
      <c r="N582" s="22">
        <f t="array" ref="N582">_xlfn.XLOOKUP(非皮卡压缩表[[#This Row],[MODEL]],MODEL缩写表[长MODEL],MODEL缩写表[短MODEL],非皮卡压缩表[[#This Row],[MODEL]])</f>
        <v/>
      </c>
      <c r="O582" s="22">
        <f>LEN(非皮卡压缩表[[#This Row],[SHORT-MODEL]])</f>
        <v/>
      </c>
      <c r="P582" s="11">
        <f t="array" ref="P582">TRIM(_xlfn.XLOOKUP(非皮卡压缩表[[#This Row],[BACKSIZE]],ALL尺码表[内部尺码],ALL尺码表[通用尺码]))</f>
        <v/>
      </c>
    </row>
    <row r="583">
      <c r="A583" s="17" t="inlineStr">
        <is>
          <t>ALL</t>
        </is>
      </c>
      <c r="B583" s="18" t="inlineStr">
        <is>
          <t>Hyundai Nexo</t>
        </is>
      </c>
      <c r="C583" s="18" t="inlineStr">
        <is>
          <t>Hyundai</t>
        </is>
      </c>
      <c r="D583" s="18" t="inlineStr">
        <is>
          <t>Nexo</t>
        </is>
      </c>
      <c r="E583" s="18" t="inlineStr">
        <is>
          <t>2019-2024</t>
        </is>
      </c>
      <c r="F583" s="18" t="inlineStr"/>
      <c r="G583" s="18" t="inlineStr">
        <is>
          <t>SUV</t>
        </is>
      </c>
      <c r="H583" s="18" t="inlineStr">
        <is>
          <t>YL</t>
        </is>
      </c>
      <c r="I583" s="19">
        <f t="array" ref="I583">TRIM(_xlfn.XLOOKUP(非皮卡压缩表[[#This Row],[BACKSIZE]],ALL尺码表[内部尺码],ALL尺码表[分类],""))</f>
        <v/>
      </c>
      <c r="J583" s="19">
        <f t="array" ref="J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3" s="20">
        <f>LEN(非皮卡压缩表[[#This Row],[LONG-TYPE]])</f>
        <v/>
      </c>
      <c r="L583" s="21">
        <f t="array" ref="L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3" s="22">
        <f>LEN(非皮卡压缩表[[#This Row],[TYPE]])</f>
        <v/>
      </c>
      <c r="N583" s="22">
        <f t="array" ref="N583">_xlfn.XLOOKUP(非皮卡压缩表[[#This Row],[MODEL]],MODEL缩写表[长MODEL],MODEL缩写表[短MODEL],非皮卡压缩表[[#This Row],[MODEL]])</f>
        <v/>
      </c>
      <c r="O583" s="22">
        <f>LEN(非皮卡压缩表[[#This Row],[SHORT-MODEL]])</f>
        <v/>
      </c>
      <c r="P583" s="11">
        <f t="array" ref="P583">TRIM(_xlfn.XLOOKUP(非皮卡压缩表[[#This Row],[BACKSIZE]],ALL尺码表[内部尺码],ALL尺码表[通用尺码]))</f>
        <v/>
      </c>
    </row>
    <row r="584">
      <c r="A584" s="17" t="inlineStr">
        <is>
          <t>ALL</t>
        </is>
      </c>
      <c r="B584" s="18" t="inlineStr">
        <is>
          <t>Hyundai Palisade</t>
        </is>
      </c>
      <c r="C584" s="18" t="inlineStr">
        <is>
          <t>Hyundai</t>
        </is>
      </c>
      <c r="D584" s="18" t="inlineStr">
        <is>
          <t>Palisade</t>
        </is>
      </c>
      <c r="E584" s="18" t="inlineStr">
        <is>
          <t>2020-2026</t>
        </is>
      </c>
      <c r="F584" s="18" t="inlineStr"/>
      <c r="G584" s="18" t="inlineStr">
        <is>
          <t>SUV</t>
        </is>
      </c>
      <c r="H584" s="18" t="inlineStr">
        <is>
          <t>YXL</t>
        </is>
      </c>
      <c r="I584" s="19">
        <f t="array" ref="I584">TRIM(_xlfn.XLOOKUP(非皮卡压缩表[[#This Row],[BACKSIZE]],ALL尺码表[内部尺码],ALL尺码表[分类],""))</f>
        <v/>
      </c>
      <c r="J584" s="19">
        <f t="array" ref="J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4" s="20">
        <f>LEN(非皮卡压缩表[[#This Row],[LONG-TYPE]])</f>
        <v/>
      </c>
      <c r="L584" s="21">
        <f t="array" ref="L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4" s="22">
        <f>LEN(非皮卡压缩表[[#This Row],[TYPE]])</f>
        <v/>
      </c>
      <c r="N584" s="22">
        <f t="array" ref="N584">_xlfn.XLOOKUP(非皮卡压缩表[[#This Row],[MODEL]],MODEL缩写表[长MODEL],MODEL缩写表[短MODEL],非皮卡压缩表[[#This Row],[MODEL]])</f>
        <v/>
      </c>
      <c r="O584" s="22">
        <f>LEN(非皮卡压缩表[[#This Row],[SHORT-MODEL]])</f>
        <v/>
      </c>
      <c r="P584" s="11">
        <f t="array" ref="P584">TRIM(_xlfn.XLOOKUP(非皮卡压缩表[[#This Row],[BACKSIZE]],ALL尺码表[内部尺码],ALL尺码表[通用尺码]))</f>
        <v/>
      </c>
    </row>
    <row r="585">
      <c r="A585" s="17" t="inlineStr">
        <is>
          <t>ALL</t>
        </is>
      </c>
      <c r="B585" s="18" t="inlineStr">
        <is>
          <t>Hyundai Santa Fe</t>
        </is>
      </c>
      <c r="C585" s="18" t="inlineStr">
        <is>
          <t>Hyundai</t>
        </is>
      </c>
      <c r="D585" s="18" t="inlineStr">
        <is>
          <t>Santa Fe</t>
        </is>
      </c>
      <c r="E585" s="18" t="inlineStr">
        <is>
          <t>2001-2006</t>
        </is>
      </c>
      <c r="F585" s="18" t="inlineStr"/>
      <c r="G585" s="18" t="inlineStr">
        <is>
          <t>SUV</t>
        </is>
      </c>
      <c r="H585" s="18" t="inlineStr">
        <is>
          <t>YM+</t>
        </is>
      </c>
      <c r="I585" s="19">
        <f t="array" ref="I585">TRIM(_xlfn.XLOOKUP(非皮卡压缩表[[#This Row],[BACKSIZE]],ALL尺码表[内部尺码],ALL尺码表[分类],""))</f>
        <v/>
      </c>
      <c r="J585" s="19">
        <f t="array" ref="J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5" s="20">
        <f>LEN(非皮卡压缩表[[#This Row],[LONG-TYPE]])</f>
        <v/>
      </c>
      <c r="L585" s="21">
        <f t="array" ref="L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5" s="22">
        <f>LEN(非皮卡压缩表[[#This Row],[TYPE]])</f>
        <v/>
      </c>
      <c r="N585" s="22">
        <f t="array" ref="N585">_xlfn.XLOOKUP(非皮卡压缩表[[#This Row],[MODEL]],MODEL缩写表[长MODEL],MODEL缩写表[短MODEL],非皮卡压缩表[[#This Row],[MODEL]])</f>
        <v/>
      </c>
      <c r="O585" s="22">
        <f>LEN(非皮卡压缩表[[#This Row],[SHORT-MODEL]])</f>
        <v/>
      </c>
      <c r="P585" s="11">
        <f t="array" ref="P585">TRIM(_xlfn.XLOOKUP(非皮卡压缩表[[#This Row],[BACKSIZE]],ALL尺码表[内部尺码],ALL尺码表[通用尺码]))</f>
        <v/>
      </c>
    </row>
    <row r="586">
      <c r="A586" s="17" t="inlineStr">
        <is>
          <t>ALL</t>
        </is>
      </c>
      <c r="B586" s="18" t="inlineStr">
        <is>
          <t>Hyundai Santa Fe</t>
        </is>
      </c>
      <c r="C586" s="18" t="inlineStr">
        <is>
          <t>Hyundai</t>
        </is>
      </c>
      <c r="D586" s="18" t="inlineStr">
        <is>
          <t>Santa Fe</t>
        </is>
      </c>
      <c r="E586" s="18" t="inlineStr">
        <is>
          <t>2007-2023</t>
        </is>
      </c>
      <c r="F586" s="18" t="inlineStr">
        <is>
          <t>Incl: Sport</t>
        </is>
      </c>
      <c r="G586" s="18" t="inlineStr">
        <is>
          <t>SUV</t>
        </is>
      </c>
      <c r="H586" s="18" t="inlineStr">
        <is>
          <t>YL</t>
        </is>
      </c>
      <c r="I586" s="19">
        <f t="array" ref="I586">TRIM(_xlfn.XLOOKUP(非皮卡压缩表[[#This Row],[BACKSIZE]],ALL尺码表[内部尺码],ALL尺码表[分类],""))</f>
        <v/>
      </c>
      <c r="J586" s="19">
        <f t="array" ref="J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6" s="20">
        <f>LEN(非皮卡压缩表[[#This Row],[LONG-TYPE]])</f>
        <v/>
      </c>
      <c r="L586" s="21">
        <f t="array" ref="L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6" s="22">
        <f>LEN(非皮卡压缩表[[#This Row],[TYPE]])</f>
        <v/>
      </c>
      <c r="N586" s="22">
        <f t="array" ref="N586">_xlfn.XLOOKUP(非皮卡压缩表[[#This Row],[MODEL]],MODEL缩写表[长MODEL],MODEL缩写表[短MODEL],非皮卡压缩表[[#This Row],[MODEL]])</f>
        <v/>
      </c>
      <c r="O586" s="22">
        <f>LEN(非皮卡压缩表[[#This Row],[SHORT-MODEL]])</f>
        <v/>
      </c>
      <c r="P586" s="11">
        <f t="array" ref="P586">TRIM(_xlfn.XLOOKUP(非皮卡压缩表[[#This Row],[BACKSIZE]],ALL尺码表[内部尺码],ALL尺码表[通用尺码]))</f>
        <v/>
      </c>
    </row>
    <row r="587">
      <c r="A587" s="17" t="inlineStr">
        <is>
          <t>ALL</t>
        </is>
      </c>
      <c r="B587" s="18" t="inlineStr">
        <is>
          <t>Hyundai Santa Fe</t>
        </is>
      </c>
      <c r="C587" s="18" t="inlineStr">
        <is>
          <t>Hyundai</t>
        </is>
      </c>
      <c r="D587" s="18" t="inlineStr">
        <is>
          <t>Santa Fe</t>
        </is>
      </c>
      <c r="E587" s="18" t="inlineStr">
        <is>
          <t>2013-2019</t>
        </is>
      </c>
      <c r="F587" s="18" t="inlineStr">
        <is>
          <t>XL</t>
        </is>
      </c>
      <c r="G587" s="18" t="inlineStr">
        <is>
          <t>SUV</t>
        </is>
      </c>
      <c r="H587" s="18" t="inlineStr">
        <is>
          <t>YXL</t>
        </is>
      </c>
      <c r="I587" s="19">
        <f t="array" ref="I587">TRIM(_xlfn.XLOOKUP(非皮卡压缩表[[#This Row],[BACKSIZE]],ALL尺码表[内部尺码],ALL尺码表[分类],""))</f>
        <v/>
      </c>
      <c r="J587" s="19">
        <f t="array" ref="J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7" s="20">
        <f>LEN(非皮卡压缩表[[#This Row],[LONG-TYPE]])</f>
        <v/>
      </c>
      <c r="L587" s="21">
        <f t="array" ref="L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7" s="22">
        <f>LEN(非皮卡压缩表[[#This Row],[TYPE]])</f>
        <v/>
      </c>
      <c r="N587" s="22">
        <f t="array" ref="N587">_xlfn.XLOOKUP(非皮卡压缩表[[#This Row],[MODEL]],MODEL缩写表[长MODEL],MODEL缩写表[短MODEL],非皮卡压缩表[[#This Row],[MODEL]])</f>
        <v/>
      </c>
      <c r="O587" s="22">
        <f>LEN(非皮卡压缩表[[#This Row],[SHORT-MODEL]])</f>
        <v/>
      </c>
      <c r="P587" s="11">
        <f t="array" ref="P587">TRIM(_xlfn.XLOOKUP(非皮卡压缩表[[#This Row],[BACKSIZE]],ALL尺码表[内部尺码],ALL尺码表[通用尺码]))</f>
        <v/>
      </c>
    </row>
    <row r="588">
      <c r="A588" s="17" t="inlineStr">
        <is>
          <t>ALL</t>
        </is>
      </c>
      <c r="B588" s="18" t="inlineStr">
        <is>
          <t>Hyundai Santa Fe</t>
        </is>
      </c>
      <c r="C588" s="18" t="inlineStr">
        <is>
          <t>Hyundai</t>
        </is>
      </c>
      <c r="D588" s="18" t="inlineStr">
        <is>
          <t>Santa Fe</t>
        </is>
      </c>
      <c r="E588" s="18" t="inlineStr">
        <is>
          <t>2024-2026</t>
        </is>
      </c>
      <c r="F588" s="18" t="inlineStr"/>
      <c r="G588" s="18" t="inlineStr">
        <is>
          <t>SUV</t>
        </is>
      </c>
      <c r="H588" s="18" t="inlineStr">
        <is>
          <t>YXL</t>
        </is>
      </c>
      <c r="I588" s="19">
        <f t="array" ref="I588">TRIM(_xlfn.XLOOKUP(非皮卡压缩表[[#This Row],[BACKSIZE]],ALL尺码表[内部尺码],ALL尺码表[分类],""))</f>
        <v/>
      </c>
      <c r="J588" s="19">
        <f t="array" ref="J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8" s="20">
        <f>LEN(非皮卡压缩表[[#This Row],[LONG-TYPE]])</f>
        <v/>
      </c>
      <c r="L588" s="21">
        <f t="array" ref="L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8" s="22">
        <f>LEN(非皮卡压缩表[[#This Row],[TYPE]])</f>
        <v/>
      </c>
      <c r="N588" s="22">
        <f t="array" ref="N588">_xlfn.XLOOKUP(非皮卡压缩表[[#This Row],[MODEL]],MODEL缩写表[长MODEL],MODEL缩写表[短MODEL],非皮卡压缩表[[#This Row],[MODEL]])</f>
        <v/>
      </c>
      <c r="O588" s="22">
        <f>LEN(非皮卡压缩表[[#This Row],[SHORT-MODEL]])</f>
        <v/>
      </c>
      <c r="P588" s="11">
        <f t="array" ref="P588">TRIM(_xlfn.XLOOKUP(非皮卡压缩表[[#This Row],[BACKSIZE]],ALL尺码表[内部尺码],ALL尺码表[通用尺码]))</f>
        <v/>
      </c>
    </row>
    <row r="589">
      <c r="A589" s="17" t="inlineStr">
        <is>
          <t>ALL</t>
        </is>
      </c>
      <c r="B589" s="18" t="inlineStr">
        <is>
          <t>Hyundai Sonata</t>
        </is>
      </c>
      <c r="C589" s="18" t="inlineStr">
        <is>
          <t>Hyundai</t>
        </is>
      </c>
      <c r="D589" s="18" t="inlineStr">
        <is>
          <t>Sonata</t>
        </is>
      </c>
      <c r="E589" s="18" t="inlineStr">
        <is>
          <t>1989-1998</t>
        </is>
      </c>
      <c r="F589" s="18" t="inlineStr"/>
      <c r="G589" s="18" t="inlineStr">
        <is>
          <t>Sedan</t>
        </is>
      </c>
      <c r="H589" s="18" t="inlineStr">
        <is>
          <t>3L</t>
        </is>
      </c>
      <c r="I589" s="19">
        <f t="array" ref="I589">TRIM(_xlfn.XLOOKUP(非皮卡压缩表[[#This Row],[BACKSIZE]],ALL尺码表[内部尺码],ALL尺码表[分类],""))</f>
        <v/>
      </c>
      <c r="J589" s="19">
        <f t="array" ref="J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9" s="20">
        <f>LEN(非皮卡压缩表[[#This Row],[LONG-TYPE]])</f>
        <v/>
      </c>
      <c r="L589" s="21">
        <f t="array" ref="L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9" s="22">
        <f>LEN(非皮卡压缩表[[#This Row],[TYPE]])</f>
        <v/>
      </c>
      <c r="N589" s="22">
        <f t="array" ref="N589">_xlfn.XLOOKUP(非皮卡压缩表[[#This Row],[MODEL]],MODEL缩写表[长MODEL],MODEL缩写表[短MODEL],非皮卡压缩表[[#This Row],[MODEL]])</f>
        <v/>
      </c>
      <c r="O589" s="22">
        <f>LEN(非皮卡压缩表[[#This Row],[SHORT-MODEL]])</f>
        <v/>
      </c>
      <c r="P589" s="11">
        <f t="array" ref="P589">TRIM(_xlfn.XLOOKUP(非皮卡压缩表[[#This Row],[BACKSIZE]],ALL尺码表[内部尺码],ALL尺码表[通用尺码]))</f>
        <v/>
      </c>
    </row>
    <row r="590">
      <c r="A590" s="17" t="inlineStr">
        <is>
          <t>ALL</t>
        </is>
      </c>
      <c r="B590" s="18" t="inlineStr">
        <is>
          <t>Hyundai Sonata</t>
        </is>
      </c>
      <c r="C590" s="18" t="inlineStr">
        <is>
          <t>Hyundai</t>
        </is>
      </c>
      <c r="D590" s="18" t="inlineStr">
        <is>
          <t>Sonata</t>
        </is>
      </c>
      <c r="E590" s="18" t="inlineStr">
        <is>
          <t>1999-2019</t>
        </is>
      </c>
      <c r="F590" s="18" t="inlineStr"/>
      <c r="G590" s="18" t="inlineStr">
        <is>
          <t>Sedan</t>
        </is>
      </c>
      <c r="H590" s="18" t="inlineStr">
        <is>
          <t>3XL</t>
        </is>
      </c>
      <c r="I590" s="19">
        <f t="array" ref="I590">TRIM(_xlfn.XLOOKUP(非皮卡压缩表[[#This Row],[BACKSIZE]],ALL尺码表[内部尺码],ALL尺码表[分类],""))</f>
        <v/>
      </c>
      <c r="J590" s="19">
        <f t="array" ref="J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0" s="20">
        <f>LEN(非皮卡压缩表[[#This Row],[LONG-TYPE]])</f>
        <v/>
      </c>
      <c r="L590" s="21">
        <f t="array" ref="L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0" s="22">
        <f>LEN(非皮卡压缩表[[#This Row],[TYPE]])</f>
        <v/>
      </c>
      <c r="N590" s="22">
        <f t="array" ref="N590">_xlfn.XLOOKUP(非皮卡压缩表[[#This Row],[MODEL]],MODEL缩写表[长MODEL],MODEL缩写表[短MODEL],非皮卡压缩表[[#This Row],[MODEL]])</f>
        <v/>
      </c>
      <c r="O590" s="22">
        <f>LEN(非皮卡压缩表[[#This Row],[SHORT-MODEL]])</f>
        <v/>
      </c>
      <c r="P590" s="11">
        <f t="array" ref="P590">TRIM(_xlfn.XLOOKUP(非皮卡压缩表[[#This Row],[BACKSIZE]],ALL尺码表[内部尺码],ALL尺码表[通用尺码]))</f>
        <v/>
      </c>
    </row>
    <row r="591">
      <c r="A591" s="17" t="inlineStr">
        <is>
          <t>ALL</t>
        </is>
      </c>
      <c r="B591" s="18" t="inlineStr">
        <is>
          <t>Hyundai Sonata</t>
        </is>
      </c>
      <c r="C591" s="18" t="inlineStr">
        <is>
          <t>Hyundai</t>
        </is>
      </c>
      <c r="D591" s="18" t="inlineStr">
        <is>
          <t>Sonata</t>
        </is>
      </c>
      <c r="E591" s="18" t="inlineStr">
        <is>
          <t>2020-2026</t>
        </is>
      </c>
      <c r="F591" s="18" t="inlineStr"/>
      <c r="G591" s="18" t="inlineStr">
        <is>
          <t>Sedan</t>
        </is>
      </c>
      <c r="H591" s="18" t="inlineStr">
        <is>
          <t>3XXL</t>
        </is>
      </c>
      <c r="I591" s="19">
        <f t="array" ref="I591">TRIM(_xlfn.XLOOKUP(非皮卡压缩表[[#This Row],[BACKSIZE]],ALL尺码表[内部尺码],ALL尺码表[分类],""))</f>
        <v/>
      </c>
      <c r="J591" s="19">
        <f t="array" ref="J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1" s="20">
        <f>LEN(非皮卡压缩表[[#This Row],[LONG-TYPE]])</f>
        <v/>
      </c>
      <c r="L591" s="21">
        <f t="array" ref="L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1" s="22">
        <f>LEN(非皮卡压缩表[[#This Row],[TYPE]])</f>
        <v/>
      </c>
      <c r="N591" s="22">
        <f t="array" ref="N591">_xlfn.XLOOKUP(非皮卡压缩表[[#This Row],[MODEL]],MODEL缩写表[长MODEL],MODEL缩写表[短MODEL],非皮卡压缩表[[#This Row],[MODEL]])</f>
        <v/>
      </c>
      <c r="O591" s="22">
        <f>LEN(非皮卡压缩表[[#This Row],[SHORT-MODEL]])</f>
        <v/>
      </c>
      <c r="P591" s="11">
        <f t="array" ref="P591">TRIM(_xlfn.XLOOKUP(非皮卡压缩表[[#This Row],[BACKSIZE]],ALL尺码表[内部尺码],ALL尺码表[通用尺码]))</f>
        <v/>
      </c>
    </row>
    <row r="592">
      <c r="A592" s="17" t="inlineStr">
        <is>
          <t>ALL</t>
        </is>
      </c>
      <c r="B592" s="18" t="inlineStr">
        <is>
          <t>Hyundai Tiburon</t>
        </is>
      </c>
      <c r="C592" s="18" t="inlineStr">
        <is>
          <t>Hyundai</t>
        </is>
      </c>
      <c r="D592" s="18" t="inlineStr">
        <is>
          <t>Tiburon</t>
        </is>
      </c>
      <c r="E592" s="18" t="inlineStr">
        <is>
          <t>1997-2008</t>
        </is>
      </c>
      <c r="F592" s="18" t="inlineStr"/>
      <c r="G592" s="18" t="inlineStr">
        <is>
          <t>Coupe</t>
        </is>
      </c>
      <c r="H592" s="18" t="inlineStr">
        <is>
          <t>3M-0</t>
        </is>
      </c>
      <c r="I592" s="19">
        <f t="array" ref="I592">TRIM(_xlfn.XLOOKUP(非皮卡压缩表[[#This Row],[BACKSIZE]],ALL尺码表[内部尺码],ALL尺码表[分类],""))</f>
        <v/>
      </c>
      <c r="J592" s="19">
        <f t="array" ref="J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2" s="20">
        <f>LEN(非皮卡压缩表[[#This Row],[LONG-TYPE]])</f>
        <v/>
      </c>
      <c r="L592" s="21">
        <f t="array" ref="L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2" s="22">
        <f>LEN(非皮卡压缩表[[#This Row],[TYPE]])</f>
        <v/>
      </c>
      <c r="N592" s="22">
        <f t="array" ref="N592">_xlfn.XLOOKUP(非皮卡压缩表[[#This Row],[MODEL]],MODEL缩写表[长MODEL],MODEL缩写表[短MODEL],非皮卡压缩表[[#This Row],[MODEL]])</f>
        <v/>
      </c>
      <c r="O592" s="22">
        <f>LEN(非皮卡压缩表[[#This Row],[SHORT-MODEL]])</f>
        <v/>
      </c>
      <c r="P592" s="11">
        <f t="array" ref="P592">TRIM(_xlfn.XLOOKUP(非皮卡压缩表[[#This Row],[BACKSIZE]],ALL尺码表[内部尺码],ALL尺码表[通用尺码]))</f>
        <v/>
      </c>
    </row>
    <row r="593">
      <c r="A593" s="17" t="inlineStr">
        <is>
          <t>ALL</t>
        </is>
      </c>
      <c r="B593" s="18" t="inlineStr">
        <is>
          <t>Hyundai Tucson</t>
        </is>
      </c>
      <c r="C593" s="18" t="inlineStr">
        <is>
          <t>Hyundai</t>
        </is>
      </c>
      <c r="D593" s="18" t="inlineStr">
        <is>
          <t>Tucson</t>
        </is>
      </c>
      <c r="E593" s="18" t="inlineStr">
        <is>
          <t>2005-2021</t>
        </is>
      </c>
      <c r="F593" s="18" t="inlineStr"/>
      <c r="G593" s="18" t="inlineStr">
        <is>
          <t>SUV</t>
        </is>
      </c>
      <c r="H593" s="18" t="inlineStr">
        <is>
          <t>YM+</t>
        </is>
      </c>
      <c r="I593" s="19">
        <f t="array" ref="I593">TRIM(_xlfn.XLOOKUP(非皮卡压缩表[[#This Row],[BACKSIZE]],ALL尺码表[内部尺码],ALL尺码表[分类],""))</f>
        <v/>
      </c>
      <c r="J593" s="19">
        <f t="array" ref="J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3" s="20">
        <f>LEN(非皮卡压缩表[[#This Row],[LONG-TYPE]])</f>
        <v/>
      </c>
      <c r="L593" s="21">
        <f t="array" ref="L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3" s="22">
        <f>LEN(非皮卡压缩表[[#This Row],[TYPE]])</f>
        <v/>
      </c>
      <c r="N593" s="22">
        <f t="array" ref="N593">_xlfn.XLOOKUP(非皮卡压缩表[[#This Row],[MODEL]],MODEL缩写表[长MODEL],MODEL缩写表[短MODEL],非皮卡压缩表[[#This Row],[MODEL]])</f>
        <v/>
      </c>
      <c r="O593" s="22">
        <f>LEN(非皮卡压缩表[[#This Row],[SHORT-MODEL]])</f>
        <v/>
      </c>
      <c r="P593" s="11">
        <f t="array" ref="P593">TRIM(_xlfn.XLOOKUP(非皮卡压缩表[[#This Row],[BACKSIZE]],ALL尺码表[内部尺码],ALL尺码表[通用尺码]))</f>
        <v/>
      </c>
    </row>
    <row r="594">
      <c r="A594" s="17" t="inlineStr">
        <is>
          <t>ALL</t>
        </is>
      </c>
      <c r="B594" s="18" t="inlineStr">
        <is>
          <t>Hyundai Tucson</t>
        </is>
      </c>
      <c r="C594" s="18" t="inlineStr">
        <is>
          <t>Hyundai</t>
        </is>
      </c>
      <c r="D594" s="18" t="inlineStr">
        <is>
          <t>Tucson</t>
        </is>
      </c>
      <c r="E594" s="18" t="inlineStr">
        <is>
          <t>2022-2026</t>
        </is>
      </c>
      <c r="F594" s="18" t="inlineStr"/>
      <c r="G594" s="18" t="inlineStr">
        <is>
          <t>SUV</t>
        </is>
      </c>
      <c r="H594" s="18" t="inlineStr">
        <is>
          <t>YL</t>
        </is>
      </c>
      <c r="I594" s="19">
        <f t="array" ref="I594">TRIM(_xlfn.XLOOKUP(非皮卡压缩表[[#This Row],[BACKSIZE]],ALL尺码表[内部尺码],ALL尺码表[分类],""))</f>
        <v/>
      </c>
      <c r="J594" s="19">
        <f t="array" ref="J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4" s="20">
        <f>LEN(非皮卡压缩表[[#This Row],[LONG-TYPE]])</f>
        <v/>
      </c>
      <c r="L594" s="21">
        <f t="array" ref="L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4" s="22">
        <f>LEN(非皮卡压缩表[[#This Row],[TYPE]])</f>
        <v/>
      </c>
      <c r="N594" s="22">
        <f t="array" ref="N594">_xlfn.XLOOKUP(非皮卡压缩表[[#This Row],[MODEL]],MODEL缩写表[长MODEL],MODEL缩写表[短MODEL],非皮卡压缩表[[#This Row],[MODEL]])</f>
        <v/>
      </c>
      <c r="O594" s="22">
        <f>LEN(非皮卡压缩表[[#This Row],[SHORT-MODEL]])</f>
        <v/>
      </c>
      <c r="P594" s="11">
        <f t="array" ref="P594">TRIM(_xlfn.XLOOKUP(非皮卡压缩表[[#This Row],[BACKSIZE]],ALL尺码表[内部尺码],ALL尺码表[通用尺码]))</f>
        <v/>
      </c>
    </row>
    <row r="595">
      <c r="A595" s="17" t="inlineStr">
        <is>
          <t>ALL</t>
        </is>
      </c>
      <c r="B595" s="18" t="inlineStr">
        <is>
          <t>Hyundai Veloster</t>
        </is>
      </c>
      <c r="C595" s="18" t="inlineStr">
        <is>
          <t>Hyundai</t>
        </is>
      </c>
      <c r="D595" s="18" t="inlineStr">
        <is>
          <t>Veloster</t>
        </is>
      </c>
      <c r="E595" s="18" t="inlineStr">
        <is>
          <t>2012-2022</t>
        </is>
      </c>
      <c r="F595" s="18" t="inlineStr">
        <is>
          <t>Incl: N/Turbo</t>
        </is>
      </c>
      <c r="G595" s="18" t="inlineStr">
        <is>
          <t>Hatchback</t>
        </is>
      </c>
      <c r="H595" s="18" t="inlineStr">
        <is>
          <t>2L+</t>
        </is>
      </c>
      <c r="I595" s="19">
        <f t="array" ref="I595">TRIM(_xlfn.XLOOKUP(非皮卡压缩表[[#This Row],[BACKSIZE]],ALL尺码表[内部尺码],ALL尺码表[分类],""))</f>
        <v/>
      </c>
      <c r="J595" s="19">
        <f t="array" ref="J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5" s="20">
        <f>LEN(非皮卡压缩表[[#This Row],[LONG-TYPE]])</f>
        <v/>
      </c>
      <c r="L595" s="21">
        <f t="array" ref="L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5" s="22">
        <f>LEN(非皮卡压缩表[[#This Row],[TYPE]])</f>
        <v/>
      </c>
      <c r="N595" s="22">
        <f t="array" ref="N595">_xlfn.XLOOKUP(非皮卡压缩表[[#This Row],[MODEL]],MODEL缩写表[长MODEL],MODEL缩写表[短MODEL],非皮卡压缩表[[#This Row],[MODEL]])</f>
        <v/>
      </c>
      <c r="O595" s="22">
        <f>LEN(非皮卡压缩表[[#This Row],[SHORT-MODEL]])</f>
        <v/>
      </c>
      <c r="P595" s="11">
        <f t="array" ref="P595">TRIM(_xlfn.XLOOKUP(非皮卡压缩表[[#This Row],[BACKSIZE]],ALL尺码表[内部尺码],ALL尺码表[通用尺码]))</f>
        <v/>
      </c>
    </row>
    <row r="596">
      <c r="A596" s="17" t="inlineStr">
        <is>
          <t>ALL</t>
        </is>
      </c>
      <c r="B596" s="18" t="inlineStr">
        <is>
          <t>Hyundai Venue</t>
        </is>
      </c>
      <c r="C596" s="18" t="inlineStr">
        <is>
          <t>Hyundai</t>
        </is>
      </c>
      <c r="D596" s="18" t="inlineStr">
        <is>
          <t>Venue</t>
        </is>
      </c>
      <c r="E596" s="18" t="inlineStr">
        <is>
          <t>2020-2026</t>
        </is>
      </c>
      <c r="F596" s="18" t="inlineStr"/>
      <c r="G596" s="18" t="inlineStr">
        <is>
          <t>SUV</t>
        </is>
      </c>
      <c r="H596" s="18" t="inlineStr">
        <is>
          <t>YM+</t>
        </is>
      </c>
      <c r="I596" s="19">
        <f t="array" ref="I596">TRIM(_xlfn.XLOOKUP(非皮卡压缩表[[#This Row],[BACKSIZE]],ALL尺码表[内部尺码],ALL尺码表[分类],""))</f>
        <v/>
      </c>
      <c r="J596" s="19">
        <f t="array" ref="J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6" s="20">
        <f>LEN(非皮卡压缩表[[#This Row],[LONG-TYPE]])</f>
        <v/>
      </c>
      <c r="L596" s="21">
        <f t="array" ref="L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6" s="22">
        <f>LEN(非皮卡压缩表[[#This Row],[TYPE]])</f>
        <v/>
      </c>
      <c r="N596" s="22">
        <f t="array" ref="N596">_xlfn.XLOOKUP(非皮卡压缩表[[#This Row],[MODEL]],MODEL缩写表[长MODEL],MODEL缩写表[短MODEL],非皮卡压缩表[[#This Row],[MODEL]])</f>
        <v/>
      </c>
      <c r="O596" s="22">
        <f>LEN(非皮卡压缩表[[#This Row],[SHORT-MODEL]])</f>
        <v/>
      </c>
      <c r="P596" s="11">
        <f t="array" ref="P596">TRIM(_xlfn.XLOOKUP(非皮卡压缩表[[#This Row],[BACKSIZE]],ALL尺码表[内部尺码],ALL尺码表[通用尺码]))</f>
        <v/>
      </c>
    </row>
    <row r="597">
      <c r="A597" s="17" t="inlineStr">
        <is>
          <t>ALL</t>
        </is>
      </c>
      <c r="B597" s="18" t="inlineStr">
        <is>
          <t>Hyundai Veracruz</t>
        </is>
      </c>
      <c r="C597" s="18" t="inlineStr">
        <is>
          <t>Hyundai</t>
        </is>
      </c>
      <c r="D597" s="18" t="inlineStr">
        <is>
          <t>Veracruz</t>
        </is>
      </c>
      <c r="E597" s="18" t="inlineStr">
        <is>
          <t>2007-2012</t>
        </is>
      </c>
      <c r="F597" s="18" t="inlineStr"/>
      <c r="G597" s="18" t="inlineStr">
        <is>
          <t>SUV</t>
        </is>
      </c>
      <c r="H597" s="18" t="inlineStr">
        <is>
          <t>YXL</t>
        </is>
      </c>
      <c r="I597" s="19">
        <f t="array" ref="I597">TRIM(_xlfn.XLOOKUP(非皮卡压缩表[[#This Row],[BACKSIZE]],ALL尺码表[内部尺码],ALL尺码表[分类],""))</f>
        <v/>
      </c>
      <c r="J597" s="19">
        <f t="array" ref="J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7" s="20">
        <f>LEN(非皮卡压缩表[[#This Row],[LONG-TYPE]])</f>
        <v/>
      </c>
      <c r="L597" s="21">
        <f t="array" ref="L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7" s="22">
        <f>LEN(非皮卡压缩表[[#This Row],[TYPE]])</f>
        <v/>
      </c>
      <c r="N597" s="22">
        <f t="array" ref="N597">_xlfn.XLOOKUP(非皮卡压缩表[[#This Row],[MODEL]],MODEL缩写表[长MODEL],MODEL缩写表[短MODEL],非皮卡压缩表[[#This Row],[MODEL]])</f>
        <v/>
      </c>
      <c r="O597" s="22">
        <f>LEN(非皮卡压缩表[[#This Row],[SHORT-MODEL]])</f>
        <v/>
      </c>
      <c r="P597" s="11">
        <f t="array" ref="P597">TRIM(_xlfn.XLOOKUP(非皮卡压缩表[[#This Row],[BACKSIZE]],ALL尺码表[内部尺码],ALL尺码表[通用尺码]))</f>
        <v/>
      </c>
    </row>
    <row r="598">
      <c r="A598" s="17" t="inlineStr">
        <is>
          <t>ALL</t>
        </is>
      </c>
      <c r="B598" s="18" t="inlineStr">
        <is>
          <t>Hyundai XG</t>
        </is>
      </c>
      <c r="C598" s="18" t="inlineStr">
        <is>
          <t>Hyundai</t>
        </is>
      </c>
      <c r="D598" s="18" t="inlineStr">
        <is>
          <t>XG</t>
        </is>
      </c>
      <c r="E598" s="18" t="inlineStr">
        <is>
          <t>2001-2005</t>
        </is>
      </c>
      <c r="F598" s="18" t="inlineStr"/>
      <c r="G598" s="18" t="inlineStr">
        <is>
          <t>Sedan</t>
        </is>
      </c>
      <c r="H598" s="18" t="inlineStr">
        <is>
          <t>3XL</t>
        </is>
      </c>
      <c r="I598" s="19">
        <f t="array" ref="I598">TRIM(_xlfn.XLOOKUP(非皮卡压缩表[[#This Row],[BACKSIZE]],ALL尺码表[内部尺码],ALL尺码表[分类],""))</f>
        <v/>
      </c>
      <c r="J598" s="19">
        <f t="array" ref="J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8" s="20">
        <f>LEN(非皮卡压缩表[[#This Row],[LONG-TYPE]])</f>
        <v/>
      </c>
      <c r="L598" s="21">
        <f t="array" ref="L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8" s="22">
        <f>LEN(非皮卡压缩表[[#This Row],[TYPE]])</f>
        <v/>
      </c>
      <c r="N598" s="22">
        <f t="array" ref="N598">_xlfn.XLOOKUP(非皮卡压缩表[[#This Row],[MODEL]],MODEL缩写表[长MODEL],MODEL缩写表[短MODEL],非皮卡压缩表[[#This Row],[MODEL]])</f>
        <v/>
      </c>
      <c r="O598" s="22">
        <f>LEN(非皮卡压缩表[[#This Row],[SHORT-MODEL]])</f>
        <v/>
      </c>
      <c r="P598" s="11">
        <f t="array" ref="P598">TRIM(_xlfn.XLOOKUP(非皮卡压缩表[[#This Row],[BACKSIZE]],ALL尺码表[内部尺码],ALL尺码表[通用尺码]))</f>
        <v/>
      </c>
    </row>
    <row r="599">
      <c r="A599" s="17" t="inlineStr">
        <is>
          <t>ALL</t>
        </is>
      </c>
      <c r="B599" s="18" t="inlineStr">
        <is>
          <t>Ineos Automotive Grenadier</t>
        </is>
      </c>
      <c r="C599" s="18" t="inlineStr">
        <is>
          <t>Ineos Automotive</t>
        </is>
      </c>
      <c r="D599" s="18" t="inlineStr">
        <is>
          <t>Grenadier</t>
        </is>
      </c>
      <c r="E599" s="18" t="inlineStr">
        <is>
          <t>2024-2026</t>
        </is>
      </c>
      <c r="F599" s="18" t="inlineStr"/>
      <c r="G599" s="18" t="inlineStr">
        <is>
          <t>SUV</t>
        </is>
      </c>
      <c r="H599" s="18" t="inlineStr">
        <is>
          <t>YXL</t>
        </is>
      </c>
      <c r="I599" s="19">
        <f t="array" ref="I599">TRIM(_xlfn.XLOOKUP(非皮卡压缩表[[#This Row],[BACKSIZE]],ALL尺码表[内部尺码],ALL尺码表[分类],""))</f>
        <v/>
      </c>
      <c r="J599" s="19">
        <f t="array" ref="J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9" s="20">
        <f>LEN(非皮卡压缩表[[#This Row],[LONG-TYPE]])</f>
        <v/>
      </c>
      <c r="L599" s="21">
        <f t="array" ref="L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9" s="22">
        <f>LEN(非皮卡压缩表[[#This Row],[TYPE]])</f>
        <v/>
      </c>
      <c r="N599" s="22">
        <f t="array" ref="N599">_xlfn.XLOOKUP(非皮卡压缩表[[#This Row],[MODEL]],MODEL缩写表[长MODEL],MODEL缩写表[短MODEL],非皮卡压缩表[[#This Row],[MODEL]])</f>
        <v/>
      </c>
      <c r="O599" s="22">
        <f>LEN(非皮卡压缩表[[#This Row],[SHORT-MODEL]])</f>
        <v/>
      </c>
      <c r="P599" s="11">
        <f t="array" ref="P599">TRIM(_xlfn.XLOOKUP(非皮卡压缩表[[#This Row],[BACKSIZE]],ALL尺码表[内部尺码],ALL尺码表[通用尺码]))</f>
        <v/>
      </c>
    </row>
    <row r="600">
      <c r="A600" s="17" t="inlineStr">
        <is>
          <t>ALL</t>
        </is>
      </c>
      <c r="B600" s="18" t="inlineStr">
        <is>
          <t>Infiniti EX</t>
        </is>
      </c>
      <c r="C600" s="18" t="inlineStr">
        <is>
          <t>Infiniti</t>
        </is>
      </c>
      <c r="D600" s="18" t="inlineStr">
        <is>
          <t>EX</t>
        </is>
      </c>
      <c r="E600" s="18" t="inlineStr">
        <is>
          <t>2008-2013</t>
        </is>
      </c>
      <c r="F600" s="18" t="inlineStr">
        <is>
          <t>EX35/EX37</t>
        </is>
      </c>
      <c r="G600" s="18" t="inlineStr">
        <is>
          <t>SUV</t>
        </is>
      </c>
      <c r="H600" s="18" t="inlineStr">
        <is>
          <t>YL</t>
        </is>
      </c>
      <c r="I600" s="19">
        <f t="array" ref="I600">TRIM(_xlfn.XLOOKUP(非皮卡压缩表[[#This Row],[BACKSIZE]],ALL尺码表[内部尺码],ALL尺码表[分类],""))</f>
        <v/>
      </c>
      <c r="J600" s="19">
        <f t="array" ref="J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0" s="20">
        <f>LEN(非皮卡压缩表[[#This Row],[LONG-TYPE]])</f>
        <v/>
      </c>
      <c r="L600" s="21">
        <f t="array" ref="L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0" s="22">
        <f>LEN(非皮卡压缩表[[#This Row],[TYPE]])</f>
        <v/>
      </c>
      <c r="N600" s="22">
        <f t="array" ref="N600">_xlfn.XLOOKUP(非皮卡压缩表[[#This Row],[MODEL]],MODEL缩写表[长MODEL],MODEL缩写表[短MODEL],非皮卡压缩表[[#This Row],[MODEL]])</f>
        <v/>
      </c>
      <c r="O600" s="22">
        <f>LEN(非皮卡压缩表[[#This Row],[SHORT-MODEL]])</f>
        <v/>
      </c>
      <c r="P600" s="11">
        <f t="array" ref="P600">TRIM(_xlfn.XLOOKUP(非皮卡压缩表[[#This Row],[BACKSIZE]],ALL尺码表[内部尺码],ALL尺码表[通用尺码]))</f>
        <v/>
      </c>
    </row>
    <row r="601">
      <c r="A601" s="17" t="inlineStr">
        <is>
          <t>ALL</t>
        </is>
      </c>
      <c r="B601" s="18" t="inlineStr">
        <is>
          <t>Infiniti FX</t>
        </is>
      </c>
      <c r="C601" s="18" t="inlineStr">
        <is>
          <t>Infiniti</t>
        </is>
      </c>
      <c r="D601" s="18" t="inlineStr">
        <is>
          <t>FX</t>
        </is>
      </c>
      <c r="E601" s="18" t="inlineStr">
        <is>
          <t>2003-2008</t>
        </is>
      </c>
      <c r="F601" s="18" t="inlineStr"/>
      <c r="G601" s="18" t="inlineStr">
        <is>
          <t>CUV</t>
        </is>
      </c>
      <c r="H601" s="18" t="inlineStr">
        <is>
          <t>YL</t>
        </is>
      </c>
      <c r="I601" s="19">
        <f t="array" ref="I601">TRIM(_xlfn.XLOOKUP(非皮卡压缩表[[#This Row],[BACKSIZE]],ALL尺码表[内部尺码],ALL尺码表[分类],""))</f>
        <v/>
      </c>
      <c r="J601" s="19">
        <f t="array" ref="J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1" s="20">
        <f>LEN(非皮卡压缩表[[#This Row],[LONG-TYPE]])</f>
        <v/>
      </c>
      <c r="L601" s="21">
        <f t="array" ref="L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1" s="22">
        <f>LEN(非皮卡压缩表[[#This Row],[TYPE]])</f>
        <v/>
      </c>
      <c r="N601" s="22">
        <f t="array" ref="N601">_xlfn.XLOOKUP(非皮卡压缩表[[#This Row],[MODEL]],MODEL缩写表[长MODEL],MODEL缩写表[短MODEL],非皮卡压缩表[[#This Row],[MODEL]])</f>
        <v/>
      </c>
      <c r="O601" s="22">
        <f>LEN(非皮卡压缩表[[#This Row],[SHORT-MODEL]])</f>
        <v/>
      </c>
      <c r="P601" s="11">
        <f t="array" ref="P601">TRIM(_xlfn.XLOOKUP(非皮卡压缩表[[#This Row],[BACKSIZE]],ALL尺码表[内部尺码],ALL尺码表[通用尺码]))</f>
        <v/>
      </c>
    </row>
    <row r="602">
      <c r="A602" s="17" t="inlineStr">
        <is>
          <t>ALL</t>
        </is>
      </c>
      <c r="B602" s="18" t="inlineStr">
        <is>
          <t>Infiniti FX</t>
        </is>
      </c>
      <c r="C602" s="18" t="inlineStr">
        <is>
          <t>Infiniti</t>
        </is>
      </c>
      <c r="D602" s="18" t="inlineStr">
        <is>
          <t>FX</t>
        </is>
      </c>
      <c r="E602" s="18" t="inlineStr">
        <is>
          <t>2009-2013</t>
        </is>
      </c>
      <c r="F602" s="18" t="inlineStr"/>
      <c r="G602" s="18" t="inlineStr">
        <is>
          <t>CUV</t>
        </is>
      </c>
      <c r="H602" s="18" t="inlineStr">
        <is>
          <t>YXL</t>
        </is>
      </c>
      <c r="I602" s="19">
        <f t="array" ref="I602">TRIM(_xlfn.XLOOKUP(非皮卡压缩表[[#This Row],[BACKSIZE]],ALL尺码表[内部尺码],ALL尺码表[分类],""))</f>
        <v/>
      </c>
      <c r="J602" s="19">
        <f t="array" ref="J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2" s="20">
        <f>LEN(非皮卡压缩表[[#This Row],[LONG-TYPE]])</f>
        <v/>
      </c>
      <c r="L602" s="21">
        <f t="array" ref="L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2" s="22">
        <f>LEN(非皮卡压缩表[[#This Row],[TYPE]])</f>
        <v/>
      </c>
      <c r="N602" s="22">
        <f t="array" ref="N602">_xlfn.XLOOKUP(非皮卡压缩表[[#This Row],[MODEL]],MODEL缩写表[长MODEL],MODEL缩写表[短MODEL],非皮卡压缩表[[#This Row],[MODEL]])</f>
        <v/>
      </c>
      <c r="O602" s="22">
        <f>LEN(非皮卡压缩表[[#This Row],[SHORT-MODEL]])</f>
        <v/>
      </c>
      <c r="P602" s="11">
        <f t="array" ref="P602">TRIM(_xlfn.XLOOKUP(非皮卡压缩表[[#This Row],[BACKSIZE]],ALL尺码表[内部尺码],ALL尺码表[通用尺码]))</f>
        <v/>
      </c>
    </row>
    <row r="603">
      <c r="A603" s="17" t="inlineStr">
        <is>
          <t>ALL</t>
        </is>
      </c>
      <c r="B603" s="18" t="inlineStr">
        <is>
          <t>Infiniti G</t>
        </is>
      </c>
      <c r="C603" s="18" t="inlineStr">
        <is>
          <t>Infiniti</t>
        </is>
      </c>
      <c r="D603" s="18" t="inlineStr">
        <is>
          <t>G</t>
        </is>
      </c>
      <c r="E603" s="18" t="inlineStr">
        <is>
          <t>1991-2002</t>
        </is>
      </c>
      <c r="F603" s="18" t="inlineStr"/>
      <c r="G603" s="18" t="inlineStr">
        <is>
          <t>Sedan</t>
        </is>
      </c>
      <c r="H603" s="18" t="inlineStr">
        <is>
          <t>3L</t>
        </is>
      </c>
      <c r="I603" s="19">
        <f t="array" ref="I603">TRIM(_xlfn.XLOOKUP(非皮卡压缩表[[#This Row],[BACKSIZE]],ALL尺码表[内部尺码],ALL尺码表[分类],""))</f>
        <v/>
      </c>
      <c r="J603" s="19">
        <f t="array" ref="J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3" s="20">
        <f>LEN(非皮卡压缩表[[#This Row],[LONG-TYPE]])</f>
        <v/>
      </c>
      <c r="L603" s="21">
        <f t="array" ref="L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3" s="22">
        <f>LEN(非皮卡压缩表[[#This Row],[TYPE]])</f>
        <v/>
      </c>
      <c r="N603" s="22">
        <f t="array" ref="N603">_xlfn.XLOOKUP(非皮卡压缩表[[#This Row],[MODEL]],MODEL缩写表[长MODEL],MODEL缩写表[短MODEL],非皮卡压缩表[[#This Row],[MODEL]])</f>
        <v/>
      </c>
      <c r="O603" s="22">
        <f>LEN(非皮卡压缩表[[#This Row],[SHORT-MODEL]])</f>
        <v/>
      </c>
      <c r="P603" s="11">
        <f t="array" ref="P603">TRIM(_xlfn.XLOOKUP(非皮卡压缩表[[#This Row],[BACKSIZE]],ALL尺码表[内部尺码],ALL尺码表[通用尺码]))</f>
        <v/>
      </c>
    </row>
    <row r="604">
      <c r="A604" s="17" t="inlineStr">
        <is>
          <t>ALL</t>
        </is>
      </c>
      <c r="B604" s="18" t="inlineStr">
        <is>
          <t>Infiniti G</t>
        </is>
      </c>
      <c r="C604" s="18" t="inlineStr">
        <is>
          <t>Infiniti</t>
        </is>
      </c>
      <c r="D604" s="18" t="inlineStr">
        <is>
          <t>G</t>
        </is>
      </c>
      <c r="E604" s="18" t="inlineStr">
        <is>
          <t>2003-2013</t>
        </is>
      </c>
      <c r="F604" s="18" t="inlineStr"/>
      <c r="G604" s="18" t="inlineStr">
        <is>
          <t>Convertible</t>
        </is>
      </c>
      <c r="H604" s="18" t="inlineStr">
        <is>
          <t>3L-0</t>
        </is>
      </c>
      <c r="I604" s="19">
        <f t="array" ref="I604">TRIM(_xlfn.XLOOKUP(非皮卡压缩表[[#This Row],[BACKSIZE]],ALL尺码表[内部尺码],ALL尺码表[分类],""))</f>
        <v/>
      </c>
      <c r="J604" s="19">
        <f t="array" ref="J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4" s="20">
        <f>LEN(非皮卡压缩表[[#This Row],[LONG-TYPE]])</f>
        <v/>
      </c>
      <c r="L604" s="21">
        <f t="array" ref="L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4" s="22">
        <f>LEN(非皮卡压缩表[[#This Row],[TYPE]])</f>
        <v/>
      </c>
      <c r="N604" s="22">
        <f t="array" ref="N604">_xlfn.XLOOKUP(非皮卡压缩表[[#This Row],[MODEL]],MODEL缩写表[长MODEL],MODEL缩写表[短MODEL],非皮卡压缩表[[#This Row],[MODEL]])</f>
        <v/>
      </c>
      <c r="O604" s="22">
        <f>LEN(非皮卡压缩表[[#This Row],[SHORT-MODEL]])</f>
        <v/>
      </c>
      <c r="P604" s="11">
        <f t="array" ref="P604">TRIM(_xlfn.XLOOKUP(非皮卡压缩表[[#This Row],[BACKSIZE]],ALL尺码表[内部尺码],ALL尺码表[通用尺码]))</f>
        <v/>
      </c>
    </row>
    <row r="605">
      <c r="A605" s="17" t="inlineStr">
        <is>
          <t>ALL</t>
        </is>
      </c>
      <c r="B605" s="18" t="inlineStr">
        <is>
          <t>Infiniti G</t>
        </is>
      </c>
      <c r="C605" s="18" t="inlineStr">
        <is>
          <t>Infiniti</t>
        </is>
      </c>
      <c r="D605" s="18" t="inlineStr">
        <is>
          <t>G</t>
        </is>
      </c>
      <c r="E605" s="18" t="inlineStr">
        <is>
          <t>2003-2013</t>
        </is>
      </c>
      <c r="F605" s="18" t="inlineStr"/>
      <c r="G605" s="18" t="inlineStr">
        <is>
          <t>Coupe</t>
        </is>
      </c>
      <c r="H605" s="18" t="inlineStr">
        <is>
          <t>3L-0</t>
        </is>
      </c>
      <c r="I605" s="19">
        <f t="array" ref="I605">TRIM(_xlfn.XLOOKUP(非皮卡压缩表[[#This Row],[BACKSIZE]],ALL尺码表[内部尺码],ALL尺码表[分类],""))</f>
        <v/>
      </c>
      <c r="J605" s="19">
        <f t="array" ref="J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5" s="20">
        <f>LEN(非皮卡压缩表[[#This Row],[LONG-TYPE]])</f>
        <v/>
      </c>
      <c r="L605" s="21">
        <f t="array" ref="L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5" s="22">
        <f>LEN(非皮卡压缩表[[#This Row],[TYPE]])</f>
        <v/>
      </c>
      <c r="N605" s="22">
        <f t="array" ref="N605">_xlfn.XLOOKUP(非皮卡压缩表[[#This Row],[MODEL]],MODEL缩写表[长MODEL],MODEL缩写表[短MODEL],非皮卡压缩表[[#This Row],[MODEL]])</f>
        <v/>
      </c>
      <c r="O605" s="22">
        <f>LEN(非皮卡压缩表[[#This Row],[SHORT-MODEL]])</f>
        <v/>
      </c>
      <c r="P605" s="11">
        <f t="array" ref="P605">TRIM(_xlfn.XLOOKUP(非皮卡压缩表[[#This Row],[BACKSIZE]],ALL尺码表[内部尺码],ALL尺码表[通用尺码]))</f>
        <v/>
      </c>
    </row>
    <row r="606">
      <c r="A606" s="17" t="inlineStr">
        <is>
          <t>ALL</t>
        </is>
      </c>
      <c r="B606" s="18" t="inlineStr">
        <is>
          <t>Infiniti G</t>
        </is>
      </c>
      <c r="C606" s="18" t="inlineStr">
        <is>
          <t>Infiniti</t>
        </is>
      </c>
      <c r="D606" s="18" t="inlineStr">
        <is>
          <t>G</t>
        </is>
      </c>
      <c r="E606" s="18" t="inlineStr">
        <is>
          <t>2003-2013</t>
        </is>
      </c>
      <c r="F606" s="18" t="inlineStr"/>
      <c r="G606" s="18" t="inlineStr">
        <is>
          <t>Sedan</t>
        </is>
      </c>
      <c r="H606" s="18" t="inlineStr">
        <is>
          <t>3XL</t>
        </is>
      </c>
      <c r="I606" s="19">
        <f t="array" ref="I606">TRIM(_xlfn.XLOOKUP(非皮卡压缩表[[#This Row],[BACKSIZE]],ALL尺码表[内部尺码],ALL尺码表[分类],""))</f>
        <v/>
      </c>
      <c r="J606" s="19">
        <f t="array" ref="J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6" s="20">
        <f>LEN(非皮卡压缩表[[#This Row],[LONG-TYPE]])</f>
        <v/>
      </c>
      <c r="L606" s="21">
        <f t="array" ref="L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6" s="22">
        <f>LEN(非皮卡压缩表[[#This Row],[TYPE]])</f>
        <v/>
      </c>
      <c r="N606" s="22">
        <f t="array" ref="N606">_xlfn.XLOOKUP(非皮卡压缩表[[#This Row],[MODEL]],MODEL缩写表[长MODEL],MODEL缩写表[短MODEL],非皮卡压缩表[[#This Row],[MODEL]])</f>
        <v/>
      </c>
      <c r="O606" s="22">
        <f>LEN(非皮卡压缩表[[#This Row],[SHORT-MODEL]])</f>
        <v/>
      </c>
      <c r="P606" s="11">
        <f t="array" ref="P606">TRIM(_xlfn.XLOOKUP(非皮卡压缩表[[#This Row],[BACKSIZE]],ALL尺码表[内部尺码],ALL尺码表[通用尺码]))</f>
        <v/>
      </c>
    </row>
    <row r="607">
      <c r="A607" s="17" t="inlineStr">
        <is>
          <t>ALL</t>
        </is>
      </c>
      <c r="B607" s="18" t="inlineStr">
        <is>
          <t>Infiniti G</t>
        </is>
      </c>
      <c r="C607" s="18" t="inlineStr">
        <is>
          <t>Infiniti</t>
        </is>
      </c>
      <c r="D607" s="18" t="inlineStr">
        <is>
          <t>G</t>
        </is>
      </c>
      <c r="E607" s="18" t="inlineStr">
        <is>
          <t>2003-2013</t>
        </is>
      </c>
      <c r="F607" s="18" t="inlineStr"/>
      <c r="G607" s="18" t="inlineStr">
        <is>
          <t>Convertible</t>
        </is>
      </c>
      <c r="H607" s="18" t="inlineStr">
        <is>
          <t>3XL-0</t>
        </is>
      </c>
      <c r="I607" s="19">
        <f t="array" ref="I607">TRIM(_xlfn.XLOOKUP(非皮卡压缩表[[#This Row],[BACKSIZE]],ALL尺码表[内部尺码],ALL尺码表[分类],""))</f>
        <v/>
      </c>
      <c r="J607" s="19">
        <f t="array" ref="J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7" s="20">
        <f>LEN(非皮卡压缩表[[#This Row],[LONG-TYPE]])</f>
        <v/>
      </c>
      <c r="L607" s="21">
        <f t="array" ref="L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7" s="22">
        <f>LEN(非皮卡压缩表[[#This Row],[TYPE]])</f>
        <v/>
      </c>
      <c r="N607" s="22">
        <f t="array" ref="N607">_xlfn.XLOOKUP(非皮卡压缩表[[#This Row],[MODEL]],MODEL缩写表[长MODEL],MODEL缩写表[短MODEL],非皮卡压缩表[[#This Row],[MODEL]])</f>
        <v/>
      </c>
      <c r="O607" s="22">
        <f>LEN(非皮卡压缩表[[#This Row],[SHORT-MODEL]])</f>
        <v/>
      </c>
      <c r="P607" s="11">
        <f t="array" ref="P607">TRIM(_xlfn.XLOOKUP(非皮卡压缩表[[#This Row],[BACKSIZE]],ALL尺码表[内部尺码],ALL尺码表[通用尺码]))</f>
        <v/>
      </c>
    </row>
    <row r="608">
      <c r="A608" s="17" t="inlineStr">
        <is>
          <t>ALL</t>
        </is>
      </c>
      <c r="B608" s="18" t="inlineStr">
        <is>
          <t>Infiniti G</t>
        </is>
      </c>
      <c r="C608" s="18" t="inlineStr">
        <is>
          <t>Infiniti</t>
        </is>
      </c>
      <c r="D608" s="18" t="inlineStr">
        <is>
          <t>G</t>
        </is>
      </c>
      <c r="E608" s="18" t="inlineStr">
        <is>
          <t>2003-2013</t>
        </is>
      </c>
      <c r="F608" s="18" t="inlineStr"/>
      <c r="G608" s="18" t="inlineStr">
        <is>
          <t>Coupe</t>
        </is>
      </c>
      <c r="H608" s="18" t="inlineStr">
        <is>
          <t>3XL-0</t>
        </is>
      </c>
      <c r="I608" s="19">
        <f t="array" ref="I608">TRIM(_xlfn.XLOOKUP(非皮卡压缩表[[#This Row],[BACKSIZE]],ALL尺码表[内部尺码],ALL尺码表[分类],""))</f>
        <v/>
      </c>
      <c r="J608" s="19">
        <f t="array" ref="J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8" s="20">
        <f>LEN(非皮卡压缩表[[#This Row],[LONG-TYPE]])</f>
        <v/>
      </c>
      <c r="L608" s="21">
        <f t="array" ref="L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8" s="22">
        <f>LEN(非皮卡压缩表[[#This Row],[TYPE]])</f>
        <v/>
      </c>
      <c r="N608" s="22">
        <f t="array" ref="N608">_xlfn.XLOOKUP(非皮卡压缩表[[#This Row],[MODEL]],MODEL缩写表[长MODEL],MODEL缩写表[短MODEL],非皮卡压缩表[[#This Row],[MODEL]])</f>
        <v/>
      </c>
      <c r="O608" s="22">
        <f>LEN(非皮卡压缩表[[#This Row],[SHORT-MODEL]])</f>
        <v/>
      </c>
      <c r="P608" s="11">
        <f t="array" ref="P608">TRIM(_xlfn.XLOOKUP(非皮卡压缩表[[#This Row],[BACKSIZE]],ALL尺码表[内部尺码],ALL尺码表[通用尺码]))</f>
        <v/>
      </c>
    </row>
    <row r="609">
      <c r="A609" s="17" t="inlineStr">
        <is>
          <t>ALL</t>
        </is>
      </c>
      <c r="B609" s="18" t="inlineStr">
        <is>
          <t>Infiniti I</t>
        </is>
      </c>
      <c r="C609" s="18" t="inlineStr">
        <is>
          <t>Infiniti</t>
        </is>
      </c>
      <c r="D609" s="18" t="inlineStr">
        <is>
          <t>I</t>
        </is>
      </c>
      <c r="E609" s="18" t="inlineStr">
        <is>
          <t>1996-1999</t>
        </is>
      </c>
      <c r="F609" s="18" t="inlineStr"/>
      <c r="G609" s="18" t="inlineStr">
        <is>
          <t>Sedan</t>
        </is>
      </c>
      <c r="H609" s="18" t="inlineStr">
        <is>
          <t>3XL</t>
        </is>
      </c>
      <c r="I609" s="19">
        <f t="array" ref="I609">TRIM(_xlfn.XLOOKUP(非皮卡压缩表[[#This Row],[BACKSIZE]],ALL尺码表[内部尺码],ALL尺码表[分类],""))</f>
        <v/>
      </c>
      <c r="J609" s="19">
        <f t="array" ref="J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9" s="20">
        <f>LEN(非皮卡压缩表[[#This Row],[LONG-TYPE]])</f>
        <v/>
      </c>
      <c r="L609" s="21">
        <f t="array" ref="L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9" s="22">
        <f>LEN(非皮卡压缩表[[#This Row],[TYPE]])</f>
        <v/>
      </c>
      <c r="N609" s="22">
        <f t="array" ref="N609">_xlfn.XLOOKUP(非皮卡压缩表[[#This Row],[MODEL]],MODEL缩写表[长MODEL],MODEL缩写表[短MODEL],非皮卡压缩表[[#This Row],[MODEL]])</f>
        <v/>
      </c>
      <c r="O609" s="22">
        <f>LEN(非皮卡压缩表[[#This Row],[SHORT-MODEL]])</f>
        <v/>
      </c>
      <c r="P609" s="11">
        <f t="array" ref="P609">TRIM(_xlfn.XLOOKUP(非皮卡压缩表[[#This Row],[BACKSIZE]],ALL尺码表[内部尺码],ALL尺码表[通用尺码]))</f>
        <v/>
      </c>
    </row>
    <row r="610">
      <c r="A610" s="17" t="inlineStr">
        <is>
          <t>ALL</t>
        </is>
      </c>
      <c r="B610" s="18" t="inlineStr">
        <is>
          <t>Infiniti I</t>
        </is>
      </c>
      <c r="C610" s="18" t="inlineStr">
        <is>
          <t>Infiniti</t>
        </is>
      </c>
      <c r="D610" s="18" t="inlineStr">
        <is>
          <t>I</t>
        </is>
      </c>
      <c r="E610" s="18" t="inlineStr">
        <is>
          <t>2000-2004</t>
        </is>
      </c>
      <c r="F610" s="18" t="inlineStr"/>
      <c r="G610" s="18" t="inlineStr">
        <is>
          <t>Sedan</t>
        </is>
      </c>
      <c r="H610" s="18" t="inlineStr">
        <is>
          <t>3XXL</t>
        </is>
      </c>
      <c r="I610" s="19">
        <f t="array" ref="I610">TRIM(_xlfn.XLOOKUP(非皮卡压缩表[[#This Row],[BACKSIZE]],ALL尺码表[内部尺码],ALL尺码表[分类],""))</f>
        <v/>
      </c>
      <c r="J610" s="19">
        <f t="array" ref="J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0" s="20">
        <f>LEN(非皮卡压缩表[[#This Row],[LONG-TYPE]])</f>
        <v/>
      </c>
      <c r="L610" s="21">
        <f t="array" ref="L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0" s="22">
        <f>LEN(非皮卡压缩表[[#This Row],[TYPE]])</f>
        <v/>
      </c>
      <c r="N610" s="22">
        <f t="array" ref="N610">_xlfn.XLOOKUP(非皮卡压缩表[[#This Row],[MODEL]],MODEL缩写表[长MODEL],MODEL缩写表[短MODEL],非皮卡压缩表[[#This Row],[MODEL]])</f>
        <v/>
      </c>
      <c r="O610" s="22">
        <f>LEN(非皮卡压缩表[[#This Row],[SHORT-MODEL]])</f>
        <v/>
      </c>
      <c r="P610" s="11">
        <f t="array" ref="P610">TRIM(_xlfn.XLOOKUP(非皮卡压缩表[[#This Row],[BACKSIZE]],ALL尺码表[内部尺码],ALL尺码表[通用尺码]))</f>
        <v/>
      </c>
    </row>
    <row r="611">
      <c r="A611" s="17" t="inlineStr">
        <is>
          <t>ALL</t>
        </is>
      </c>
      <c r="B611" s="18" t="inlineStr">
        <is>
          <t>Infiniti JX</t>
        </is>
      </c>
      <c r="C611" s="18" t="inlineStr">
        <is>
          <t>Infiniti</t>
        </is>
      </c>
      <c r="D611" s="18" t="inlineStr">
        <is>
          <t>JX</t>
        </is>
      </c>
      <c r="E611" s="18" t="inlineStr">
        <is>
          <t>2013</t>
        </is>
      </c>
      <c r="F611" s="18" t="inlineStr"/>
      <c r="G611" s="18" t="inlineStr">
        <is>
          <t>CUV</t>
        </is>
      </c>
      <c r="H611" s="18" t="inlineStr">
        <is>
          <t>YXL</t>
        </is>
      </c>
      <c r="I611" s="19">
        <f t="array" ref="I611">TRIM(_xlfn.XLOOKUP(非皮卡压缩表[[#This Row],[BACKSIZE]],ALL尺码表[内部尺码],ALL尺码表[分类],""))</f>
        <v/>
      </c>
      <c r="J611" s="19">
        <f t="array" ref="J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1" s="20">
        <f>LEN(非皮卡压缩表[[#This Row],[LONG-TYPE]])</f>
        <v/>
      </c>
      <c r="L611" s="21">
        <f t="array" ref="L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1" s="22">
        <f>LEN(非皮卡压缩表[[#This Row],[TYPE]])</f>
        <v/>
      </c>
      <c r="N611" s="22">
        <f t="array" ref="N611">_xlfn.XLOOKUP(非皮卡压缩表[[#This Row],[MODEL]],MODEL缩写表[长MODEL],MODEL缩写表[短MODEL],非皮卡压缩表[[#This Row],[MODEL]])</f>
        <v/>
      </c>
      <c r="O611" s="22">
        <f>LEN(非皮卡压缩表[[#This Row],[SHORT-MODEL]])</f>
        <v/>
      </c>
      <c r="P611" s="11">
        <f t="array" ref="P611">TRIM(_xlfn.XLOOKUP(非皮卡压缩表[[#This Row],[BACKSIZE]],ALL尺码表[内部尺码],ALL尺码表[通用尺码]))</f>
        <v/>
      </c>
    </row>
    <row r="612">
      <c r="A612" s="17" t="inlineStr">
        <is>
          <t>ALL</t>
        </is>
      </c>
      <c r="B612" s="18" t="inlineStr">
        <is>
          <t>Infiniti M</t>
        </is>
      </c>
      <c r="C612" s="18" t="inlineStr">
        <is>
          <t>Infiniti</t>
        </is>
      </c>
      <c r="D612" s="18" t="inlineStr">
        <is>
          <t>M</t>
        </is>
      </c>
      <c r="E612" s="18" t="inlineStr">
        <is>
          <t>1990-1992</t>
        </is>
      </c>
      <c r="F612" s="18" t="inlineStr"/>
      <c r="G612" s="18" t="inlineStr">
        <is>
          <t>Convertible/Coupe</t>
        </is>
      </c>
      <c r="H612" s="18" t="inlineStr">
        <is>
          <t>3XL-0</t>
        </is>
      </c>
      <c r="I612" s="19">
        <f t="array" ref="I612">TRIM(_xlfn.XLOOKUP(非皮卡压缩表[[#This Row],[BACKSIZE]],ALL尺码表[内部尺码],ALL尺码表[分类],""))</f>
        <v/>
      </c>
      <c r="J612" s="19">
        <f t="array" ref="J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2" s="20">
        <f>LEN(非皮卡压缩表[[#This Row],[LONG-TYPE]])</f>
        <v/>
      </c>
      <c r="L612" s="21">
        <f t="array" ref="L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2" s="22">
        <f>LEN(非皮卡压缩表[[#This Row],[TYPE]])</f>
        <v/>
      </c>
      <c r="N612" s="22">
        <f t="array" ref="N612">_xlfn.XLOOKUP(非皮卡压缩表[[#This Row],[MODEL]],MODEL缩写表[长MODEL],MODEL缩写表[短MODEL],非皮卡压缩表[[#This Row],[MODEL]])</f>
        <v/>
      </c>
      <c r="O612" s="22">
        <f>LEN(非皮卡压缩表[[#This Row],[SHORT-MODEL]])</f>
        <v/>
      </c>
      <c r="P612" s="11">
        <f t="array" ref="P612">TRIM(_xlfn.XLOOKUP(非皮卡压缩表[[#This Row],[BACKSIZE]],ALL尺码表[内部尺码],ALL尺码表[通用尺码]))</f>
        <v/>
      </c>
    </row>
    <row r="613">
      <c r="A613" s="17" t="inlineStr">
        <is>
          <t>ALL</t>
        </is>
      </c>
      <c r="B613" s="18" t="inlineStr">
        <is>
          <t>Infiniti M</t>
        </is>
      </c>
      <c r="C613" s="18" t="inlineStr">
        <is>
          <t>Infiniti</t>
        </is>
      </c>
      <c r="D613" s="18" t="inlineStr">
        <is>
          <t>M</t>
        </is>
      </c>
      <c r="E613" s="18" t="inlineStr">
        <is>
          <t>2003-2013</t>
        </is>
      </c>
      <c r="F613" s="18" t="inlineStr"/>
      <c r="G613" s="18" t="inlineStr">
        <is>
          <t>Sedan</t>
        </is>
      </c>
      <c r="H613" s="18" t="inlineStr">
        <is>
          <t>3XXL</t>
        </is>
      </c>
      <c r="I613" s="19">
        <f t="array" ref="I613">TRIM(_xlfn.XLOOKUP(非皮卡压缩表[[#This Row],[BACKSIZE]],ALL尺码表[内部尺码],ALL尺码表[分类],""))</f>
        <v/>
      </c>
      <c r="J613" s="19">
        <f t="array" ref="J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3" s="20">
        <f>LEN(非皮卡压缩表[[#This Row],[LONG-TYPE]])</f>
        <v/>
      </c>
      <c r="L613" s="21">
        <f t="array" ref="L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3" s="22">
        <f>LEN(非皮卡压缩表[[#This Row],[TYPE]])</f>
        <v/>
      </c>
      <c r="N613" s="22">
        <f t="array" ref="N613">_xlfn.XLOOKUP(非皮卡压缩表[[#This Row],[MODEL]],MODEL缩写表[长MODEL],MODEL缩写表[短MODEL],非皮卡压缩表[[#This Row],[MODEL]])</f>
        <v/>
      </c>
      <c r="O613" s="22">
        <f>LEN(非皮卡压缩表[[#This Row],[SHORT-MODEL]])</f>
        <v/>
      </c>
      <c r="P613" s="11">
        <f t="array" ref="P613">TRIM(_xlfn.XLOOKUP(非皮卡压缩表[[#This Row],[BACKSIZE]],ALL尺码表[内部尺码],ALL尺码表[通用尺码]))</f>
        <v/>
      </c>
    </row>
    <row r="614">
      <c r="A614" s="17" t="inlineStr">
        <is>
          <t>ALL</t>
        </is>
      </c>
      <c r="B614" s="18" t="inlineStr">
        <is>
          <t>Infiniti Q40</t>
        </is>
      </c>
      <c r="C614" s="18" t="inlineStr">
        <is>
          <t>Infiniti</t>
        </is>
      </c>
      <c r="D614" s="18" t="inlineStr">
        <is>
          <t>Q40</t>
        </is>
      </c>
      <c r="E614" s="18" t="inlineStr">
        <is>
          <t>2015</t>
        </is>
      </c>
      <c r="F614" s="18" t="inlineStr"/>
      <c r="G614" s="18" t="inlineStr">
        <is>
          <t>Sedan</t>
        </is>
      </c>
      <c r="H614" s="18" t="inlineStr">
        <is>
          <t>3XL</t>
        </is>
      </c>
      <c r="I614" s="19">
        <f t="array" ref="I614">TRIM(_xlfn.XLOOKUP(非皮卡压缩表[[#This Row],[BACKSIZE]],ALL尺码表[内部尺码],ALL尺码表[分类],""))</f>
        <v/>
      </c>
      <c r="J614" s="19">
        <f t="array" ref="J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4" s="20">
        <f>LEN(非皮卡压缩表[[#This Row],[LONG-TYPE]])</f>
        <v/>
      </c>
      <c r="L614" s="21">
        <f t="array" ref="L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4" s="22">
        <f>LEN(非皮卡压缩表[[#This Row],[TYPE]])</f>
        <v/>
      </c>
      <c r="N614" s="22">
        <f t="array" ref="N614">_xlfn.XLOOKUP(非皮卡压缩表[[#This Row],[MODEL]],MODEL缩写表[长MODEL],MODEL缩写表[短MODEL],非皮卡压缩表[[#This Row],[MODEL]])</f>
        <v/>
      </c>
      <c r="O614" s="22">
        <f>LEN(非皮卡压缩表[[#This Row],[SHORT-MODEL]])</f>
        <v/>
      </c>
      <c r="P614" s="11">
        <f t="array" ref="P614">TRIM(_xlfn.XLOOKUP(非皮卡压缩表[[#This Row],[BACKSIZE]],ALL尺码表[内部尺码],ALL尺码表[通用尺码]))</f>
        <v/>
      </c>
    </row>
    <row r="615">
      <c r="A615" s="17" t="inlineStr">
        <is>
          <t>ALL</t>
        </is>
      </c>
      <c r="B615" s="18" t="inlineStr">
        <is>
          <t>Infiniti Q45</t>
        </is>
      </c>
      <c r="C615" s="18" t="inlineStr">
        <is>
          <t>Infiniti</t>
        </is>
      </c>
      <c r="D615" s="18" t="inlineStr">
        <is>
          <t>Q45</t>
        </is>
      </c>
      <c r="E615" s="18" t="inlineStr">
        <is>
          <t>1990-2006</t>
        </is>
      </c>
      <c r="F615" s="18" t="inlineStr"/>
      <c r="G615" s="18" t="inlineStr">
        <is>
          <t>Sedan</t>
        </is>
      </c>
      <c r="H615" s="18" t="inlineStr">
        <is>
          <t>3XXL</t>
        </is>
      </c>
      <c r="I615" s="19">
        <f t="array" ref="I615">TRIM(_xlfn.XLOOKUP(非皮卡压缩表[[#This Row],[BACKSIZE]],ALL尺码表[内部尺码],ALL尺码表[分类],""))</f>
        <v/>
      </c>
      <c r="J615" s="19">
        <f t="array" ref="J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5" s="20">
        <f>LEN(非皮卡压缩表[[#This Row],[LONG-TYPE]])</f>
        <v/>
      </c>
      <c r="L615" s="21">
        <f t="array" ref="L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5" s="22">
        <f>LEN(非皮卡压缩表[[#This Row],[TYPE]])</f>
        <v/>
      </c>
      <c r="N615" s="22">
        <f t="array" ref="N615">_xlfn.XLOOKUP(非皮卡压缩表[[#This Row],[MODEL]],MODEL缩写表[长MODEL],MODEL缩写表[短MODEL],非皮卡压缩表[[#This Row],[MODEL]])</f>
        <v/>
      </c>
      <c r="O615" s="22">
        <f>LEN(非皮卡压缩表[[#This Row],[SHORT-MODEL]])</f>
        <v/>
      </c>
      <c r="P615" s="11">
        <f t="array" ref="P615">TRIM(_xlfn.XLOOKUP(非皮卡压缩表[[#This Row],[BACKSIZE]],ALL尺码表[内部尺码],ALL尺码表[通用尺码]))</f>
        <v/>
      </c>
    </row>
    <row r="616">
      <c r="A616" s="17" t="inlineStr">
        <is>
          <t>ALL</t>
        </is>
      </c>
      <c r="B616" s="18" t="inlineStr">
        <is>
          <t>Infiniti Q50</t>
        </is>
      </c>
      <c r="C616" s="18" t="inlineStr">
        <is>
          <t>Infiniti</t>
        </is>
      </c>
      <c r="D616" s="18" t="inlineStr">
        <is>
          <t>Q50</t>
        </is>
      </c>
      <c r="E616" s="18" t="inlineStr">
        <is>
          <t>2014-2024</t>
        </is>
      </c>
      <c r="F616" s="18" t="inlineStr">
        <is>
          <t>Incl: Red Sport</t>
        </is>
      </c>
      <c r="G616" s="18" t="inlineStr">
        <is>
          <t>Sedan</t>
        </is>
      </c>
      <c r="H616" s="18" t="inlineStr">
        <is>
          <t>3XL</t>
        </is>
      </c>
      <c r="I616" s="19">
        <f t="array" ref="I616">TRIM(_xlfn.XLOOKUP(非皮卡压缩表[[#This Row],[BACKSIZE]],ALL尺码表[内部尺码],ALL尺码表[分类],""))</f>
        <v/>
      </c>
      <c r="J616" s="19">
        <f t="array" ref="J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6" s="20">
        <f>LEN(非皮卡压缩表[[#This Row],[LONG-TYPE]])</f>
        <v/>
      </c>
      <c r="L616" s="21">
        <f t="array" ref="L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6" s="22">
        <f>LEN(非皮卡压缩表[[#This Row],[TYPE]])</f>
        <v/>
      </c>
      <c r="N616" s="22">
        <f t="array" ref="N616">_xlfn.XLOOKUP(非皮卡压缩表[[#This Row],[MODEL]],MODEL缩写表[长MODEL],MODEL缩写表[短MODEL],非皮卡压缩表[[#This Row],[MODEL]])</f>
        <v/>
      </c>
      <c r="O616" s="22">
        <f>LEN(非皮卡压缩表[[#This Row],[SHORT-MODEL]])</f>
        <v/>
      </c>
      <c r="P616" s="11">
        <f t="array" ref="P616">TRIM(_xlfn.XLOOKUP(非皮卡压缩表[[#This Row],[BACKSIZE]],ALL尺码表[内部尺码],ALL尺码表[通用尺码]))</f>
        <v/>
      </c>
    </row>
    <row r="617">
      <c r="A617" s="17" t="inlineStr">
        <is>
          <t>ALL</t>
        </is>
      </c>
      <c r="B617" s="18" t="inlineStr">
        <is>
          <t>Infiniti Q60</t>
        </is>
      </c>
      <c r="C617" s="18" t="inlineStr">
        <is>
          <t>Infiniti</t>
        </is>
      </c>
      <c r="D617" s="18" t="inlineStr">
        <is>
          <t>Q60</t>
        </is>
      </c>
      <c r="E617" s="18" t="inlineStr">
        <is>
          <t>2014-2022</t>
        </is>
      </c>
      <c r="F617" s="18" t="inlineStr">
        <is>
          <t>Incl: Red Sport</t>
        </is>
      </c>
      <c r="G617" s="18" t="inlineStr">
        <is>
          <t>Convertible/Coupe</t>
        </is>
      </c>
      <c r="H617" s="18" t="inlineStr">
        <is>
          <t>3L-0</t>
        </is>
      </c>
      <c r="I617" s="19">
        <f t="array" ref="I617">TRIM(_xlfn.XLOOKUP(非皮卡压缩表[[#This Row],[BACKSIZE]],ALL尺码表[内部尺码],ALL尺码表[分类],""))</f>
        <v/>
      </c>
      <c r="J617" s="19">
        <f t="array" ref="J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7" s="20">
        <f>LEN(非皮卡压缩表[[#This Row],[LONG-TYPE]])</f>
        <v/>
      </c>
      <c r="L617" s="21">
        <f t="array" ref="L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7" s="22">
        <f>LEN(非皮卡压缩表[[#This Row],[TYPE]])</f>
        <v/>
      </c>
      <c r="N617" s="22">
        <f t="array" ref="N617">_xlfn.XLOOKUP(非皮卡压缩表[[#This Row],[MODEL]],MODEL缩写表[长MODEL],MODEL缩写表[短MODEL],非皮卡压缩表[[#This Row],[MODEL]])</f>
        <v/>
      </c>
      <c r="O617" s="22">
        <f>LEN(非皮卡压缩表[[#This Row],[SHORT-MODEL]])</f>
        <v/>
      </c>
      <c r="P617" s="11">
        <f t="array" ref="P617">TRIM(_xlfn.XLOOKUP(非皮卡压缩表[[#This Row],[BACKSIZE]],ALL尺码表[内部尺码],ALL尺码表[通用尺码]))</f>
        <v/>
      </c>
    </row>
    <row r="618">
      <c r="A618" s="17" t="inlineStr">
        <is>
          <t>ALL</t>
        </is>
      </c>
      <c r="B618" s="18" t="inlineStr">
        <is>
          <t>Infiniti Q70</t>
        </is>
      </c>
      <c r="C618" s="18" t="inlineStr">
        <is>
          <t>Infiniti</t>
        </is>
      </c>
      <c r="D618" s="18" t="inlineStr">
        <is>
          <t>Q70</t>
        </is>
      </c>
      <c r="E618" s="18" t="inlineStr">
        <is>
          <t>2014-2019</t>
        </is>
      </c>
      <c r="F618" s="18" t="inlineStr"/>
      <c r="G618" s="18" t="inlineStr">
        <is>
          <t>Sedan</t>
        </is>
      </c>
      <c r="H618" s="18" t="inlineStr">
        <is>
          <t>3XXL</t>
        </is>
      </c>
      <c r="I618" s="19">
        <f t="array" ref="I618">TRIM(_xlfn.XLOOKUP(非皮卡压缩表[[#This Row],[BACKSIZE]],ALL尺码表[内部尺码],ALL尺码表[分类],""))</f>
        <v/>
      </c>
      <c r="J618" s="19">
        <f t="array" ref="J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8" s="20">
        <f>LEN(非皮卡压缩表[[#This Row],[LONG-TYPE]])</f>
        <v/>
      </c>
      <c r="L618" s="21">
        <f t="array" ref="L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8" s="22">
        <f>LEN(非皮卡压缩表[[#This Row],[TYPE]])</f>
        <v/>
      </c>
      <c r="N618" s="22">
        <f t="array" ref="N618">_xlfn.XLOOKUP(非皮卡压缩表[[#This Row],[MODEL]],MODEL缩写表[长MODEL],MODEL缩写表[短MODEL],非皮卡压缩表[[#This Row],[MODEL]])</f>
        <v/>
      </c>
      <c r="O618" s="22">
        <f>LEN(非皮卡压缩表[[#This Row],[SHORT-MODEL]])</f>
        <v/>
      </c>
      <c r="P618" s="11">
        <f t="array" ref="P618">TRIM(_xlfn.XLOOKUP(非皮卡压缩表[[#This Row],[BACKSIZE]],ALL尺码表[内部尺码],ALL尺码表[通用尺码]))</f>
        <v/>
      </c>
    </row>
    <row r="619">
      <c r="A619" s="17" t="inlineStr">
        <is>
          <t>ALL</t>
        </is>
      </c>
      <c r="B619" s="18" t="inlineStr">
        <is>
          <t>Infiniti Q70L</t>
        </is>
      </c>
      <c r="C619" s="18" t="inlineStr">
        <is>
          <t>Infiniti</t>
        </is>
      </c>
      <c r="D619" s="18" t="inlineStr">
        <is>
          <t>Q70L</t>
        </is>
      </c>
      <c r="E619" s="18" t="inlineStr">
        <is>
          <t>2015-2019</t>
        </is>
      </c>
      <c r="F619" s="18" t="inlineStr"/>
      <c r="G619" s="18" t="inlineStr">
        <is>
          <t>Sedan</t>
        </is>
      </c>
      <c r="H619" s="18" t="inlineStr">
        <is>
          <t>3XXL</t>
        </is>
      </c>
      <c r="I619" s="19">
        <f t="array" ref="I619">TRIM(_xlfn.XLOOKUP(非皮卡压缩表[[#This Row],[BACKSIZE]],ALL尺码表[内部尺码],ALL尺码表[分类],""))</f>
        <v/>
      </c>
      <c r="J619" s="19">
        <f t="array" ref="J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9" s="20">
        <f>LEN(非皮卡压缩表[[#This Row],[LONG-TYPE]])</f>
        <v/>
      </c>
      <c r="L619" s="21">
        <f t="array" ref="L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9" s="22">
        <f>LEN(非皮卡压缩表[[#This Row],[TYPE]])</f>
        <v/>
      </c>
      <c r="N619" s="22">
        <f t="array" ref="N619">_xlfn.XLOOKUP(非皮卡压缩表[[#This Row],[MODEL]],MODEL缩写表[长MODEL],MODEL缩写表[短MODEL],非皮卡压缩表[[#This Row],[MODEL]])</f>
        <v/>
      </c>
      <c r="O619" s="22">
        <f>LEN(非皮卡压缩表[[#This Row],[SHORT-MODEL]])</f>
        <v/>
      </c>
      <c r="P619" s="11">
        <f t="array" ref="P619">TRIM(_xlfn.XLOOKUP(非皮卡压缩表[[#This Row],[BACKSIZE]],ALL尺码表[内部尺码],ALL尺码表[通用尺码]))</f>
        <v/>
      </c>
    </row>
    <row r="620">
      <c r="A620" s="17" t="inlineStr">
        <is>
          <t>ALL</t>
        </is>
      </c>
      <c r="B620" s="18" t="inlineStr">
        <is>
          <t>Infiniti QX30</t>
        </is>
      </c>
      <c r="C620" s="18" t="inlineStr">
        <is>
          <t>Infiniti</t>
        </is>
      </c>
      <c r="D620" s="18" t="inlineStr">
        <is>
          <t>QX30</t>
        </is>
      </c>
      <c r="E620" s="18" t="inlineStr">
        <is>
          <t>2017-2019</t>
        </is>
      </c>
      <c r="F620" s="18" t="inlineStr"/>
      <c r="G620" s="18" t="inlineStr">
        <is>
          <t>SUV</t>
        </is>
      </c>
      <c r="H620" s="18" t="inlineStr">
        <is>
          <t>YM+</t>
        </is>
      </c>
      <c r="I620" s="19">
        <f t="array" ref="I620">TRIM(_xlfn.XLOOKUP(非皮卡压缩表[[#This Row],[BACKSIZE]],ALL尺码表[内部尺码],ALL尺码表[分类],""))</f>
        <v/>
      </c>
      <c r="J620" s="19">
        <f t="array" ref="J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0" s="20">
        <f>LEN(非皮卡压缩表[[#This Row],[LONG-TYPE]])</f>
        <v/>
      </c>
      <c r="L620" s="21">
        <f t="array" ref="L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0" s="22">
        <f>LEN(非皮卡压缩表[[#This Row],[TYPE]])</f>
        <v/>
      </c>
      <c r="N620" s="22">
        <f t="array" ref="N620">_xlfn.XLOOKUP(非皮卡压缩表[[#This Row],[MODEL]],MODEL缩写表[长MODEL],MODEL缩写表[短MODEL],非皮卡压缩表[[#This Row],[MODEL]])</f>
        <v/>
      </c>
      <c r="O620" s="22">
        <f>LEN(非皮卡压缩表[[#This Row],[SHORT-MODEL]])</f>
        <v/>
      </c>
      <c r="P620" s="11">
        <f t="array" ref="P620">TRIM(_xlfn.XLOOKUP(非皮卡压缩表[[#This Row],[BACKSIZE]],ALL尺码表[内部尺码],ALL尺码表[通用尺码]))</f>
        <v/>
      </c>
    </row>
    <row r="621">
      <c r="A621" s="17" t="inlineStr">
        <is>
          <t>ALL</t>
        </is>
      </c>
      <c r="B621" s="18" t="inlineStr">
        <is>
          <t>Infiniti QX4</t>
        </is>
      </c>
      <c r="C621" s="18" t="inlineStr">
        <is>
          <t>Infiniti</t>
        </is>
      </c>
      <c r="D621" s="18" t="inlineStr">
        <is>
          <t>QX4</t>
        </is>
      </c>
      <c r="E621" s="18" t="inlineStr">
        <is>
          <t>1997-2003</t>
        </is>
      </c>
      <c r="F621" s="18" t="inlineStr"/>
      <c r="G621" s="18" t="inlineStr">
        <is>
          <t>SUV</t>
        </is>
      </c>
      <c r="H621" s="18" t="inlineStr">
        <is>
          <t>YL</t>
        </is>
      </c>
      <c r="I621" s="19">
        <f t="array" ref="I621">TRIM(_xlfn.XLOOKUP(非皮卡压缩表[[#This Row],[BACKSIZE]],ALL尺码表[内部尺码],ALL尺码表[分类],""))</f>
        <v/>
      </c>
      <c r="J621" s="19">
        <f t="array" ref="J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1" s="20">
        <f>LEN(非皮卡压缩表[[#This Row],[LONG-TYPE]])</f>
        <v/>
      </c>
      <c r="L621" s="21">
        <f t="array" ref="L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1" s="22">
        <f>LEN(非皮卡压缩表[[#This Row],[TYPE]])</f>
        <v/>
      </c>
      <c r="N621" s="22">
        <f t="array" ref="N621">_xlfn.XLOOKUP(非皮卡压缩表[[#This Row],[MODEL]],MODEL缩写表[长MODEL],MODEL缩写表[短MODEL],非皮卡压缩表[[#This Row],[MODEL]])</f>
        <v/>
      </c>
      <c r="O621" s="22">
        <f>LEN(非皮卡压缩表[[#This Row],[SHORT-MODEL]])</f>
        <v/>
      </c>
      <c r="P621" s="11">
        <f t="array" ref="P621">TRIM(_xlfn.XLOOKUP(非皮卡压缩表[[#This Row],[BACKSIZE]],ALL尺码表[内部尺码],ALL尺码表[通用尺码]))</f>
        <v/>
      </c>
    </row>
    <row r="622">
      <c r="A622" s="17" t="inlineStr">
        <is>
          <t>ALL</t>
        </is>
      </c>
      <c r="B622" s="18" t="inlineStr">
        <is>
          <t>Infiniti QX50</t>
        </is>
      </c>
      <c r="C622" s="18" t="inlineStr">
        <is>
          <t>Infiniti</t>
        </is>
      </c>
      <c r="D622" s="18" t="inlineStr">
        <is>
          <t>QX50</t>
        </is>
      </c>
      <c r="E622" s="18" t="inlineStr">
        <is>
          <t>2014-2025</t>
        </is>
      </c>
      <c r="F622" s="18" t="inlineStr"/>
      <c r="G622" s="18" t="inlineStr">
        <is>
          <t>SUV</t>
        </is>
      </c>
      <c r="H622" s="18" t="inlineStr">
        <is>
          <t>YL</t>
        </is>
      </c>
      <c r="I622" s="19">
        <f t="array" ref="I622">TRIM(_xlfn.XLOOKUP(非皮卡压缩表[[#This Row],[BACKSIZE]],ALL尺码表[内部尺码],ALL尺码表[分类],""))</f>
        <v/>
      </c>
      <c r="J622" s="19">
        <f t="array" ref="J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2" s="20">
        <f>LEN(非皮卡压缩表[[#This Row],[LONG-TYPE]])</f>
        <v/>
      </c>
      <c r="L622" s="21">
        <f t="array" ref="L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2" s="22">
        <f>LEN(非皮卡压缩表[[#This Row],[TYPE]])</f>
        <v/>
      </c>
      <c r="N622" s="22">
        <f t="array" ref="N622">_xlfn.XLOOKUP(非皮卡压缩表[[#This Row],[MODEL]],MODEL缩写表[长MODEL],MODEL缩写表[短MODEL],非皮卡压缩表[[#This Row],[MODEL]])</f>
        <v/>
      </c>
      <c r="O622" s="22">
        <f>LEN(非皮卡压缩表[[#This Row],[SHORT-MODEL]])</f>
        <v/>
      </c>
      <c r="P622" s="11">
        <f t="array" ref="P622">TRIM(_xlfn.XLOOKUP(非皮卡压缩表[[#This Row],[BACKSIZE]],ALL尺码表[内部尺码],ALL尺码表[通用尺码]))</f>
        <v/>
      </c>
    </row>
    <row r="623">
      <c r="A623" s="17" t="inlineStr">
        <is>
          <t>ALL</t>
        </is>
      </c>
      <c r="B623" s="18" t="inlineStr">
        <is>
          <t>Infiniti QX55</t>
        </is>
      </c>
      <c r="C623" s="18" t="inlineStr">
        <is>
          <t>Infiniti</t>
        </is>
      </c>
      <c r="D623" s="18" t="inlineStr">
        <is>
          <t>QX55</t>
        </is>
      </c>
      <c r="E623" s="18" t="inlineStr">
        <is>
          <t>2022-2025</t>
        </is>
      </c>
      <c r="F623" s="18" t="inlineStr"/>
      <c r="G623" s="18" t="inlineStr">
        <is>
          <t>Coupe SUV</t>
        </is>
      </c>
      <c r="H623" s="18" t="inlineStr">
        <is>
          <t>YL</t>
        </is>
      </c>
      <c r="I623" s="19">
        <f t="array" ref="I623">TRIM(_xlfn.XLOOKUP(非皮卡压缩表[[#This Row],[BACKSIZE]],ALL尺码表[内部尺码],ALL尺码表[分类],""))</f>
        <v/>
      </c>
      <c r="J623" s="19">
        <f t="array" ref="J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3" s="20">
        <f>LEN(非皮卡压缩表[[#This Row],[LONG-TYPE]])</f>
        <v/>
      </c>
      <c r="L623" s="21">
        <f t="array" ref="L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3" s="22">
        <f>LEN(非皮卡压缩表[[#This Row],[TYPE]])</f>
        <v/>
      </c>
      <c r="N623" s="22">
        <f t="array" ref="N623">_xlfn.XLOOKUP(非皮卡压缩表[[#This Row],[MODEL]],MODEL缩写表[长MODEL],MODEL缩写表[短MODEL],非皮卡压缩表[[#This Row],[MODEL]])</f>
        <v/>
      </c>
      <c r="O623" s="22">
        <f>LEN(非皮卡压缩表[[#This Row],[SHORT-MODEL]])</f>
        <v/>
      </c>
      <c r="P623" s="11">
        <f t="array" ref="P623">TRIM(_xlfn.XLOOKUP(非皮卡压缩表[[#This Row],[BACKSIZE]],ALL尺码表[内部尺码],ALL尺码表[通用尺码]))</f>
        <v/>
      </c>
    </row>
    <row r="624">
      <c r="A624" s="17" t="inlineStr">
        <is>
          <t>ALL</t>
        </is>
      </c>
      <c r="B624" s="18" t="inlineStr">
        <is>
          <t>Infiniti QX56</t>
        </is>
      </c>
      <c r="C624" s="18" t="inlineStr">
        <is>
          <t>Infiniti</t>
        </is>
      </c>
      <c r="D624" s="18" t="inlineStr">
        <is>
          <t>QX56</t>
        </is>
      </c>
      <c r="E624" s="18" t="inlineStr">
        <is>
          <t>2004-2010</t>
        </is>
      </c>
      <c r="F624" s="18" t="inlineStr"/>
      <c r="G624" s="18" t="inlineStr">
        <is>
          <t>SUV</t>
        </is>
      </c>
      <c r="H624" s="18" t="inlineStr">
        <is>
          <t>YXXL</t>
        </is>
      </c>
      <c r="I624" s="19">
        <f t="array" ref="I624">TRIM(_xlfn.XLOOKUP(非皮卡压缩表[[#This Row],[BACKSIZE]],ALL尺码表[内部尺码],ALL尺码表[分类],""))</f>
        <v/>
      </c>
      <c r="J624" s="19">
        <f t="array" ref="J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4" s="20">
        <f>LEN(非皮卡压缩表[[#This Row],[LONG-TYPE]])</f>
        <v/>
      </c>
      <c r="L624" s="21">
        <f t="array" ref="L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4" s="22">
        <f>LEN(非皮卡压缩表[[#This Row],[TYPE]])</f>
        <v/>
      </c>
      <c r="N624" s="22">
        <f t="array" ref="N624">_xlfn.XLOOKUP(非皮卡压缩表[[#This Row],[MODEL]],MODEL缩写表[长MODEL],MODEL缩写表[短MODEL],非皮卡压缩表[[#This Row],[MODEL]])</f>
        <v/>
      </c>
      <c r="O624" s="22">
        <f>LEN(非皮卡压缩表[[#This Row],[SHORT-MODEL]])</f>
        <v/>
      </c>
      <c r="P624" s="11">
        <f t="array" ref="P624">TRIM(_xlfn.XLOOKUP(非皮卡压缩表[[#This Row],[BACKSIZE]],ALL尺码表[内部尺码],ALL尺码表[通用尺码]))</f>
        <v/>
      </c>
    </row>
    <row r="625">
      <c r="A625" s="17" t="inlineStr">
        <is>
          <t>ALL</t>
        </is>
      </c>
      <c r="B625" s="18" t="inlineStr">
        <is>
          <t>Infiniti QX56</t>
        </is>
      </c>
      <c r="C625" s="18" t="inlineStr">
        <is>
          <t>Infiniti</t>
        </is>
      </c>
      <c r="D625" s="18" t="inlineStr">
        <is>
          <t>QX56</t>
        </is>
      </c>
      <c r="E625" s="18" t="inlineStr">
        <is>
          <t>2011-2013</t>
        </is>
      </c>
      <c r="F625" s="18" t="inlineStr"/>
      <c r="G625" s="18" t="inlineStr">
        <is>
          <t>SUV</t>
        </is>
      </c>
      <c r="H625" s="18" t="inlineStr">
        <is>
          <t>YXXL-545</t>
        </is>
      </c>
      <c r="I625" s="19">
        <f t="array" ref="I625">TRIM(_xlfn.XLOOKUP(非皮卡压缩表[[#This Row],[BACKSIZE]],ALL尺码表[内部尺码],ALL尺码表[分类],""))</f>
        <v/>
      </c>
      <c r="J625" s="19">
        <f t="array" ref="J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5" s="20">
        <f>LEN(非皮卡压缩表[[#This Row],[LONG-TYPE]])</f>
        <v/>
      </c>
      <c r="L625" s="21">
        <f t="array" ref="L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5" s="22">
        <f>LEN(非皮卡压缩表[[#This Row],[TYPE]])</f>
        <v/>
      </c>
      <c r="N625" s="22">
        <f t="array" ref="N625">_xlfn.XLOOKUP(非皮卡压缩表[[#This Row],[MODEL]],MODEL缩写表[长MODEL],MODEL缩写表[短MODEL],非皮卡压缩表[[#This Row],[MODEL]])</f>
        <v/>
      </c>
      <c r="O625" s="22">
        <f>LEN(非皮卡压缩表[[#This Row],[SHORT-MODEL]])</f>
        <v/>
      </c>
      <c r="P625" s="11">
        <f t="array" ref="P625">TRIM(_xlfn.XLOOKUP(非皮卡压缩表[[#This Row],[BACKSIZE]],ALL尺码表[内部尺码],ALL尺码表[通用尺码]))</f>
        <v/>
      </c>
    </row>
    <row r="626">
      <c r="A626" s="17" t="inlineStr">
        <is>
          <t>ALL</t>
        </is>
      </c>
      <c r="B626" s="18" t="inlineStr">
        <is>
          <t>Infiniti QX60</t>
        </is>
      </c>
      <c r="C626" s="18" t="inlineStr">
        <is>
          <t>Infiniti</t>
        </is>
      </c>
      <c r="D626" s="18" t="inlineStr">
        <is>
          <t>QX60</t>
        </is>
      </c>
      <c r="E626" s="18" t="inlineStr">
        <is>
          <t>2014-2026</t>
        </is>
      </c>
      <c r="F626" s="18" t="inlineStr"/>
      <c r="G626" s="18" t="inlineStr">
        <is>
          <t>SUV</t>
        </is>
      </c>
      <c r="H626" s="18" t="inlineStr">
        <is>
          <t>YXL</t>
        </is>
      </c>
      <c r="I626" s="19">
        <f t="array" ref="I626">TRIM(_xlfn.XLOOKUP(非皮卡压缩表[[#This Row],[BACKSIZE]],ALL尺码表[内部尺码],ALL尺码表[分类],""))</f>
        <v/>
      </c>
      <c r="J626" s="19">
        <f t="array" ref="J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6" s="20">
        <f>LEN(非皮卡压缩表[[#This Row],[LONG-TYPE]])</f>
        <v/>
      </c>
      <c r="L626" s="21">
        <f t="array" ref="L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6" s="22">
        <f>LEN(非皮卡压缩表[[#This Row],[TYPE]])</f>
        <v/>
      </c>
      <c r="N626" s="22">
        <f t="array" ref="N626">_xlfn.XLOOKUP(非皮卡压缩表[[#This Row],[MODEL]],MODEL缩写表[长MODEL],MODEL缩写表[短MODEL],非皮卡压缩表[[#This Row],[MODEL]])</f>
        <v/>
      </c>
      <c r="O626" s="22">
        <f>LEN(非皮卡压缩表[[#This Row],[SHORT-MODEL]])</f>
        <v/>
      </c>
      <c r="P626" s="11">
        <f t="array" ref="P626">TRIM(_xlfn.XLOOKUP(非皮卡压缩表[[#This Row],[BACKSIZE]],ALL尺码表[内部尺码],ALL尺码表[通用尺码]))</f>
        <v/>
      </c>
    </row>
    <row r="627">
      <c r="A627" s="17" t="inlineStr">
        <is>
          <t>ALL</t>
        </is>
      </c>
      <c r="B627" s="18" t="inlineStr">
        <is>
          <t>Infiniti QX70</t>
        </is>
      </c>
      <c r="C627" s="18" t="inlineStr">
        <is>
          <t>Infiniti</t>
        </is>
      </c>
      <c r="D627" s="18" t="inlineStr">
        <is>
          <t>QX70</t>
        </is>
      </c>
      <c r="E627" s="18" t="inlineStr">
        <is>
          <t>2014-2017</t>
        </is>
      </c>
      <c r="F627" s="18" t="inlineStr"/>
      <c r="G627" s="18" t="inlineStr">
        <is>
          <t>CUV</t>
        </is>
      </c>
      <c r="H627" s="18" t="inlineStr">
        <is>
          <t>YXL</t>
        </is>
      </c>
      <c r="I627" s="19">
        <f t="array" ref="I627">TRIM(_xlfn.XLOOKUP(非皮卡压缩表[[#This Row],[BACKSIZE]],ALL尺码表[内部尺码],ALL尺码表[分类],""))</f>
        <v/>
      </c>
      <c r="J627" s="19">
        <f t="array" ref="J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7" s="20">
        <f>LEN(非皮卡压缩表[[#This Row],[LONG-TYPE]])</f>
        <v/>
      </c>
      <c r="L627" s="21">
        <f t="array" ref="L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7" s="22">
        <f>LEN(非皮卡压缩表[[#This Row],[TYPE]])</f>
        <v/>
      </c>
      <c r="N627" s="22">
        <f t="array" ref="N627">_xlfn.XLOOKUP(非皮卡压缩表[[#This Row],[MODEL]],MODEL缩写表[长MODEL],MODEL缩写表[短MODEL],非皮卡压缩表[[#This Row],[MODEL]])</f>
        <v/>
      </c>
      <c r="O627" s="22">
        <f>LEN(非皮卡压缩表[[#This Row],[SHORT-MODEL]])</f>
        <v/>
      </c>
      <c r="P627" s="11">
        <f t="array" ref="P627">TRIM(_xlfn.XLOOKUP(非皮卡压缩表[[#This Row],[BACKSIZE]],ALL尺码表[内部尺码],ALL尺码表[通用尺码]))</f>
        <v/>
      </c>
    </row>
    <row r="628">
      <c r="A628" s="17" t="inlineStr">
        <is>
          <t>ALL</t>
        </is>
      </c>
      <c r="B628" s="18" t="inlineStr">
        <is>
          <t>Infiniti QX80</t>
        </is>
      </c>
      <c r="C628" s="18" t="inlineStr">
        <is>
          <t>Infiniti</t>
        </is>
      </c>
      <c r="D628" s="18" t="inlineStr">
        <is>
          <t>QX80</t>
        </is>
      </c>
      <c r="E628" s="18" t="inlineStr">
        <is>
          <t>2014-2026</t>
        </is>
      </c>
      <c r="F628" s="18" t="inlineStr"/>
      <c r="G628" s="18" t="inlineStr">
        <is>
          <t>SUV</t>
        </is>
      </c>
      <c r="H628" s="18" t="inlineStr">
        <is>
          <t>YXXL-545</t>
        </is>
      </c>
      <c r="I628" s="19">
        <f t="array" ref="I628">TRIM(_xlfn.XLOOKUP(非皮卡压缩表[[#This Row],[BACKSIZE]],ALL尺码表[内部尺码],ALL尺码表[分类],""))</f>
        <v/>
      </c>
      <c r="J628" s="19">
        <f t="array" ref="J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8" s="20">
        <f>LEN(非皮卡压缩表[[#This Row],[LONG-TYPE]])</f>
        <v/>
      </c>
      <c r="L628" s="21">
        <f t="array" ref="L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8" s="22">
        <f>LEN(非皮卡压缩表[[#This Row],[TYPE]])</f>
        <v/>
      </c>
      <c r="N628" s="22">
        <f t="array" ref="N628">_xlfn.XLOOKUP(非皮卡压缩表[[#This Row],[MODEL]],MODEL缩写表[长MODEL],MODEL缩写表[短MODEL],非皮卡压缩表[[#This Row],[MODEL]])</f>
        <v/>
      </c>
      <c r="O628" s="22">
        <f>LEN(非皮卡压缩表[[#This Row],[SHORT-MODEL]])</f>
        <v/>
      </c>
      <c r="P628" s="11">
        <f t="array" ref="P628">TRIM(_xlfn.XLOOKUP(非皮卡压缩表[[#This Row],[BACKSIZE]],ALL尺码表[内部尺码],ALL尺码表[通用尺码]))</f>
        <v/>
      </c>
    </row>
    <row r="629">
      <c r="A629" s="17" t="inlineStr">
        <is>
          <t>ALL</t>
        </is>
      </c>
      <c r="B629" s="18" t="inlineStr">
        <is>
          <t>Jaguar E-Pace</t>
        </is>
      </c>
      <c r="C629" s="18" t="inlineStr">
        <is>
          <t>Jaguar</t>
        </is>
      </c>
      <c r="D629" s="18" t="inlineStr">
        <is>
          <t>E-Pace</t>
        </is>
      </c>
      <c r="E629" s="18" t="inlineStr">
        <is>
          <t>2018-2024</t>
        </is>
      </c>
      <c r="F629" s="18" t="inlineStr"/>
      <c r="G629" s="18" t="inlineStr">
        <is>
          <t>SUV</t>
        </is>
      </c>
      <c r="H629" s="18" t="inlineStr">
        <is>
          <t>YM+</t>
        </is>
      </c>
      <c r="I629" s="19">
        <f t="array" ref="I629">TRIM(_xlfn.XLOOKUP(非皮卡压缩表[[#This Row],[BACKSIZE]],ALL尺码表[内部尺码],ALL尺码表[分类],""))</f>
        <v/>
      </c>
      <c r="J629" s="19">
        <f t="array" ref="J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9" s="20">
        <f>LEN(非皮卡压缩表[[#This Row],[LONG-TYPE]])</f>
        <v/>
      </c>
      <c r="L629" s="21">
        <f t="array" ref="L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9" s="22">
        <f>LEN(非皮卡压缩表[[#This Row],[TYPE]])</f>
        <v/>
      </c>
      <c r="N629" s="22">
        <f t="array" ref="N629">_xlfn.XLOOKUP(非皮卡压缩表[[#This Row],[MODEL]],MODEL缩写表[长MODEL],MODEL缩写表[短MODEL],非皮卡压缩表[[#This Row],[MODEL]])</f>
        <v/>
      </c>
      <c r="O629" s="22">
        <f>LEN(非皮卡压缩表[[#This Row],[SHORT-MODEL]])</f>
        <v/>
      </c>
      <c r="P629" s="11">
        <f t="array" ref="P629">TRIM(_xlfn.XLOOKUP(非皮卡压缩表[[#This Row],[BACKSIZE]],ALL尺码表[内部尺码],ALL尺码表[通用尺码]))</f>
        <v/>
      </c>
    </row>
    <row r="630">
      <c r="A630" s="17" t="inlineStr">
        <is>
          <t>ALL</t>
        </is>
      </c>
      <c r="B630" s="18" t="inlineStr">
        <is>
          <t>Jaguar F-Pace</t>
        </is>
      </c>
      <c r="C630" s="18" t="inlineStr">
        <is>
          <t>Jaguar</t>
        </is>
      </c>
      <c r="D630" s="18" t="inlineStr">
        <is>
          <t>F-Pace</t>
        </is>
      </c>
      <c r="E630" s="18" t="inlineStr">
        <is>
          <t>2017-2023</t>
        </is>
      </c>
      <c r="F630" s="18" t="inlineStr"/>
      <c r="G630" s="18" t="inlineStr">
        <is>
          <t>SUV</t>
        </is>
      </c>
      <c r="H630" s="18" t="inlineStr">
        <is>
          <t>YL</t>
        </is>
      </c>
      <c r="I630" s="19">
        <f t="array" ref="I630">TRIM(_xlfn.XLOOKUP(非皮卡压缩表[[#This Row],[BACKSIZE]],ALL尺码表[内部尺码],ALL尺码表[分类],""))</f>
        <v/>
      </c>
      <c r="J630" s="19">
        <f t="array" ref="J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0" s="20">
        <f>LEN(非皮卡压缩表[[#This Row],[LONG-TYPE]])</f>
        <v/>
      </c>
      <c r="L630" s="21">
        <f t="array" ref="L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0" s="22">
        <f>LEN(非皮卡压缩表[[#This Row],[TYPE]])</f>
        <v/>
      </c>
      <c r="N630" s="22">
        <f t="array" ref="N630">_xlfn.XLOOKUP(非皮卡压缩表[[#This Row],[MODEL]],MODEL缩写表[长MODEL],MODEL缩写表[短MODEL],非皮卡压缩表[[#This Row],[MODEL]])</f>
        <v/>
      </c>
      <c r="O630" s="22">
        <f>LEN(非皮卡压缩表[[#This Row],[SHORT-MODEL]])</f>
        <v/>
      </c>
      <c r="P630" s="11">
        <f t="array" ref="P630">TRIM(_xlfn.XLOOKUP(非皮卡压缩表[[#This Row],[BACKSIZE]],ALL尺码表[内部尺码],ALL尺码表[通用尺码]))</f>
        <v/>
      </c>
    </row>
    <row r="631" ht="44.25" customHeight="1" s="23">
      <c r="A631" s="17" t="inlineStr">
        <is>
          <t>ALL</t>
        </is>
      </c>
      <c r="B631" s="18" t="inlineStr">
        <is>
          <t>Jaguar F-Type</t>
        </is>
      </c>
      <c r="C631" s="18" t="inlineStr">
        <is>
          <t>Jaguar</t>
        </is>
      </c>
      <c r="D631" s="18" t="inlineStr">
        <is>
          <t>F-Type</t>
        </is>
      </c>
      <c r="E631" s="18" t="inlineStr">
        <is>
          <t>2014-2024</t>
        </is>
      </c>
      <c r="F631" s="18" t="inlineStr">
        <is>
          <t>Incl: P450/P575/R/R75/SVR/V6/V8 S</t>
        </is>
      </c>
      <c r="G631" s="18" t="inlineStr">
        <is>
          <t>Convertible/Coupe</t>
        </is>
      </c>
      <c r="H631" s="18" t="inlineStr">
        <is>
          <t>3M-0</t>
        </is>
      </c>
      <c r="I631" s="19">
        <f t="array" ref="I631">TRIM(_xlfn.XLOOKUP(非皮卡压缩表[[#This Row],[BACKSIZE]],ALL尺码表[内部尺码],ALL尺码表[分类],""))</f>
        <v/>
      </c>
      <c r="J631" s="19">
        <f t="array" ref="J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1" s="20">
        <f>LEN(非皮卡压缩表[[#This Row],[LONG-TYPE]])</f>
        <v/>
      </c>
      <c r="L631" s="21">
        <f t="array" ref="L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1" s="22">
        <f>LEN(非皮卡压缩表[[#This Row],[TYPE]])</f>
        <v/>
      </c>
      <c r="N631" s="22">
        <f t="array" ref="N631">_xlfn.XLOOKUP(非皮卡压缩表[[#This Row],[MODEL]],MODEL缩写表[长MODEL],MODEL缩写表[短MODEL],非皮卡压缩表[[#This Row],[MODEL]])</f>
        <v/>
      </c>
      <c r="O631" s="22">
        <f>LEN(非皮卡压缩表[[#This Row],[SHORT-MODEL]])</f>
        <v/>
      </c>
      <c r="P631" s="11">
        <f t="array" ref="P631">TRIM(_xlfn.XLOOKUP(非皮卡压缩表[[#This Row],[BACKSIZE]],ALL尺码表[内部尺码],ALL尺码表[通用尺码]))</f>
        <v/>
      </c>
    </row>
    <row r="632">
      <c r="A632" s="17" t="inlineStr">
        <is>
          <t>ALL</t>
        </is>
      </c>
      <c r="B632" s="18" t="inlineStr">
        <is>
          <t>Jaguar I-Pace</t>
        </is>
      </c>
      <c r="C632" s="18" t="inlineStr">
        <is>
          <t>Jaguar</t>
        </is>
      </c>
      <c r="D632" s="18" t="inlineStr">
        <is>
          <t>I-Pace</t>
        </is>
      </c>
      <c r="E632" s="18" t="inlineStr">
        <is>
          <t>2019-2024</t>
        </is>
      </c>
      <c r="F632" s="18" t="inlineStr"/>
      <c r="G632" s="18" t="inlineStr">
        <is>
          <t>SUV</t>
        </is>
      </c>
      <c r="H632" s="18" t="inlineStr">
        <is>
          <t>YL</t>
        </is>
      </c>
      <c r="I632" s="19">
        <f t="array" ref="I632">TRIM(_xlfn.XLOOKUP(非皮卡压缩表[[#This Row],[BACKSIZE]],ALL尺码表[内部尺码],ALL尺码表[分类],""))</f>
        <v/>
      </c>
      <c r="J632" s="19">
        <f t="array" ref="J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2" s="20">
        <f>LEN(非皮卡压缩表[[#This Row],[LONG-TYPE]])</f>
        <v/>
      </c>
      <c r="L632" s="21">
        <f t="array" ref="L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2" s="22">
        <f>LEN(非皮卡压缩表[[#This Row],[TYPE]])</f>
        <v/>
      </c>
      <c r="N632" s="22">
        <f t="array" ref="N632">_xlfn.XLOOKUP(非皮卡压缩表[[#This Row],[MODEL]],MODEL缩写表[长MODEL],MODEL缩写表[短MODEL],非皮卡压缩表[[#This Row],[MODEL]])</f>
        <v/>
      </c>
      <c r="O632" s="22">
        <f>LEN(非皮卡压缩表[[#This Row],[SHORT-MODEL]])</f>
        <v/>
      </c>
      <c r="P632" s="11">
        <f t="array" ref="P632">TRIM(_xlfn.XLOOKUP(非皮卡压缩表[[#This Row],[BACKSIZE]],ALL尺码表[内部尺码],ALL尺码表[通用尺码]))</f>
        <v/>
      </c>
    </row>
    <row r="633">
      <c r="A633" s="17" t="inlineStr">
        <is>
          <t>ALL</t>
        </is>
      </c>
      <c r="B633" s="18" t="inlineStr">
        <is>
          <t>Jaguar S-Type</t>
        </is>
      </c>
      <c r="C633" s="18" t="inlineStr">
        <is>
          <t>Jaguar</t>
        </is>
      </c>
      <c r="D633" s="18" t="inlineStr">
        <is>
          <t>S-Type</t>
        </is>
      </c>
      <c r="E633" s="18" t="inlineStr">
        <is>
          <t>2000-2008</t>
        </is>
      </c>
      <c r="F633" s="18" t="inlineStr"/>
      <c r="G633" s="18" t="inlineStr">
        <is>
          <t>Sedan</t>
        </is>
      </c>
      <c r="H633" s="18" t="inlineStr">
        <is>
          <t>3XXL</t>
        </is>
      </c>
      <c r="I633" s="19">
        <f t="array" ref="I633">TRIM(_xlfn.XLOOKUP(非皮卡压缩表[[#This Row],[BACKSIZE]],ALL尺码表[内部尺码],ALL尺码表[分类],""))</f>
        <v/>
      </c>
      <c r="J633" s="19">
        <f t="array" ref="J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3" s="20">
        <f>LEN(非皮卡压缩表[[#This Row],[LONG-TYPE]])</f>
        <v/>
      </c>
      <c r="L633" s="21">
        <f t="array" ref="L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3" s="22">
        <f>LEN(非皮卡压缩表[[#This Row],[TYPE]])</f>
        <v/>
      </c>
      <c r="N633" s="22">
        <f t="array" ref="N633">_xlfn.XLOOKUP(非皮卡压缩表[[#This Row],[MODEL]],MODEL缩写表[长MODEL],MODEL缩写表[短MODEL],非皮卡压缩表[[#This Row],[MODEL]])</f>
        <v/>
      </c>
      <c r="O633" s="22">
        <f>LEN(非皮卡压缩表[[#This Row],[SHORT-MODEL]])</f>
        <v/>
      </c>
      <c r="P633" s="11">
        <f t="array" ref="P633">TRIM(_xlfn.XLOOKUP(非皮卡压缩表[[#This Row],[BACKSIZE]],ALL尺码表[内部尺码],ALL尺码表[通用尺码]))</f>
        <v/>
      </c>
    </row>
    <row r="634">
      <c r="A634" s="17" t="inlineStr">
        <is>
          <t>ALL</t>
        </is>
      </c>
      <c r="B634" s="18" t="inlineStr">
        <is>
          <t>Jaguar X-Type</t>
        </is>
      </c>
      <c r="C634" s="18" t="inlineStr">
        <is>
          <t>Jaguar</t>
        </is>
      </c>
      <c r="D634" s="18" t="inlineStr">
        <is>
          <t>X-Type</t>
        </is>
      </c>
      <c r="E634" s="18" t="inlineStr">
        <is>
          <t>2002-2008</t>
        </is>
      </c>
      <c r="F634" s="18" t="inlineStr"/>
      <c r="G634" s="18" t="inlineStr">
        <is>
          <t>Sedan</t>
        </is>
      </c>
      <c r="H634" s="18" t="inlineStr">
        <is>
          <t>3L</t>
        </is>
      </c>
      <c r="I634" s="19">
        <f t="array" ref="I634">TRIM(_xlfn.XLOOKUP(非皮卡压缩表[[#This Row],[BACKSIZE]],ALL尺码表[内部尺码],ALL尺码表[分类],""))</f>
        <v/>
      </c>
      <c r="J634" s="19">
        <f t="array" ref="J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4" s="20">
        <f>LEN(非皮卡压缩表[[#This Row],[LONG-TYPE]])</f>
        <v/>
      </c>
      <c r="L634" s="21">
        <f t="array" ref="L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4" s="22">
        <f>LEN(非皮卡压缩表[[#This Row],[TYPE]])</f>
        <v/>
      </c>
      <c r="N634" s="22">
        <f t="array" ref="N634">_xlfn.XLOOKUP(非皮卡压缩表[[#This Row],[MODEL]],MODEL缩写表[长MODEL],MODEL缩写表[短MODEL],非皮卡压缩表[[#This Row],[MODEL]])</f>
        <v/>
      </c>
      <c r="O634" s="22">
        <f>LEN(非皮卡压缩表[[#This Row],[SHORT-MODEL]])</f>
        <v/>
      </c>
      <c r="P634" s="11">
        <f t="array" ref="P634">TRIM(_xlfn.XLOOKUP(非皮卡压缩表[[#This Row],[BACKSIZE]],ALL尺码表[内部尺码],ALL尺码表[通用尺码]))</f>
        <v/>
      </c>
    </row>
    <row r="635">
      <c r="A635" s="17" t="inlineStr">
        <is>
          <t>ALL</t>
        </is>
      </c>
      <c r="B635" s="18" t="inlineStr">
        <is>
          <t>Jaguar X-Type</t>
        </is>
      </c>
      <c r="C635" s="18" t="inlineStr">
        <is>
          <t>Jaguar</t>
        </is>
      </c>
      <c r="D635" s="18" t="inlineStr">
        <is>
          <t>X-Type</t>
        </is>
      </c>
      <c r="E635" s="18" t="inlineStr">
        <is>
          <t>2005-2008</t>
        </is>
      </c>
      <c r="F635" s="18" t="inlineStr"/>
      <c r="G635" s="18" t="inlineStr">
        <is>
          <t>Wagon</t>
        </is>
      </c>
      <c r="H635" s="18" t="inlineStr">
        <is>
          <t>2XL</t>
        </is>
      </c>
      <c r="I635" s="19">
        <f t="array" ref="I635">TRIM(_xlfn.XLOOKUP(非皮卡压缩表[[#This Row],[BACKSIZE]],ALL尺码表[内部尺码],ALL尺码表[分类],""))</f>
        <v/>
      </c>
      <c r="J635" s="19">
        <f t="array" ref="J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5" s="20">
        <f>LEN(非皮卡压缩表[[#This Row],[LONG-TYPE]])</f>
        <v/>
      </c>
      <c r="L635" s="21">
        <f t="array" ref="L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5" s="22">
        <f>LEN(非皮卡压缩表[[#This Row],[TYPE]])</f>
        <v/>
      </c>
      <c r="N635" s="22">
        <f t="array" ref="N635">_xlfn.XLOOKUP(非皮卡压缩表[[#This Row],[MODEL]],MODEL缩写表[长MODEL],MODEL缩写表[短MODEL],非皮卡压缩表[[#This Row],[MODEL]])</f>
        <v/>
      </c>
      <c r="O635" s="22">
        <f>LEN(非皮卡压缩表[[#This Row],[SHORT-MODEL]])</f>
        <v/>
      </c>
      <c r="P635" s="11">
        <f t="array" ref="P635">TRIM(_xlfn.XLOOKUP(非皮卡压缩表[[#This Row],[BACKSIZE]],ALL尺码表[内部尺码],ALL尺码表[通用尺码]))</f>
        <v/>
      </c>
    </row>
    <row r="636">
      <c r="A636" s="17" t="inlineStr">
        <is>
          <t>ALL</t>
        </is>
      </c>
      <c r="B636" s="18" t="inlineStr">
        <is>
          <t>Jaguar XE</t>
        </is>
      </c>
      <c r="C636" s="18" t="inlineStr">
        <is>
          <t>Jaguar</t>
        </is>
      </c>
      <c r="D636" s="18" t="inlineStr">
        <is>
          <t>XE</t>
        </is>
      </c>
      <c r="E636" s="18" t="inlineStr">
        <is>
          <t>2017-2020</t>
        </is>
      </c>
      <c r="F636" s="18" t="inlineStr"/>
      <c r="G636" s="18" t="inlineStr">
        <is>
          <t>Sedan</t>
        </is>
      </c>
      <c r="H636" s="18" t="inlineStr">
        <is>
          <t>3L</t>
        </is>
      </c>
      <c r="I636" s="19">
        <f t="array" ref="I636">TRIM(_xlfn.XLOOKUP(非皮卡压缩表[[#This Row],[BACKSIZE]],ALL尺码表[内部尺码],ALL尺码表[分类],""))</f>
        <v/>
      </c>
      <c r="J636" s="19">
        <f t="array" ref="J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6" s="20">
        <f>LEN(非皮卡压缩表[[#This Row],[LONG-TYPE]])</f>
        <v/>
      </c>
      <c r="L636" s="21">
        <f t="array" ref="L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6" s="22">
        <f>LEN(非皮卡压缩表[[#This Row],[TYPE]])</f>
        <v/>
      </c>
      <c r="N636" s="22">
        <f t="array" ref="N636">_xlfn.XLOOKUP(非皮卡压缩表[[#This Row],[MODEL]],MODEL缩写表[长MODEL],MODEL缩写表[短MODEL],非皮卡压缩表[[#This Row],[MODEL]])</f>
        <v/>
      </c>
      <c r="O636" s="22">
        <f>LEN(非皮卡压缩表[[#This Row],[SHORT-MODEL]])</f>
        <v/>
      </c>
      <c r="P636" s="11">
        <f t="array" ref="P636">TRIM(_xlfn.XLOOKUP(非皮卡压缩表[[#This Row],[BACKSIZE]],ALL尺码表[内部尺码],ALL尺码表[通用尺码]))</f>
        <v/>
      </c>
    </row>
    <row r="637">
      <c r="A637" s="17" t="inlineStr">
        <is>
          <t>ALL</t>
        </is>
      </c>
      <c r="B637" s="18" t="inlineStr">
        <is>
          <t>Jaguar XF</t>
        </is>
      </c>
      <c r="C637" s="18" t="inlineStr">
        <is>
          <t>Jaguar</t>
        </is>
      </c>
      <c r="D637" s="18" t="inlineStr">
        <is>
          <t>XF</t>
        </is>
      </c>
      <c r="E637" s="18" t="inlineStr">
        <is>
          <t>2009-2024</t>
        </is>
      </c>
      <c r="F637" s="18" t="inlineStr"/>
      <c r="G637" s="18" t="inlineStr">
        <is>
          <t>Sedan</t>
        </is>
      </c>
      <c r="H637" s="18" t="inlineStr">
        <is>
          <t>3XXL</t>
        </is>
      </c>
      <c r="I637" s="19">
        <f t="array" ref="I637">TRIM(_xlfn.XLOOKUP(非皮卡压缩表[[#This Row],[BACKSIZE]],ALL尺码表[内部尺码],ALL尺码表[分类],""))</f>
        <v/>
      </c>
      <c r="J637" s="19">
        <f t="array" ref="J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7" s="20">
        <f>LEN(非皮卡压缩表[[#This Row],[LONG-TYPE]])</f>
        <v/>
      </c>
      <c r="L637" s="21">
        <f t="array" ref="L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7" s="22">
        <f>LEN(非皮卡压缩表[[#This Row],[TYPE]])</f>
        <v/>
      </c>
      <c r="N637" s="22">
        <f t="array" ref="N637">_xlfn.XLOOKUP(非皮卡压缩表[[#This Row],[MODEL]],MODEL缩写表[长MODEL],MODEL缩写表[短MODEL],非皮卡压缩表[[#This Row],[MODEL]])</f>
        <v/>
      </c>
      <c r="O637" s="22">
        <f>LEN(非皮卡压缩表[[#This Row],[SHORT-MODEL]])</f>
        <v/>
      </c>
      <c r="P637" s="11">
        <f t="array" ref="P637">TRIM(_xlfn.XLOOKUP(非皮卡压缩表[[#This Row],[BACKSIZE]],ALL尺码表[内部尺码],ALL尺码表[通用尺码]))</f>
        <v/>
      </c>
    </row>
    <row r="638">
      <c r="A638" s="17" t="inlineStr">
        <is>
          <t>ALL</t>
        </is>
      </c>
      <c r="B638" s="18" t="inlineStr">
        <is>
          <t>Jaguar XF</t>
        </is>
      </c>
      <c r="C638" s="18" t="inlineStr">
        <is>
          <t>Jaguar</t>
        </is>
      </c>
      <c r="D638" s="18" t="inlineStr">
        <is>
          <t>XF</t>
        </is>
      </c>
      <c r="E638" s="18" t="inlineStr">
        <is>
          <t>2018-2020</t>
        </is>
      </c>
      <c r="F638" s="18" t="inlineStr">
        <is>
          <t>Sportbrake</t>
        </is>
      </c>
      <c r="G638" s="18" t="inlineStr">
        <is>
          <t>Wagon</t>
        </is>
      </c>
      <c r="H638" s="18" t="inlineStr">
        <is>
          <t>2XL+</t>
        </is>
      </c>
      <c r="I638" s="19">
        <f t="array" ref="I638">TRIM(_xlfn.XLOOKUP(非皮卡压缩表[[#This Row],[BACKSIZE]],ALL尺码表[内部尺码],ALL尺码表[分类],""))</f>
        <v/>
      </c>
      <c r="J638" s="19">
        <f t="array" ref="J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8" s="20">
        <f>LEN(非皮卡压缩表[[#This Row],[LONG-TYPE]])</f>
        <v/>
      </c>
      <c r="L638" s="21">
        <f t="array" ref="L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8" s="22">
        <f>LEN(非皮卡压缩表[[#This Row],[TYPE]])</f>
        <v/>
      </c>
      <c r="N638" s="22">
        <f t="array" ref="N638">_xlfn.XLOOKUP(非皮卡压缩表[[#This Row],[MODEL]],MODEL缩写表[长MODEL],MODEL缩写表[短MODEL],非皮卡压缩表[[#This Row],[MODEL]])</f>
        <v/>
      </c>
      <c r="O638" s="22">
        <f>LEN(非皮卡压缩表[[#This Row],[SHORT-MODEL]])</f>
        <v/>
      </c>
      <c r="P638" s="11">
        <f t="array" ref="P638">TRIM(_xlfn.XLOOKUP(非皮卡压缩表[[#This Row],[BACKSIZE]],ALL尺码表[内部尺码],ALL尺码表[通用尺码]))</f>
        <v/>
      </c>
    </row>
    <row r="639">
      <c r="A639" s="17" t="inlineStr">
        <is>
          <t>ALL</t>
        </is>
      </c>
      <c r="B639" s="18" t="inlineStr">
        <is>
          <t>Jaguar XJ</t>
        </is>
      </c>
      <c r="C639" s="18" t="inlineStr">
        <is>
          <t>Jaguar</t>
        </is>
      </c>
      <c r="D639" s="18" t="inlineStr">
        <is>
          <t>XJ</t>
        </is>
      </c>
      <c r="E639" s="18" t="inlineStr">
        <is>
          <t>1979-2019</t>
        </is>
      </c>
      <c r="F639" s="18" t="inlineStr">
        <is>
          <t>Incl: LWB/SWB</t>
        </is>
      </c>
      <c r="G639" s="18" t="inlineStr">
        <is>
          <t>Sedan</t>
        </is>
      </c>
      <c r="H639" s="18" t="inlineStr">
        <is>
          <t>3XXL</t>
        </is>
      </c>
      <c r="I639" s="19">
        <f t="array" ref="I639">TRIM(_xlfn.XLOOKUP(非皮卡压缩表[[#This Row],[BACKSIZE]],ALL尺码表[内部尺码],ALL尺码表[分类],""))</f>
        <v/>
      </c>
      <c r="J639" s="19">
        <f t="array" ref="J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9" s="20">
        <f>LEN(非皮卡压缩表[[#This Row],[LONG-TYPE]])</f>
        <v/>
      </c>
      <c r="L639" s="21">
        <f t="array" ref="L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9" s="22">
        <f>LEN(非皮卡压缩表[[#This Row],[TYPE]])</f>
        <v/>
      </c>
      <c r="N639" s="22">
        <f t="array" ref="N639">_xlfn.XLOOKUP(非皮卡压缩表[[#This Row],[MODEL]],MODEL缩写表[长MODEL],MODEL缩写表[短MODEL],非皮卡压缩表[[#This Row],[MODEL]])</f>
        <v/>
      </c>
      <c r="O639" s="22">
        <f>LEN(非皮卡压缩表[[#This Row],[SHORT-MODEL]])</f>
        <v/>
      </c>
      <c r="P639" s="11">
        <f t="array" ref="P639">TRIM(_xlfn.XLOOKUP(非皮卡压缩表[[#This Row],[BACKSIZE]],ALL尺码表[内部尺码],ALL尺码表[通用尺码]))</f>
        <v/>
      </c>
    </row>
    <row r="640">
      <c r="A640" s="17" t="inlineStr">
        <is>
          <t>ALL</t>
        </is>
      </c>
      <c r="B640" s="18" t="inlineStr">
        <is>
          <t>Jaguar XJS</t>
        </is>
      </c>
      <c r="C640" s="18" t="inlineStr">
        <is>
          <t>Jaguar</t>
        </is>
      </c>
      <c r="D640" s="18" t="inlineStr">
        <is>
          <t>XJS</t>
        </is>
      </c>
      <c r="E640" s="18" t="inlineStr">
        <is>
          <t>1976-1996</t>
        </is>
      </c>
      <c r="F640" s="18" t="inlineStr"/>
      <c r="G640" s="18" t="inlineStr">
        <is>
          <t>Convertible/Coupe</t>
        </is>
      </c>
      <c r="H640" s="18" t="inlineStr">
        <is>
          <t>3XL-0</t>
        </is>
      </c>
      <c r="I640" s="19">
        <f t="array" ref="I640">TRIM(_xlfn.XLOOKUP(非皮卡压缩表[[#This Row],[BACKSIZE]],ALL尺码表[内部尺码],ALL尺码表[分类],""))</f>
        <v/>
      </c>
      <c r="J640" s="19">
        <f t="array" ref="J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0" s="20">
        <f>LEN(非皮卡压缩表[[#This Row],[LONG-TYPE]])</f>
        <v/>
      </c>
      <c r="L640" s="21">
        <f t="array" ref="L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0" s="22">
        <f>LEN(非皮卡压缩表[[#This Row],[TYPE]])</f>
        <v/>
      </c>
      <c r="N640" s="22">
        <f t="array" ref="N640">_xlfn.XLOOKUP(非皮卡压缩表[[#This Row],[MODEL]],MODEL缩写表[长MODEL],MODEL缩写表[短MODEL],非皮卡压缩表[[#This Row],[MODEL]])</f>
        <v/>
      </c>
      <c r="O640" s="22">
        <f>LEN(非皮卡压缩表[[#This Row],[SHORT-MODEL]])</f>
        <v/>
      </c>
      <c r="P640" s="11">
        <f t="array" ref="P640">TRIM(_xlfn.XLOOKUP(非皮卡压缩表[[#This Row],[BACKSIZE]],ALL尺码表[内部尺码],ALL尺码表[通用尺码]))</f>
        <v/>
      </c>
    </row>
    <row r="641">
      <c r="A641" s="17" t="inlineStr">
        <is>
          <t>ALL</t>
        </is>
      </c>
      <c r="B641" s="18" t="inlineStr">
        <is>
          <t>Jaguar XK</t>
        </is>
      </c>
      <c r="C641" s="18" t="inlineStr">
        <is>
          <t>Jaguar</t>
        </is>
      </c>
      <c r="D641" s="18" t="inlineStr">
        <is>
          <t>XK</t>
        </is>
      </c>
      <c r="E641" s="18" t="inlineStr">
        <is>
          <t>1997-2015</t>
        </is>
      </c>
      <c r="F641" s="18" t="inlineStr">
        <is>
          <t>Incl: XKR/XKR-S</t>
        </is>
      </c>
      <c r="G641" s="18" t="inlineStr">
        <is>
          <t>Convertible/Coupe</t>
        </is>
      </c>
      <c r="H641" s="18" t="inlineStr">
        <is>
          <t>3XL-0</t>
        </is>
      </c>
      <c r="I641" s="19">
        <f t="array" ref="I641">TRIM(_xlfn.XLOOKUP(非皮卡压缩表[[#This Row],[BACKSIZE]],ALL尺码表[内部尺码],ALL尺码表[分类],""))</f>
        <v/>
      </c>
      <c r="J641" s="19">
        <f t="array" ref="J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1" s="20">
        <f>LEN(非皮卡压缩表[[#This Row],[LONG-TYPE]])</f>
        <v/>
      </c>
      <c r="L641" s="21">
        <f t="array" ref="L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1" s="22">
        <f>LEN(非皮卡压缩表[[#This Row],[TYPE]])</f>
        <v/>
      </c>
      <c r="N641" s="22">
        <f t="array" ref="N641">_xlfn.XLOOKUP(非皮卡压缩表[[#This Row],[MODEL]],MODEL缩写表[长MODEL],MODEL缩写表[短MODEL],非皮卡压缩表[[#This Row],[MODEL]])</f>
        <v/>
      </c>
      <c r="O641" s="22">
        <f>LEN(非皮卡压缩表[[#This Row],[SHORT-MODEL]])</f>
        <v/>
      </c>
      <c r="P641" s="11">
        <f t="array" ref="P641">TRIM(_xlfn.XLOOKUP(非皮卡压缩表[[#This Row],[BACKSIZE]],ALL尺码表[内部尺码],ALL尺码表[通用尺码]))</f>
        <v/>
      </c>
    </row>
    <row r="642">
      <c r="A642" s="17" t="inlineStr">
        <is>
          <t>ALL</t>
        </is>
      </c>
      <c r="B642" s="18" t="inlineStr">
        <is>
          <t>Jeep Cherokee</t>
        </is>
      </c>
      <c r="C642" s="18" t="inlineStr">
        <is>
          <t>Jeep</t>
        </is>
      </c>
      <c r="D642" s="18" t="inlineStr">
        <is>
          <t>Cherokee</t>
        </is>
      </c>
      <c r="E642" s="18" t="inlineStr">
        <is>
          <t>1974-1983</t>
        </is>
      </c>
      <c r="F642" s="18" t="inlineStr"/>
      <c r="G642" s="18" t="inlineStr">
        <is>
          <t>SUV</t>
        </is>
      </c>
      <c r="H642" s="18" t="inlineStr">
        <is>
          <t>YL</t>
        </is>
      </c>
      <c r="I642" s="19">
        <f t="array" ref="I642">TRIM(_xlfn.XLOOKUP(非皮卡压缩表[[#This Row],[BACKSIZE]],ALL尺码表[内部尺码],ALL尺码表[分类],""))</f>
        <v/>
      </c>
      <c r="J642" s="19">
        <f t="array" ref="J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2" s="20">
        <f>LEN(非皮卡压缩表[[#This Row],[LONG-TYPE]])</f>
        <v/>
      </c>
      <c r="L642" s="21">
        <f t="array" ref="L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2" s="22">
        <f>LEN(非皮卡压缩表[[#This Row],[TYPE]])</f>
        <v/>
      </c>
      <c r="N642" s="22">
        <f t="array" ref="N642">_xlfn.XLOOKUP(非皮卡压缩表[[#This Row],[MODEL]],MODEL缩写表[长MODEL],MODEL缩写表[短MODEL],非皮卡压缩表[[#This Row],[MODEL]])</f>
        <v/>
      </c>
      <c r="O642" s="22">
        <f>LEN(非皮卡压缩表[[#This Row],[SHORT-MODEL]])</f>
        <v/>
      </c>
      <c r="P642" s="11">
        <f t="array" ref="P642">TRIM(_xlfn.XLOOKUP(非皮卡压缩表[[#This Row],[BACKSIZE]],ALL尺码表[内部尺码],ALL尺码表[通用尺码]))</f>
        <v/>
      </c>
    </row>
    <row r="643">
      <c r="A643" s="17" t="inlineStr">
        <is>
          <t>ALL</t>
        </is>
      </c>
      <c r="B643" s="18" t="inlineStr">
        <is>
          <t>Jeep Cherokee</t>
        </is>
      </c>
      <c r="C643" s="18" t="inlineStr">
        <is>
          <t>Jeep</t>
        </is>
      </c>
      <c r="D643" s="18" t="inlineStr">
        <is>
          <t>Cherokee</t>
        </is>
      </c>
      <c r="E643" s="18" t="inlineStr">
        <is>
          <t>1984-2001</t>
        </is>
      </c>
      <c r="F643" s="18" t="inlineStr"/>
      <c r="G643" s="18" t="inlineStr">
        <is>
          <t>SUV</t>
        </is>
      </c>
      <c r="H643" s="18" t="inlineStr">
        <is>
          <t>YM+</t>
        </is>
      </c>
      <c r="I643" s="19">
        <f t="array" ref="I643">TRIM(_xlfn.XLOOKUP(非皮卡压缩表[[#This Row],[BACKSIZE]],ALL尺码表[内部尺码],ALL尺码表[分类],""))</f>
        <v/>
      </c>
      <c r="J643" s="19">
        <f t="array" ref="J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3" s="20">
        <f>LEN(非皮卡压缩表[[#This Row],[LONG-TYPE]])</f>
        <v/>
      </c>
      <c r="L643" s="21">
        <f t="array" ref="L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3" s="22">
        <f>LEN(非皮卡压缩表[[#This Row],[TYPE]])</f>
        <v/>
      </c>
      <c r="N643" s="22">
        <f t="array" ref="N643">_xlfn.XLOOKUP(非皮卡压缩表[[#This Row],[MODEL]],MODEL缩写表[长MODEL],MODEL缩写表[短MODEL],非皮卡压缩表[[#This Row],[MODEL]])</f>
        <v/>
      </c>
      <c r="O643" s="22">
        <f>LEN(非皮卡压缩表[[#This Row],[SHORT-MODEL]])</f>
        <v/>
      </c>
      <c r="P643" s="11">
        <f t="array" ref="P643">TRIM(_xlfn.XLOOKUP(非皮卡压缩表[[#This Row],[BACKSIZE]],ALL尺码表[内部尺码],ALL尺码表[通用尺码]))</f>
        <v/>
      </c>
    </row>
    <row r="644">
      <c r="A644" s="17" t="inlineStr">
        <is>
          <t>ALL</t>
        </is>
      </c>
      <c r="B644" s="18" t="inlineStr">
        <is>
          <t>Jeep Cherokee</t>
        </is>
      </c>
      <c r="C644" s="18" t="inlineStr">
        <is>
          <t>Jeep</t>
        </is>
      </c>
      <c r="D644" s="18" t="inlineStr">
        <is>
          <t>Cherokee</t>
        </is>
      </c>
      <c r="E644" s="18" t="inlineStr">
        <is>
          <t>2014-2026</t>
        </is>
      </c>
      <c r="F644" s="18" t="inlineStr"/>
      <c r="G644" s="18" t="inlineStr">
        <is>
          <t>SUV</t>
        </is>
      </c>
      <c r="H644" s="18" t="inlineStr">
        <is>
          <t>YL</t>
        </is>
      </c>
      <c r="I644" s="19">
        <f t="array" ref="I644">TRIM(_xlfn.XLOOKUP(非皮卡压缩表[[#This Row],[BACKSIZE]],ALL尺码表[内部尺码],ALL尺码表[分类],""))</f>
        <v/>
      </c>
      <c r="J644" s="19">
        <f t="array" ref="J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4" s="20">
        <f>LEN(非皮卡压缩表[[#This Row],[LONG-TYPE]])</f>
        <v/>
      </c>
      <c r="L644" s="21">
        <f t="array" ref="L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4" s="22">
        <f>LEN(非皮卡压缩表[[#This Row],[TYPE]])</f>
        <v/>
      </c>
      <c r="N644" s="22">
        <f t="array" ref="N644">_xlfn.XLOOKUP(非皮卡压缩表[[#This Row],[MODEL]],MODEL缩写表[长MODEL],MODEL缩写表[短MODEL],非皮卡压缩表[[#This Row],[MODEL]])</f>
        <v/>
      </c>
      <c r="O644" s="22">
        <f>LEN(非皮卡压缩表[[#This Row],[SHORT-MODEL]])</f>
        <v/>
      </c>
      <c r="P644" s="11">
        <f t="array" ref="P644">TRIM(_xlfn.XLOOKUP(非皮卡压缩表[[#This Row],[BACKSIZE]],ALL尺码表[内部尺码],ALL尺码表[通用尺码]))</f>
        <v/>
      </c>
    </row>
    <row r="645">
      <c r="A645" s="17" t="inlineStr">
        <is>
          <t>ALL</t>
        </is>
      </c>
      <c r="B645" s="18" t="inlineStr">
        <is>
          <t>Jeep Commander</t>
        </is>
      </c>
      <c r="C645" s="18" t="inlineStr">
        <is>
          <t>Jeep</t>
        </is>
      </c>
      <c r="D645" s="18" t="inlineStr">
        <is>
          <t>Commander</t>
        </is>
      </c>
      <c r="E645" s="18" t="inlineStr">
        <is>
          <t>2006-2010</t>
        </is>
      </c>
      <c r="F645" s="18" t="inlineStr"/>
      <c r="G645" s="18" t="inlineStr">
        <is>
          <t>SUV</t>
        </is>
      </c>
      <c r="H645" s="18" t="inlineStr">
        <is>
          <t>YL</t>
        </is>
      </c>
      <c r="I645" s="19">
        <f t="array" ref="I645">TRIM(_xlfn.XLOOKUP(非皮卡压缩表[[#This Row],[BACKSIZE]],ALL尺码表[内部尺码],ALL尺码表[分类],""))</f>
        <v/>
      </c>
      <c r="J645" s="19">
        <f t="array" ref="J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5" s="20">
        <f>LEN(非皮卡压缩表[[#This Row],[LONG-TYPE]])</f>
        <v/>
      </c>
      <c r="L645" s="21">
        <f t="array" ref="L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5" s="22">
        <f>LEN(非皮卡压缩表[[#This Row],[TYPE]])</f>
        <v/>
      </c>
      <c r="N645" s="22">
        <f t="array" ref="N645">_xlfn.XLOOKUP(非皮卡压缩表[[#This Row],[MODEL]],MODEL缩写表[长MODEL],MODEL缩写表[短MODEL],非皮卡压缩表[[#This Row],[MODEL]])</f>
        <v/>
      </c>
      <c r="O645" s="22">
        <f>LEN(非皮卡压缩表[[#This Row],[SHORT-MODEL]])</f>
        <v/>
      </c>
      <c r="P645" s="11">
        <f t="array" ref="P645">TRIM(_xlfn.XLOOKUP(非皮卡压缩表[[#This Row],[BACKSIZE]],ALL尺码表[内部尺码],ALL尺码表[通用尺码]))</f>
        <v/>
      </c>
    </row>
    <row r="646">
      <c r="A646" s="17" t="inlineStr">
        <is>
          <t>ALL</t>
        </is>
      </c>
      <c r="B646" s="18" t="inlineStr">
        <is>
          <t>Jeep Compass</t>
        </is>
      </c>
      <c r="C646" s="18" t="inlineStr">
        <is>
          <t>Jeep</t>
        </is>
      </c>
      <c r="D646" s="18" t="inlineStr">
        <is>
          <t>Compass</t>
        </is>
      </c>
      <c r="E646" s="18" t="inlineStr">
        <is>
          <t>2007-2026</t>
        </is>
      </c>
      <c r="F646" s="18" t="inlineStr"/>
      <c r="G646" s="18" t="inlineStr">
        <is>
          <t>SUV</t>
        </is>
      </c>
      <c r="H646" s="18" t="inlineStr">
        <is>
          <t>YM+</t>
        </is>
      </c>
      <c r="I646" s="19">
        <f t="array" ref="I646">TRIM(_xlfn.XLOOKUP(非皮卡压缩表[[#This Row],[BACKSIZE]],ALL尺码表[内部尺码],ALL尺码表[分类],""))</f>
        <v/>
      </c>
      <c r="J646" s="19">
        <f t="array" ref="J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6" s="20">
        <f>LEN(非皮卡压缩表[[#This Row],[LONG-TYPE]])</f>
        <v/>
      </c>
      <c r="L646" s="21">
        <f t="array" ref="L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6" s="22">
        <f>LEN(非皮卡压缩表[[#This Row],[TYPE]])</f>
        <v/>
      </c>
      <c r="N646" s="22">
        <f t="array" ref="N646">_xlfn.XLOOKUP(非皮卡压缩表[[#This Row],[MODEL]],MODEL缩写表[长MODEL],MODEL缩写表[短MODEL],非皮卡压缩表[[#This Row],[MODEL]])</f>
        <v/>
      </c>
      <c r="O646" s="22">
        <f>LEN(非皮卡压缩表[[#This Row],[SHORT-MODEL]])</f>
        <v/>
      </c>
      <c r="P646" s="11">
        <f t="array" ref="P646">TRIM(_xlfn.XLOOKUP(非皮卡压缩表[[#This Row],[BACKSIZE]],ALL尺码表[内部尺码],ALL尺码表[通用尺码]))</f>
        <v/>
      </c>
    </row>
    <row r="647">
      <c r="A647" s="17" t="inlineStr">
        <is>
          <t>ALL</t>
        </is>
      </c>
      <c r="B647" s="18" t="inlineStr">
        <is>
          <t>Jeep Grand Cherokee</t>
        </is>
      </c>
      <c r="C647" s="18" t="inlineStr">
        <is>
          <t>Jeep</t>
        </is>
      </c>
      <c r="D647" s="18" t="inlineStr">
        <is>
          <t>Grand Cherokee</t>
        </is>
      </c>
      <c r="E647" s="18" t="inlineStr">
        <is>
          <t>1993-1998</t>
        </is>
      </c>
      <c r="F647" s="18" t="inlineStr"/>
      <c r="G647" s="18" t="inlineStr">
        <is>
          <t>SUV</t>
        </is>
      </c>
      <c r="H647" s="18" t="inlineStr">
        <is>
          <t>YM+</t>
        </is>
      </c>
      <c r="I647" s="19">
        <f t="array" ref="I647">TRIM(_xlfn.XLOOKUP(非皮卡压缩表[[#This Row],[BACKSIZE]],ALL尺码表[内部尺码],ALL尺码表[分类],""))</f>
        <v/>
      </c>
      <c r="J647" s="19">
        <f t="array" ref="J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7" s="20">
        <f>LEN(非皮卡压缩表[[#This Row],[LONG-TYPE]])</f>
        <v/>
      </c>
      <c r="L647" s="21">
        <f t="array" ref="L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7" s="22">
        <f>LEN(非皮卡压缩表[[#This Row],[TYPE]])</f>
        <v/>
      </c>
      <c r="N647" s="22">
        <f t="array" ref="N647">_xlfn.XLOOKUP(非皮卡压缩表[[#This Row],[MODEL]],MODEL缩写表[长MODEL],MODEL缩写表[短MODEL],非皮卡压缩表[[#This Row],[MODEL]])</f>
        <v/>
      </c>
      <c r="O647" s="22">
        <f>LEN(非皮卡压缩表[[#This Row],[SHORT-MODEL]])</f>
        <v/>
      </c>
      <c r="P647" s="11">
        <f t="array" ref="P647">TRIM(_xlfn.XLOOKUP(非皮卡压缩表[[#This Row],[BACKSIZE]],ALL尺码表[内部尺码],ALL尺码表[通用尺码]))</f>
        <v/>
      </c>
    </row>
    <row r="648">
      <c r="A648" s="17" t="inlineStr">
        <is>
          <t>ALL</t>
        </is>
      </c>
      <c r="B648" s="18" t="inlineStr">
        <is>
          <t>Jeep Grand Cherokee</t>
        </is>
      </c>
      <c r="C648" s="18" t="inlineStr">
        <is>
          <t>Jeep</t>
        </is>
      </c>
      <c r="D648" s="18" t="inlineStr">
        <is>
          <t>Grand Cherokee</t>
        </is>
      </c>
      <c r="E648" s="18" t="inlineStr">
        <is>
          <t>1999-2021</t>
        </is>
      </c>
      <c r="F648" s="18" t="inlineStr"/>
      <c r="G648" s="18" t="inlineStr">
        <is>
          <t>SUV</t>
        </is>
      </c>
      <c r="H648" s="18" t="inlineStr">
        <is>
          <t>YL</t>
        </is>
      </c>
      <c r="I648" s="19">
        <f t="array" ref="I648">TRIM(_xlfn.XLOOKUP(非皮卡压缩表[[#This Row],[BACKSIZE]],ALL尺码表[内部尺码],ALL尺码表[分类],""))</f>
        <v/>
      </c>
      <c r="J648" s="19">
        <f t="array" ref="J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8" s="20">
        <f>LEN(非皮卡压缩表[[#This Row],[LONG-TYPE]])</f>
        <v/>
      </c>
      <c r="L648" s="21">
        <f t="array" ref="L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8" s="22">
        <f>LEN(非皮卡压缩表[[#This Row],[TYPE]])</f>
        <v/>
      </c>
      <c r="N648" s="22">
        <f t="array" ref="N648">_xlfn.XLOOKUP(非皮卡压缩表[[#This Row],[MODEL]],MODEL缩写表[长MODEL],MODEL缩写表[短MODEL],非皮卡压缩表[[#This Row],[MODEL]])</f>
        <v/>
      </c>
      <c r="O648" s="22">
        <f>LEN(非皮卡压缩表[[#This Row],[SHORT-MODEL]])</f>
        <v/>
      </c>
      <c r="P648" s="11">
        <f t="array" ref="P648">TRIM(_xlfn.XLOOKUP(非皮卡压缩表[[#This Row],[BACKSIZE]],ALL尺码表[内部尺码],ALL尺码表[通用尺码]))</f>
        <v/>
      </c>
    </row>
    <row r="649">
      <c r="A649" s="17" t="inlineStr">
        <is>
          <t>ALL</t>
        </is>
      </c>
      <c r="B649" s="18" t="inlineStr">
        <is>
          <t>Jeep Grand Cherokee</t>
        </is>
      </c>
      <c r="C649" s="18" t="inlineStr">
        <is>
          <t>Jeep</t>
        </is>
      </c>
      <c r="D649" s="18" t="inlineStr">
        <is>
          <t>Grand Cherokee</t>
        </is>
      </c>
      <c r="E649" s="18" t="inlineStr">
        <is>
          <t>2014-2021</t>
        </is>
      </c>
      <c r="F649" s="18" t="inlineStr">
        <is>
          <t>SRT</t>
        </is>
      </c>
      <c r="G649" s="18" t="inlineStr">
        <is>
          <t>SUV</t>
        </is>
      </c>
      <c r="H649" s="18" t="inlineStr">
        <is>
          <t>YXL</t>
        </is>
      </c>
      <c r="I649" s="19">
        <f t="array" ref="I649">TRIM(_xlfn.XLOOKUP(非皮卡压缩表[[#This Row],[BACKSIZE]],ALL尺码表[内部尺码],ALL尺码表[分类],""))</f>
        <v/>
      </c>
      <c r="J649" s="19">
        <f t="array" ref="J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9" s="20">
        <f>LEN(非皮卡压缩表[[#This Row],[LONG-TYPE]])</f>
        <v/>
      </c>
      <c r="L649" s="21">
        <f t="array" ref="L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9" s="22">
        <f>LEN(非皮卡压缩表[[#This Row],[TYPE]])</f>
        <v/>
      </c>
      <c r="N649" s="22">
        <f t="array" ref="N649">_xlfn.XLOOKUP(非皮卡压缩表[[#This Row],[MODEL]],MODEL缩写表[长MODEL],MODEL缩写表[短MODEL],非皮卡压缩表[[#This Row],[MODEL]])</f>
        <v/>
      </c>
      <c r="O649" s="22">
        <f>LEN(非皮卡压缩表[[#This Row],[SHORT-MODEL]])</f>
        <v/>
      </c>
      <c r="P649" s="11">
        <f t="array" ref="P649">TRIM(_xlfn.XLOOKUP(非皮卡压缩表[[#This Row],[BACKSIZE]],ALL尺码表[内部尺码],ALL尺码表[通用尺码]))</f>
        <v/>
      </c>
    </row>
    <row r="650">
      <c r="A650" s="17" t="inlineStr">
        <is>
          <t>ALL</t>
        </is>
      </c>
      <c r="B650" s="18" t="inlineStr">
        <is>
          <t>Jeep Grand Cherokee</t>
        </is>
      </c>
      <c r="C650" s="18" t="inlineStr">
        <is>
          <t>Jeep</t>
        </is>
      </c>
      <c r="D650" s="18" t="inlineStr">
        <is>
          <t>Grand Cherokee</t>
        </is>
      </c>
      <c r="E650" s="18" t="inlineStr">
        <is>
          <t>2021-2026</t>
        </is>
      </c>
      <c r="F650" s="18" t="inlineStr">
        <is>
          <t>L</t>
        </is>
      </c>
      <c r="G650" s="18" t="inlineStr">
        <is>
          <t>SUV</t>
        </is>
      </c>
      <c r="H650" s="18" t="inlineStr">
        <is>
          <t>YXXL</t>
        </is>
      </c>
      <c r="I650" s="19">
        <f t="array" ref="I650">TRIM(_xlfn.XLOOKUP(非皮卡压缩表[[#This Row],[BACKSIZE]],ALL尺码表[内部尺码],ALL尺码表[分类],""))</f>
        <v/>
      </c>
      <c r="J650" s="19">
        <f t="array" ref="J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0" s="20">
        <f>LEN(非皮卡压缩表[[#This Row],[LONG-TYPE]])</f>
        <v/>
      </c>
      <c r="L650" s="21">
        <f t="array" ref="L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0" s="22">
        <f>LEN(非皮卡压缩表[[#This Row],[TYPE]])</f>
        <v/>
      </c>
      <c r="N650" s="22">
        <f t="array" ref="N650">_xlfn.XLOOKUP(非皮卡压缩表[[#This Row],[MODEL]],MODEL缩写表[长MODEL],MODEL缩写表[短MODEL],非皮卡压缩表[[#This Row],[MODEL]])</f>
        <v/>
      </c>
      <c r="O650" s="22">
        <f>LEN(非皮卡压缩表[[#This Row],[SHORT-MODEL]])</f>
        <v/>
      </c>
      <c r="P650" s="11">
        <f t="array" ref="P650">TRIM(_xlfn.XLOOKUP(非皮卡压缩表[[#This Row],[BACKSIZE]],ALL尺码表[内部尺码],ALL尺码表[通用尺码]))</f>
        <v/>
      </c>
    </row>
    <row r="651">
      <c r="A651" s="17" t="inlineStr">
        <is>
          <t>ALL</t>
        </is>
      </c>
      <c r="B651" s="18" t="inlineStr">
        <is>
          <t>Jeep Grand Cherokee</t>
        </is>
      </c>
      <c r="C651" s="18" t="inlineStr">
        <is>
          <t>Jeep</t>
        </is>
      </c>
      <c r="D651" s="18" t="inlineStr">
        <is>
          <t>Grand Cherokee</t>
        </is>
      </c>
      <c r="E651" s="18" t="inlineStr">
        <is>
          <t>2022-2026</t>
        </is>
      </c>
      <c r="F651" s="18" t="inlineStr"/>
      <c r="G651" s="18" t="inlineStr">
        <is>
          <t>SUV</t>
        </is>
      </c>
      <c r="H651" s="18" t="inlineStr">
        <is>
          <t>YXL</t>
        </is>
      </c>
      <c r="I651" s="19">
        <f t="array" ref="I651">TRIM(_xlfn.XLOOKUP(非皮卡压缩表[[#This Row],[BACKSIZE]],ALL尺码表[内部尺码],ALL尺码表[分类],""))</f>
        <v/>
      </c>
      <c r="J651" s="19">
        <f t="array" ref="J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1" s="20">
        <f>LEN(非皮卡压缩表[[#This Row],[LONG-TYPE]])</f>
        <v/>
      </c>
      <c r="L651" s="21">
        <f t="array" ref="L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1" s="22">
        <f>LEN(非皮卡压缩表[[#This Row],[TYPE]])</f>
        <v/>
      </c>
      <c r="N651" s="22">
        <f t="array" ref="N651">_xlfn.XLOOKUP(非皮卡压缩表[[#This Row],[MODEL]],MODEL缩写表[长MODEL],MODEL缩写表[短MODEL],非皮卡压缩表[[#This Row],[MODEL]])</f>
        <v/>
      </c>
      <c r="O651" s="22">
        <f>LEN(非皮卡压缩表[[#This Row],[SHORT-MODEL]])</f>
        <v/>
      </c>
      <c r="P651" s="11">
        <f t="array" ref="P651">TRIM(_xlfn.XLOOKUP(非皮卡压缩表[[#This Row],[BACKSIZE]],ALL尺码表[内部尺码],ALL尺码表[通用尺码]))</f>
        <v/>
      </c>
    </row>
    <row r="652">
      <c r="A652" s="17" t="inlineStr">
        <is>
          <t>ALL</t>
        </is>
      </c>
      <c r="B652" s="18" t="inlineStr">
        <is>
          <t>Jeep Grand Wagoneer</t>
        </is>
      </c>
      <c r="C652" s="18" t="inlineStr">
        <is>
          <t>Jeep</t>
        </is>
      </c>
      <c r="D652" s="18" t="inlineStr">
        <is>
          <t>Grand Wagoneer</t>
        </is>
      </c>
      <c r="E652" s="18" t="inlineStr">
        <is>
          <t>1984-1991</t>
        </is>
      </c>
      <c r="F652" s="18" t="inlineStr"/>
      <c r="G652" s="18" t="inlineStr">
        <is>
          <t>SUV</t>
        </is>
      </c>
      <c r="H652" s="18" t="inlineStr">
        <is>
          <t>YL</t>
        </is>
      </c>
      <c r="I652" s="19">
        <f t="array" ref="I652">TRIM(_xlfn.XLOOKUP(非皮卡压缩表[[#This Row],[BACKSIZE]],ALL尺码表[内部尺码],ALL尺码表[分类],""))</f>
        <v/>
      </c>
      <c r="J652" s="19">
        <f t="array" ref="J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2" s="20">
        <f>LEN(非皮卡压缩表[[#This Row],[LONG-TYPE]])</f>
        <v/>
      </c>
      <c r="L652" s="21">
        <f t="array" ref="L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2" s="22">
        <f>LEN(非皮卡压缩表[[#This Row],[TYPE]])</f>
        <v/>
      </c>
      <c r="N652" s="22">
        <f t="array" ref="N652">_xlfn.XLOOKUP(非皮卡压缩表[[#This Row],[MODEL]],MODEL缩写表[长MODEL],MODEL缩写表[短MODEL],非皮卡压缩表[[#This Row],[MODEL]])</f>
        <v/>
      </c>
      <c r="O652" s="22">
        <f>LEN(非皮卡压缩表[[#This Row],[SHORT-MODEL]])</f>
        <v/>
      </c>
      <c r="P652" s="11">
        <f t="array" ref="P652">TRIM(_xlfn.XLOOKUP(非皮卡压缩表[[#This Row],[BACKSIZE]],ALL尺码表[内部尺码],ALL尺码表[通用尺码]))</f>
        <v/>
      </c>
    </row>
    <row r="653">
      <c r="A653" s="17" t="inlineStr">
        <is>
          <t>ALL</t>
        </is>
      </c>
      <c r="B653" s="18" t="inlineStr">
        <is>
          <t>Jeep Grand Wagoneer</t>
        </is>
      </c>
      <c r="C653" s="18" t="inlineStr">
        <is>
          <t>Jeep</t>
        </is>
      </c>
      <c r="D653" s="18" t="inlineStr">
        <is>
          <t>Grand Wagoneer</t>
        </is>
      </c>
      <c r="E653" s="18" t="inlineStr">
        <is>
          <t>2022-2026</t>
        </is>
      </c>
      <c r="F653" s="18" t="inlineStr">
        <is>
          <t>Incl: L</t>
        </is>
      </c>
      <c r="G653" s="18" t="inlineStr">
        <is>
          <t>SUV</t>
        </is>
      </c>
      <c r="H653" s="18" t="inlineStr">
        <is>
          <t>YXXL-585</t>
        </is>
      </c>
      <c r="I653" s="19">
        <f t="array" ref="I653">TRIM(_xlfn.XLOOKUP(非皮卡压缩表[[#This Row],[BACKSIZE]],ALL尺码表[内部尺码],ALL尺码表[分类],""))</f>
        <v/>
      </c>
      <c r="J653" s="19">
        <f t="array" ref="J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3" s="20">
        <f>LEN(非皮卡压缩表[[#This Row],[LONG-TYPE]])</f>
        <v/>
      </c>
      <c r="L653" s="21">
        <f t="array" ref="L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3" s="22">
        <f>LEN(非皮卡压缩表[[#This Row],[TYPE]])</f>
        <v/>
      </c>
      <c r="N653" s="22">
        <f t="array" ref="N653">_xlfn.XLOOKUP(非皮卡压缩表[[#This Row],[MODEL]],MODEL缩写表[长MODEL],MODEL缩写表[短MODEL],非皮卡压缩表[[#This Row],[MODEL]])</f>
        <v/>
      </c>
      <c r="O653" s="22">
        <f>LEN(非皮卡压缩表[[#This Row],[SHORT-MODEL]])</f>
        <v/>
      </c>
      <c r="P653" s="11">
        <f t="array" ref="P653">TRIM(_xlfn.XLOOKUP(非皮卡压缩表[[#This Row],[BACKSIZE]],ALL尺码表[内部尺码],ALL尺码表[通用尺码]))</f>
        <v/>
      </c>
    </row>
    <row r="654">
      <c r="A654" s="17" t="inlineStr">
        <is>
          <t>ALL</t>
        </is>
      </c>
      <c r="B654" s="18" t="inlineStr">
        <is>
          <t>Jeep Liberty</t>
        </is>
      </c>
      <c r="C654" s="18" t="inlineStr">
        <is>
          <t>Jeep</t>
        </is>
      </c>
      <c r="D654" s="18" t="inlineStr">
        <is>
          <t>Liberty</t>
        </is>
      </c>
      <c r="E654" s="18" t="inlineStr">
        <is>
          <t>2002-2012</t>
        </is>
      </c>
      <c r="F654" s="18" t="inlineStr"/>
      <c r="G654" s="18" t="inlineStr">
        <is>
          <t>SUV</t>
        </is>
      </c>
      <c r="H654" s="18" t="inlineStr">
        <is>
          <t>YM+</t>
        </is>
      </c>
      <c r="I654" s="19">
        <f t="array" ref="I654">TRIM(_xlfn.XLOOKUP(非皮卡压缩表[[#This Row],[BACKSIZE]],ALL尺码表[内部尺码],ALL尺码表[分类],""))</f>
        <v/>
      </c>
      <c r="J654" s="19">
        <f t="array" ref="J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4" s="20">
        <f>LEN(非皮卡压缩表[[#This Row],[LONG-TYPE]])</f>
        <v/>
      </c>
      <c r="L654" s="21">
        <f t="array" ref="L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4" s="22">
        <f>LEN(非皮卡压缩表[[#This Row],[TYPE]])</f>
        <v/>
      </c>
      <c r="N654" s="22">
        <f t="array" ref="N654">_xlfn.XLOOKUP(非皮卡压缩表[[#This Row],[MODEL]],MODEL缩写表[长MODEL],MODEL缩写表[短MODEL],非皮卡压缩表[[#This Row],[MODEL]])</f>
        <v/>
      </c>
      <c r="O654" s="22">
        <f>LEN(非皮卡压缩表[[#This Row],[SHORT-MODEL]])</f>
        <v/>
      </c>
      <c r="P654" s="11">
        <f t="array" ref="P654">TRIM(_xlfn.XLOOKUP(非皮卡压缩表[[#This Row],[BACKSIZE]],ALL尺码表[内部尺码],ALL尺码表[通用尺码]))</f>
        <v/>
      </c>
    </row>
    <row r="655">
      <c r="A655" s="17" t="inlineStr">
        <is>
          <t>ALL</t>
        </is>
      </c>
      <c r="B655" s="18" t="inlineStr">
        <is>
          <t>Jeep Patriot</t>
        </is>
      </c>
      <c r="C655" s="18" t="inlineStr">
        <is>
          <t>Jeep</t>
        </is>
      </c>
      <c r="D655" s="18" t="inlineStr">
        <is>
          <t>Patriot</t>
        </is>
      </c>
      <c r="E655" s="18" t="inlineStr">
        <is>
          <t>2007-2017</t>
        </is>
      </c>
      <c r="F655" s="18" t="inlineStr"/>
      <c r="G655" s="18" t="inlineStr">
        <is>
          <t>SUV</t>
        </is>
      </c>
      <c r="H655" s="18" t="inlineStr">
        <is>
          <t>YM+</t>
        </is>
      </c>
      <c r="I655" s="19">
        <f t="array" ref="I655">TRIM(_xlfn.XLOOKUP(非皮卡压缩表[[#This Row],[BACKSIZE]],ALL尺码表[内部尺码],ALL尺码表[分类],""))</f>
        <v/>
      </c>
      <c r="J655" s="19">
        <f t="array" ref="J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5" s="20">
        <f>LEN(非皮卡压缩表[[#This Row],[LONG-TYPE]])</f>
        <v/>
      </c>
      <c r="L655" s="21">
        <f t="array" ref="L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5" s="22">
        <f>LEN(非皮卡压缩表[[#This Row],[TYPE]])</f>
        <v/>
      </c>
      <c r="N655" s="22">
        <f t="array" ref="N655">_xlfn.XLOOKUP(非皮卡压缩表[[#This Row],[MODEL]],MODEL缩写表[长MODEL],MODEL缩写表[短MODEL],非皮卡压缩表[[#This Row],[MODEL]])</f>
        <v/>
      </c>
      <c r="O655" s="22">
        <f>LEN(非皮卡压缩表[[#This Row],[SHORT-MODEL]])</f>
        <v/>
      </c>
      <c r="P655" s="11">
        <f t="array" ref="P655">TRIM(_xlfn.XLOOKUP(非皮卡压缩表[[#This Row],[BACKSIZE]],ALL尺码表[内部尺码],ALL尺码表[通用尺码]))</f>
        <v/>
      </c>
    </row>
    <row r="656">
      <c r="A656" s="17" t="inlineStr">
        <is>
          <t>ALL</t>
        </is>
      </c>
      <c r="B656" s="18" t="inlineStr">
        <is>
          <t>Jeep Renegade</t>
        </is>
      </c>
      <c r="C656" s="18" t="inlineStr">
        <is>
          <t>Jeep</t>
        </is>
      </c>
      <c r="D656" s="18" t="inlineStr">
        <is>
          <t>Renegade</t>
        </is>
      </c>
      <c r="E656" s="18" t="inlineStr">
        <is>
          <t>2015-2023</t>
        </is>
      </c>
      <c r="F656" s="18" t="inlineStr"/>
      <c r="G656" s="18" t="inlineStr">
        <is>
          <t>SUV</t>
        </is>
      </c>
      <c r="H656" s="18" t="inlineStr">
        <is>
          <t>YM+</t>
        </is>
      </c>
      <c r="I656" s="19">
        <f t="array" ref="I656">TRIM(_xlfn.XLOOKUP(非皮卡压缩表[[#This Row],[BACKSIZE]],ALL尺码表[内部尺码],ALL尺码表[分类],""))</f>
        <v/>
      </c>
      <c r="J656" s="19">
        <f t="array" ref="J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6" s="20">
        <f>LEN(非皮卡压缩表[[#This Row],[LONG-TYPE]])</f>
        <v/>
      </c>
      <c r="L656" s="21">
        <f t="array" ref="L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6" s="22">
        <f>LEN(非皮卡压缩表[[#This Row],[TYPE]])</f>
        <v/>
      </c>
      <c r="N656" s="22">
        <f t="array" ref="N656">_xlfn.XLOOKUP(非皮卡压缩表[[#This Row],[MODEL]],MODEL缩写表[长MODEL],MODEL缩写表[短MODEL],非皮卡压缩表[[#This Row],[MODEL]])</f>
        <v/>
      </c>
      <c r="O656" s="22">
        <f>LEN(非皮卡压缩表[[#This Row],[SHORT-MODEL]])</f>
        <v/>
      </c>
      <c r="P656" s="11">
        <f t="array" ref="P656">TRIM(_xlfn.XLOOKUP(非皮卡压缩表[[#This Row],[BACKSIZE]],ALL尺码表[内部尺码],ALL尺码表[通用尺码]))</f>
        <v/>
      </c>
    </row>
    <row r="657">
      <c r="A657" s="17" t="inlineStr">
        <is>
          <t>ALL</t>
        </is>
      </c>
      <c r="B657" s="18" t="inlineStr">
        <is>
          <t>Jeep Wagoneer</t>
        </is>
      </c>
      <c r="C657" s="18" t="inlineStr">
        <is>
          <t>Jeep</t>
        </is>
      </c>
      <c r="D657" s="18" t="inlineStr">
        <is>
          <t>Wagoneer</t>
        </is>
      </c>
      <c r="E657" s="18" t="inlineStr">
        <is>
          <t>1963-1991</t>
        </is>
      </c>
      <c r="F657" s="18" t="inlineStr"/>
      <c r="G657" s="18" t="inlineStr">
        <is>
          <t>SUV</t>
        </is>
      </c>
      <c r="H657" s="18" t="inlineStr">
        <is>
          <t>YL</t>
        </is>
      </c>
      <c r="I657" s="19">
        <f t="array" ref="I657">TRIM(_xlfn.XLOOKUP(非皮卡压缩表[[#This Row],[BACKSIZE]],ALL尺码表[内部尺码],ALL尺码表[分类],""))</f>
        <v/>
      </c>
      <c r="J657" s="19">
        <f t="array" ref="J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7" s="20">
        <f>LEN(非皮卡压缩表[[#This Row],[LONG-TYPE]])</f>
        <v/>
      </c>
      <c r="L657" s="21">
        <f t="array" ref="L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7" s="22">
        <f>LEN(非皮卡压缩表[[#This Row],[TYPE]])</f>
        <v/>
      </c>
      <c r="N657" s="22">
        <f t="array" ref="N657">_xlfn.XLOOKUP(非皮卡压缩表[[#This Row],[MODEL]],MODEL缩写表[长MODEL],MODEL缩写表[短MODEL],非皮卡压缩表[[#This Row],[MODEL]])</f>
        <v/>
      </c>
      <c r="O657" s="22">
        <f>LEN(非皮卡压缩表[[#This Row],[SHORT-MODEL]])</f>
        <v/>
      </c>
      <c r="P657" s="11">
        <f t="array" ref="P657">TRIM(_xlfn.XLOOKUP(非皮卡压缩表[[#This Row],[BACKSIZE]],ALL尺码表[内部尺码],ALL尺码表[通用尺码]))</f>
        <v/>
      </c>
    </row>
    <row r="658">
      <c r="A658" s="17" t="inlineStr">
        <is>
          <t>ALL</t>
        </is>
      </c>
      <c r="B658" s="18" t="inlineStr">
        <is>
          <t>Jeep Wagoneer</t>
        </is>
      </c>
      <c r="C658" s="18" t="inlineStr">
        <is>
          <t>Jeep</t>
        </is>
      </c>
      <c r="D658" s="18" t="inlineStr">
        <is>
          <t>Wagoneer</t>
        </is>
      </c>
      <c r="E658" s="18" t="inlineStr">
        <is>
          <t>2023-2025</t>
        </is>
      </c>
      <c r="F658" s="18" t="inlineStr">
        <is>
          <t>Incl: L</t>
        </is>
      </c>
      <c r="G658" s="18" t="inlineStr">
        <is>
          <t>SUV</t>
        </is>
      </c>
      <c r="H658" s="18" t="inlineStr">
        <is>
          <t>YXXL-585</t>
        </is>
      </c>
      <c r="I658" s="19">
        <f t="array" ref="I658">TRIM(_xlfn.XLOOKUP(非皮卡压缩表[[#This Row],[BACKSIZE]],ALL尺码表[内部尺码],ALL尺码表[分类],""))</f>
        <v/>
      </c>
      <c r="J658" s="19">
        <f t="array" ref="J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8" s="20">
        <f>LEN(非皮卡压缩表[[#This Row],[LONG-TYPE]])</f>
        <v/>
      </c>
      <c r="L658" s="21">
        <f t="array" ref="L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8" s="22">
        <f>LEN(非皮卡压缩表[[#This Row],[TYPE]])</f>
        <v/>
      </c>
      <c r="N658" s="22">
        <f t="array" ref="N658">_xlfn.XLOOKUP(非皮卡压缩表[[#This Row],[MODEL]],MODEL缩写表[长MODEL],MODEL缩写表[短MODEL],非皮卡压缩表[[#This Row],[MODEL]])</f>
        <v/>
      </c>
      <c r="O658" s="22">
        <f>LEN(非皮卡压缩表[[#This Row],[SHORT-MODEL]])</f>
        <v/>
      </c>
      <c r="P658" s="11">
        <f t="array" ref="P658">TRIM(_xlfn.XLOOKUP(非皮卡压缩表[[#This Row],[BACKSIZE]],ALL尺码表[内部尺码],ALL尺码表[通用尺码]))</f>
        <v/>
      </c>
    </row>
    <row r="659">
      <c r="A659" s="17" t="inlineStr">
        <is>
          <t>ALL</t>
        </is>
      </c>
      <c r="B659" s="18" t="inlineStr">
        <is>
          <t>Jeep Wagoneer S</t>
        </is>
      </c>
      <c r="C659" s="18" t="inlineStr">
        <is>
          <t>Jeep</t>
        </is>
      </c>
      <c r="D659" s="18" t="inlineStr">
        <is>
          <t>Wagoneer S</t>
        </is>
      </c>
      <c r="E659" s="18" t="inlineStr">
        <is>
          <t>2025-2026</t>
        </is>
      </c>
      <c r="F659" s="18" t="inlineStr"/>
      <c r="G659" s="18" t="inlineStr">
        <is>
          <t>SUV</t>
        </is>
      </c>
      <c r="H659" s="18" t="inlineStr">
        <is>
          <t>YXL</t>
        </is>
      </c>
      <c r="I659" s="19">
        <f t="array" ref="I659">TRIM(_xlfn.XLOOKUP(非皮卡压缩表[[#This Row],[BACKSIZE]],ALL尺码表[内部尺码],ALL尺码表[分类],""))</f>
        <v/>
      </c>
      <c r="J659" s="19">
        <f t="array" ref="J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9" s="20">
        <f>LEN(非皮卡压缩表[[#This Row],[LONG-TYPE]])</f>
        <v/>
      </c>
      <c r="L659" s="21">
        <f t="array" ref="L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9" s="22">
        <f>LEN(非皮卡压缩表[[#This Row],[TYPE]])</f>
        <v/>
      </c>
      <c r="N659" s="22">
        <f t="array" ref="N659">_xlfn.XLOOKUP(非皮卡压缩表[[#This Row],[MODEL]],MODEL缩写表[长MODEL],MODEL缩写表[短MODEL],非皮卡压缩表[[#This Row],[MODEL]])</f>
        <v/>
      </c>
      <c r="O659" s="22">
        <f>LEN(非皮卡压缩表[[#This Row],[SHORT-MODEL]])</f>
        <v/>
      </c>
      <c r="P659" s="11">
        <f t="array" ref="P659">TRIM(_xlfn.XLOOKUP(非皮卡压缩表[[#This Row],[BACKSIZE]],ALL尺码表[内部尺码],ALL尺码表[通用尺码]))</f>
        <v/>
      </c>
    </row>
    <row r="660" ht="30" customHeight="1" s="23">
      <c r="A660" s="17" t="inlineStr">
        <is>
          <t>ALL</t>
        </is>
      </c>
      <c r="B660" s="18" t="inlineStr">
        <is>
          <t>Jeep Wrangler</t>
        </is>
      </c>
      <c r="C660" s="18" t="inlineStr">
        <is>
          <t>Jeep</t>
        </is>
      </c>
      <c r="D660" s="18" t="inlineStr">
        <is>
          <t>Wrangler</t>
        </is>
      </c>
      <c r="E660" s="18" t="inlineStr">
        <is>
          <t>1987-2012</t>
        </is>
      </c>
      <c r="F660" s="18" t="inlineStr"/>
      <c r="G660" s="18" t="inlineStr">
        <is>
          <t>2dr SUV</t>
        </is>
      </c>
      <c r="H660" s="18" t="inlineStr">
        <is>
          <t>无可用尺码</t>
        </is>
      </c>
      <c r="I660" s="19">
        <f t="array" ref="I660">TRIM(_xlfn.XLOOKUP(非皮卡压缩表[[#This Row],[BACKSIZE]],ALL尺码表[内部尺码],ALL尺码表[分类],""))</f>
        <v/>
      </c>
      <c r="J660" s="19">
        <f t="array" ref="J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0" s="20">
        <f>LEN(非皮卡压缩表[[#This Row],[LONG-TYPE]])</f>
        <v/>
      </c>
      <c r="L660" s="21">
        <f t="array" ref="L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0" s="22">
        <f>LEN(非皮卡压缩表[[#This Row],[TYPE]])</f>
        <v/>
      </c>
      <c r="N660" s="22">
        <f t="array" ref="N660">_xlfn.XLOOKUP(非皮卡压缩表[[#This Row],[MODEL]],MODEL缩写表[长MODEL],MODEL缩写表[短MODEL],非皮卡压缩表[[#This Row],[MODEL]])</f>
        <v/>
      </c>
      <c r="O660" s="22">
        <f>LEN(非皮卡压缩表[[#This Row],[SHORT-MODEL]])</f>
        <v/>
      </c>
      <c r="P660" s="11">
        <f t="array" ref="P660">TRIM(_xlfn.XLOOKUP(非皮卡压缩表[[#This Row],[BACKSIZE]],ALL尺码表[内部尺码],ALL尺码表[通用尺码]))</f>
        <v/>
      </c>
    </row>
    <row r="661" ht="30" customHeight="1" s="23">
      <c r="A661" s="17" t="inlineStr">
        <is>
          <t>ALL</t>
        </is>
      </c>
      <c r="B661" s="18" t="inlineStr">
        <is>
          <t>Jeep Wrangler</t>
        </is>
      </c>
      <c r="C661" s="18" t="inlineStr">
        <is>
          <t>Jeep</t>
        </is>
      </c>
      <c r="D661" s="18" t="inlineStr">
        <is>
          <t>Wrangler</t>
        </is>
      </c>
      <c r="E661" s="18" t="inlineStr">
        <is>
          <t>2004-2012</t>
        </is>
      </c>
      <c r="F661" s="18" t="inlineStr">
        <is>
          <t>Rubicon/Unlimited</t>
        </is>
      </c>
      <c r="G661" s="18" t="inlineStr">
        <is>
          <t>2dr SUV/4dr SUV</t>
        </is>
      </c>
      <c r="H661" s="18" t="inlineStr">
        <is>
          <t>YM+</t>
        </is>
      </c>
      <c r="I661" s="19">
        <f t="array" ref="I661">TRIM(_xlfn.XLOOKUP(非皮卡压缩表[[#This Row],[BACKSIZE]],ALL尺码表[内部尺码],ALL尺码表[分类],""))</f>
        <v/>
      </c>
      <c r="J661" s="19">
        <f t="array" ref="J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1" s="20">
        <f>LEN(非皮卡压缩表[[#This Row],[LONG-TYPE]])</f>
        <v/>
      </c>
      <c r="L661" s="21">
        <f t="array" ref="L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1" s="22">
        <f>LEN(非皮卡压缩表[[#This Row],[TYPE]])</f>
        <v/>
      </c>
      <c r="N661" s="22">
        <f t="array" ref="N661">_xlfn.XLOOKUP(非皮卡压缩表[[#This Row],[MODEL]],MODEL缩写表[长MODEL],MODEL缩写表[短MODEL],非皮卡压缩表[[#This Row],[MODEL]])</f>
        <v/>
      </c>
      <c r="O661" s="22">
        <f>LEN(非皮卡压缩表[[#This Row],[SHORT-MODEL]])</f>
        <v/>
      </c>
      <c r="P661" s="11">
        <f t="array" ref="P661">TRIM(_xlfn.XLOOKUP(非皮卡压缩表[[#This Row],[BACKSIZE]],ALL尺码表[内部尺码],ALL尺码表[通用尺码]))</f>
        <v/>
      </c>
    </row>
    <row r="662">
      <c r="A662" s="17" t="inlineStr">
        <is>
          <t>ALL</t>
        </is>
      </c>
      <c r="B662" s="18" t="inlineStr">
        <is>
          <t>Jeep Wrangler</t>
        </is>
      </c>
      <c r="C662" s="18" t="inlineStr">
        <is>
          <t>Jeep</t>
        </is>
      </c>
      <c r="D662" s="18" t="inlineStr">
        <is>
          <t>Wrangler</t>
        </is>
      </c>
      <c r="E662" s="18" t="inlineStr">
        <is>
          <t>2013-2026</t>
        </is>
      </c>
      <c r="F662" s="18" t="inlineStr">
        <is>
          <t>Rubicon/Unlimited</t>
        </is>
      </c>
      <c r="G662" s="18" t="inlineStr">
        <is>
          <t>4dr SUV</t>
        </is>
      </c>
      <c r="H662" s="18" t="inlineStr">
        <is>
          <t>YL</t>
        </is>
      </c>
      <c r="I662" s="19">
        <f t="array" ref="I662">TRIM(_xlfn.XLOOKUP(非皮卡压缩表[[#This Row],[BACKSIZE]],ALL尺码表[内部尺码],ALL尺码表[分类],""))</f>
        <v/>
      </c>
      <c r="J662" s="19">
        <f t="array" ref="J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2" s="20">
        <f>LEN(非皮卡压缩表[[#This Row],[LONG-TYPE]])</f>
        <v/>
      </c>
      <c r="L662" s="21">
        <f t="array" ref="L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2" s="22">
        <f>LEN(非皮卡压缩表[[#This Row],[TYPE]])</f>
        <v/>
      </c>
      <c r="N662" s="22">
        <f t="array" ref="N662">_xlfn.XLOOKUP(非皮卡压缩表[[#This Row],[MODEL]],MODEL缩写表[长MODEL],MODEL缩写表[短MODEL],非皮卡压缩表[[#This Row],[MODEL]])</f>
        <v/>
      </c>
      <c r="O662" s="22">
        <f>LEN(非皮卡压缩表[[#This Row],[SHORT-MODEL]])</f>
        <v/>
      </c>
      <c r="P662" s="11">
        <f t="array" ref="P662">TRIM(_xlfn.XLOOKUP(非皮卡压缩表[[#This Row],[BACKSIZE]],ALL尺码表[内部尺码],ALL尺码表[通用尺码]))</f>
        <v/>
      </c>
    </row>
    <row r="663">
      <c r="A663" s="17" t="inlineStr">
        <is>
          <t>ALL</t>
        </is>
      </c>
      <c r="B663" s="18" t="inlineStr">
        <is>
          <t>Jeep Wrangler</t>
        </is>
      </c>
      <c r="C663" s="18" t="inlineStr">
        <is>
          <t>Jeep</t>
        </is>
      </c>
      <c r="D663" s="18" t="inlineStr">
        <is>
          <t>Wrangler</t>
        </is>
      </c>
      <c r="E663" s="18" t="inlineStr">
        <is>
          <t>2013-2026</t>
        </is>
      </c>
      <c r="F663" s="18" t="inlineStr">
        <is>
          <t>Incl: Xtreme</t>
        </is>
      </c>
      <c r="G663" s="18" t="inlineStr">
        <is>
          <t>2dr SUV</t>
        </is>
      </c>
      <c r="H663" s="18" t="inlineStr">
        <is>
          <t>YM+</t>
        </is>
      </c>
      <c r="I663" s="19">
        <f t="array" ref="I663">TRIM(_xlfn.XLOOKUP(非皮卡压缩表[[#This Row],[BACKSIZE]],ALL尺码表[内部尺码],ALL尺码表[分类],""))</f>
        <v/>
      </c>
      <c r="J663" s="19">
        <f t="array" ref="J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3" s="20">
        <f>LEN(非皮卡压缩表[[#This Row],[LONG-TYPE]])</f>
        <v/>
      </c>
      <c r="L663" s="21">
        <f t="array" ref="L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3" s="22">
        <f>LEN(非皮卡压缩表[[#This Row],[TYPE]])</f>
        <v/>
      </c>
      <c r="N663" s="22">
        <f t="array" ref="N663">_xlfn.XLOOKUP(非皮卡压缩表[[#This Row],[MODEL]],MODEL缩写表[长MODEL],MODEL缩写表[短MODEL],非皮卡压缩表[[#This Row],[MODEL]])</f>
        <v/>
      </c>
      <c r="O663" s="22">
        <f>LEN(非皮卡压缩表[[#This Row],[SHORT-MODEL]])</f>
        <v/>
      </c>
      <c r="P663" s="11">
        <f t="array" ref="P663">TRIM(_xlfn.XLOOKUP(非皮卡压缩表[[#This Row],[BACKSIZE]],ALL尺码表[内部尺码],ALL尺码表[通用尺码]))</f>
        <v/>
      </c>
    </row>
    <row r="664">
      <c r="A664" s="17" t="inlineStr">
        <is>
          <t>ALL</t>
        </is>
      </c>
      <c r="B664" s="18" t="inlineStr">
        <is>
          <t>Jeep Wrangler</t>
        </is>
      </c>
      <c r="C664" s="18" t="inlineStr">
        <is>
          <t>Jeep</t>
        </is>
      </c>
      <c r="D664" s="18" t="inlineStr">
        <is>
          <t>Wrangler</t>
        </is>
      </c>
      <c r="E664" s="18" t="inlineStr">
        <is>
          <t>2024-2026</t>
        </is>
      </c>
      <c r="F664" s="18" t="inlineStr">
        <is>
          <t>Xtreme</t>
        </is>
      </c>
      <c r="G664" s="18" t="inlineStr">
        <is>
          <t>4dr SUV</t>
        </is>
      </c>
      <c r="H664" s="18" t="inlineStr">
        <is>
          <t>YXL</t>
        </is>
      </c>
      <c r="I664" s="19">
        <f t="array" ref="I664">TRIM(_xlfn.XLOOKUP(非皮卡压缩表[[#This Row],[BACKSIZE]],ALL尺码表[内部尺码],ALL尺码表[分类],""))</f>
        <v/>
      </c>
      <c r="J664" s="19">
        <f t="array" ref="J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4" s="20">
        <f>LEN(非皮卡压缩表[[#This Row],[LONG-TYPE]])</f>
        <v/>
      </c>
      <c r="L664" s="21">
        <f t="array" ref="L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4" s="22">
        <f>LEN(非皮卡压缩表[[#This Row],[TYPE]])</f>
        <v/>
      </c>
      <c r="N664" s="22">
        <f t="array" ref="N664">_xlfn.XLOOKUP(非皮卡压缩表[[#This Row],[MODEL]],MODEL缩写表[长MODEL],MODEL缩写表[短MODEL],非皮卡压缩表[[#This Row],[MODEL]])</f>
        <v/>
      </c>
      <c r="O664" s="22">
        <f>LEN(非皮卡压缩表[[#This Row],[SHORT-MODEL]])</f>
        <v/>
      </c>
      <c r="P664" s="11">
        <f t="array" ref="P664">TRIM(_xlfn.XLOOKUP(非皮卡压缩表[[#This Row],[BACKSIZE]],ALL尺码表[内部尺码],ALL尺码表[通用尺码]))</f>
        <v/>
      </c>
    </row>
    <row r="665">
      <c r="A665" s="17" t="inlineStr">
        <is>
          <t>ALL</t>
        </is>
      </c>
      <c r="B665" s="18" t="inlineStr">
        <is>
          <t>Karma Automotive GS-6</t>
        </is>
      </c>
      <c r="C665" s="18" t="inlineStr">
        <is>
          <t>Karma Automotive</t>
        </is>
      </c>
      <c r="D665" s="18" t="inlineStr">
        <is>
          <t>GS-6</t>
        </is>
      </c>
      <c r="E665" s="18" t="inlineStr">
        <is>
          <t>2021-2022</t>
        </is>
      </c>
      <c r="F665" s="18" t="inlineStr"/>
      <c r="G665" s="18" t="inlineStr">
        <is>
          <t>Sedan</t>
        </is>
      </c>
      <c r="H665" s="18" t="inlineStr">
        <is>
          <t>3XXL</t>
        </is>
      </c>
      <c r="I665" s="19">
        <f t="array" ref="I665">TRIM(_xlfn.XLOOKUP(非皮卡压缩表[[#This Row],[BACKSIZE]],ALL尺码表[内部尺码],ALL尺码表[分类],""))</f>
        <v/>
      </c>
      <c r="J665" s="19">
        <f t="array" ref="J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5" s="20">
        <f>LEN(非皮卡压缩表[[#This Row],[LONG-TYPE]])</f>
        <v/>
      </c>
      <c r="L665" s="21">
        <f t="array" ref="L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5" s="22">
        <f>LEN(非皮卡压缩表[[#This Row],[TYPE]])</f>
        <v/>
      </c>
      <c r="N665" s="22">
        <f t="array" ref="N665">_xlfn.XLOOKUP(非皮卡压缩表[[#This Row],[MODEL]],MODEL缩写表[长MODEL],MODEL缩写表[短MODEL],非皮卡压缩表[[#This Row],[MODEL]])</f>
        <v/>
      </c>
      <c r="O665" s="22">
        <f>LEN(非皮卡压缩表[[#This Row],[SHORT-MODEL]])</f>
        <v/>
      </c>
      <c r="P665" s="11">
        <f t="array" ref="P665">TRIM(_xlfn.XLOOKUP(非皮卡压缩表[[#This Row],[BACKSIZE]],ALL尺码表[内部尺码],ALL尺码表[通用尺码]))</f>
        <v/>
      </c>
    </row>
    <row r="666">
      <c r="A666" s="17" t="inlineStr">
        <is>
          <t>ALL</t>
        </is>
      </c>
      <c r="B666" s="18" t="inlineStr">
        <is>
          <t>Karma Automotive Revero</t>
        </is>
      </c>
      <c r="C666" s="18" t="inlineStr">
        <is>
          <t>Karma Automotive</t>
        </is>
      </c>
      <c r="D666" s="18" t="inlineStr">
        <is>
          <t>Revero</t>
        </is>
      </c>
      <c r="E666" s="18" t="inlineStr">
        <is>
          <t>2017-2025</t>
        </is>
      </c>
      <c r="F666" s="18" t="inlineStr">
        <is>
          <t>Incl: GT/GTS</t>
        </is>
      </c>
      <c r="G666" s="18" t="inlineStr">
        <is>
          <t>Sedan</t>
        </is>
      </c>
      <c r="H666" s="18" t="inlineStr">
        <is>
          <t>3XXL</t>
        </is>
      </c>
      <c r="I666" s="19">
        <f t="array" ref="I666">TRIM(_xlfn.XLOOKUP(非皮卡压缩表[[#This Row],[BACKSIZE]],ALL尺码表[内部尺码],ALL尺码表[分类],""))</f>
        <v/>
      </c>
      <c r="J666" s="19">
        <f t="array" ref="J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6" s="20">
        <f>LEN(非皮卡压缩表[[#This Row],[LONG-TYPE]])</f>
        <v/>
      </c>
      <c r="L666" s="21">
        <f t="array" ref="L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6" s="22">
        <f>LEN(非皮卡压缩表[[#This Row],[TYPE]])</f>
        <v/>
      </c>
      <c r="N666" s="22">
        <f t="array" ref="N666">_xlfn.XLOOKUP(非皮卡压缩表[[#This Row],[MODEL]],MODEL缩写表[长MODEL],MODEL缩写表[短MODEL],非皮卡压缩表[[#This Row],[MODEL]])</f>
        <v/>
      </c>
      <c r="O666" s="22">
        <f>LEN(非皮卡压缩表[[#This Row],[SHORT-MODEL]])</f>
        <v/>
      </c>
      <c r="P666" s="11">
        <f t="array" ref="P666">TRIM(_xlfn.XLOOKUP(非皮卡压缩表[[#This Row],[BACKSIZE]],ALL尺码表[内部尺码],ALL尺码表[通用尺码]))</f>
        <v/>
      </c>
    </row>
    <row r="667">
      <c r="A667" s="17" t="inlineStr">
        <is>
          <t>ALL</t>
        </is>
      </c>
      <c r="B667" s="18" t="inlineStr">
        <is>
          <t>Kia Amanti</t>
        </is>
      </c>
      <c r="C667" s="18" t="inlineStr">
        <is>
          <t>Kia</t>
        </is>
      </c>
      <c r="D667" s="18" t="inlineStr">
        <is>
          <t>Amanti</t>
        </is>
      </c>
      <c r="E667" s="18" t="inlineStr">
        <is>
          <t>2004-2009</t>
        </is>
      </c>
      <c r="F667" s="18" t="inlineStr"/>
      <c r="G667" s="18" t="inlineStr">
        <is>
          <t>Sedan</t>
        </is>
      </c>
      <c r="H667" s="18" t="inlineStr">
        <is>
          <t>3XXL</t>
        </is>
      </c>
      <c r="I667" s="19">
        <f t="array" ref="I667">TRIM(_xlfn.XLOOKUP(非皮卡压缩表[[#This Row],[BACKSIZE]],ALL尺码表[内部尺码],ALL尺码表[分类],""))</f>
        <v/>
      </c>
      <c r="J667" s="19">
        <f t="array" ref="J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7" s="20">
        <f>LEN(非皮卡压缩表[[#This Row],[LONG-TYPE]])</f>
        <v/>
      </c>
      <c r="L667" s="21">
        <f t="array" ref="L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7" s="22">
        <f>LEN(非皮卡压缩表[[#This Row],[TYPE]])</f>
        <v/>
      </c>
      <c r="N667" s="22">
        <f t="array" ref="N667">_xlfn.XLOOKUP(非皮卡压缩表[[#This Row],[MODEL]],MODEL缩写表[长MODEL],MODEL缩写表[短MODEL],非皮卡压缩表[[#This Row],[MODEL]])</f>
        <v/>
      </c>
      <c r="O667" s="22">
        <f>LEN(非皮卡压缩表[[#This Row],[SHORT-MODEL]])</f>
        <v/>
      </c>
      <c r="P667" s="11">
        <f t="array" ref="P667">TRIM(_xlfn.XLOOKUP(非皮卡压缩表[[#This Row],[BACKSIZE]],ALL尺码表[内部尺码],ALL尺码表[通用尺码]))</f>
        <v/>
      </c>
    </row>
    <row r="668">
      <c r="A668" s="17" t="inlineStr">
        <is>
          <t>ALL</t>
        </is>
      </c>
      <c r="B668" s="18" t="inlineStr">
        <is>
          <t>Kia Borrego</t>
        </is>
      </c>
      <c r="C668" s="18" t="inlineStr">
        <is>
          <t>Kia</t>
        </is>
      </c>
      <c r="D668" s="18" t="inlineStr">
        <is>
          <t>Borrego</t>
        </is>
      </c>
      <c r="E668" s="18" t="inlineStr">
        <is>
          <t>2009</t>
        </is>
      </c>
      <c r="F668" s="18" t="inlineStr"/>
      <c r="G668" s="18" t="inlineStr">
        <is>
          <t>SUV</t>
        </is>
      </c>
      <c r="H668" s="18" t="inlineStr">
        <is>
          <t>YXL</t>
        </is>
      </c>
      <c r="I668" s="19">
        <f t="array" ref="I668">TRIM(_xlfn.XLOOKUP(非皮卡压缩表[[#This Row],[BACKSIZE]],ALL尺码表[内部尺码],ALL尺码表[分类],""))</f>
        <v/>
      </c>
      <c r="J668" s="19">
        <f t="array" ref="J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8" s="20">
        <f>LEN(非皮卡压缩表[[#This Row],[LONG-TYPE]])</f>
        <v/>
      </c>
      <c r="L668" s="21">
        <f t="array" ref="L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8" s="22">
        <f>LEN(非皮卡压缩表[[#This Row],[TYPE]])</f>
        <v/>
      </c>
      <c r="N668" s="22">
        <f t="array" ref="N668">_xlfn.XLOOKUP(非皮卡压缩表[[#This Row],[MODEL]],MODEL缩写表[长MODEL],MODEL缩写表[短MODEL],非皮卡压缩表[[#This Row],[MODEL]])</f>
        <v/>
      </c>
      <c r="O668" s="22">
        <f>LEN(非皮卡压缩表[[#This Row],[SHORT-MODEL]])</f>
        <v/>
      </c>
      <c r="P668" s="11">
        <f t="array" ref="P668">TRIM(_xlfn.XLOOKUP(非皮卡压缩表[[#This Row],[BACKSIZE]],ALL尺码表[内部尺码],ALL尺码表[通用尺码]))</f>
        <v/>
      </c>
    </row>
    <row r="669">
      <c r="A669" s="17" t="inlineStr">
        <is>
          <t>ALL</t>
        </is>
      </c>
      <c r="B669" s="18" t="inlineStr">
        <is>
          <t>Kia Cadenza</t>
        </is>
      </c>
      <c r="C669" s="18" t="inlineStr">
        <is>
          <t>Kia</t>
        </is>
      </c>
      <c r="D669" s="18" t="inlineStr">
        <is>
          <t>Cadenza</t>
        </is>
      </c>
      <c r="E669" s="18" t="inlineStr">
        <is>
          <t>2014-2020</t>
        </is>
      </c>
      <c r="F669" s="18" t="inlineStr"/>
      <c r="G669" s="18" t="inlineStr">
        <is>
          <t>Sedan</t>
        </is>
      </c>
      <c r="H669" s="18" t="inlineStr">
        <is>
          <t>3XXL</t>
        </is>
      </c>
      <c r="I669" s="19">
        <f t="array" ref="I669">TRIM(_xlfn.XLOOKUP(非皮卡压缩表[[#This Row],[BACKSIZE]],ALL尺码表[内部尺码],ALL尺码表[分类],""))</f>
        <v/>
      </c>
      <c r="J669" s="19">
        <f t="array" ref="J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9" s="20">
        <f>LEN(非皮卡压缩表[[#This Row],[LONG-TYPE]])</f>
        <v/>
      </c>
      <c r="L669" s="21">
        <f t="array" ref="L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9" s="22">
        <f>LEN(非皮卡压缩表[[#This Row],[TYPE]])</f>
        <v/>
      </c>
      <c r="N669" s="22">
        <f t="array" ref="N669">_xlfn.XLOOKUP(非皮卡压缩表[[#This Row],[MODEL]],MODEL缩写表[长MODEL],MODEL缩写表[短MODEL],非皮卡压缩表[[#This Row],[MODEL]])</f>
        <v/>
      </c>
      <c r="O669" s="22">
        <f>LEN(非皮卡压缩表[[#This Row],[SHORT-MODEL]])</f>
        <v/>
      </c>
      <c r="P669" s="11">
        <f t="array" ref="P669">TRIM(_xlfn.XLOOKUP(非皮卡压缩表[[#This Row],[BACKSIZE]],ALL尺码表[内部尺码],ALL尺码表[通用尺码]))</f>
        <v/>
      </c>
    </row>
    <row r="670">
      <c r="A670" s="17" t="inlineStr">
        <is>
          <t>ALL</t>
        </is>
      </c>
      <c r="B670" s="18" t="inlineStr">
        <is>
          <t>Kia Carnival</t>
        </is>
      </c>
      <c r="C670" s="18" t="inlineStr">
        <is>
          <t>Kia</t>
        </is>
      </c>
      <c r="D670" s="18" t="inlineStr">
        <is>
          <t>Carnival</t>
        </is>
      </c>
      <c r="E670" s="18" t="inlineStr">
        <is>
          <t>2002-2005</t>
        </is>
      </c>
      <c r="F670" s="18" t="inlineStr">
        <is>
          <t>Sedona SWB</t>
        </is>
      </c>
      <c r="G670" s="18" t="inlineStr">
        <is>
          <t>Minivan</t>
        </is>
      </c>
      <c r="H670" s="18" t="inlineStr">
        <is>
          <t>2XL+</t>
        </is>
      </c>
      <c r="I670" s="19">
        <f t="array" ref="I670">TRIM(_xlfn.XLOOKUP(非皮卡压缩表[[#This Row],[BACKSIZE]],ALL尺码表[内部尺码],ALL尺码表[分类],""))</f>
        <v/>
      </c>
      <c r="J670" s="19">
        <f t="array" ref="J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0" s="20">
        <f>LEN(非皮卡压缩表[[#This Row],[LONG-TYPE]])</f>
        <v/>
      </c>
      <c r="L670" s="21">
        <f t="array" ref="L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0" s="22">
        <f>LEN(非皮卡压缩表[[#This Row],[TYPE]])</f>
        <v/>
      </c>
      <c r="N670" s="22">
        <f t="array" ref="N670">_xlfn.XLOOKUP(非皮卡压缩表[[#This Row],[MODEL]],MODEL缩写表[长MODEL],MODEL缩写表[短MODEL],非皮卡压缩表[[#This Row],[MODEL]])</f>
        <v/>
      </c>
      <c r="O670" s="22">
        <f>LEN(非皮卡压缩表[[#This Row],[SHORT-MODEL]])</f>
        <v/>
      </c>
      <c r="P670" s="11">
        <f t="array" ref="P670">TRIM(_xlfn.XLOOKUP(非皮卡压缩表[[#This Row],[BACKSIZE]],ALL尺码表[内部尺码],ALL尺码表[通用尺码]))</f>
        <v/>
      </c>
    </row>
    <row r="671">
      <c r="A671" s="17" t="inlineStr">
        <is>
          <t>ALL</t>
        </is>
      </c>
      <c r="B671" s="18" t="inlineStr">
        <is>
          <t>Kia Carnival</t>
        </is>
      </c>
      <c r="C671" s="18" t="inlineStr">
        <is>
          <t>Kia</t>
        </is>
      </c>
      <c r="D671" s="18" t="inlineStr">
        <is>
          <t>Carnival</t>
        </is>
      </c>
      <c r="E671" s="18" t="inlineStr">
        <is>
          <t>2007</t>
        </is>
      </c>
      <c r="F671" s="18" t="inlineStr">
        <is>
          <t>Sedona SWB</t>
        </is>
      </c>
      <c r="G671" s="18" t="inlineStr">
        <is>
          <t>Minivan</t>
        </is>
      </c>
      <c r="H671" s="18" t="inlineStr">
        <is>
          <t>2XL</t>
        </is>
      </c>
      <c r="I671" s="19">
        <f t="array" ref="I671">TRIM(_xlfn.XLOOKUP(非皮卡压缩表[[#This Row],[BACKSIZE]],ALL尺码表[内部尺码],ALL尺码表[分类],""))</f>
        <v/>
      </c>
      <c r="J671" s="19">
        <f t="array" ref="J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1" s="20">
        <f>LEN(非皮卡压缩表[[#This Row],[LONG-TYPE]])</f>
        <v/>
      </c>
      <c r="L671" s="21">
        <f t="array" ref="L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1" s="22">
        <f>LEN(非皮卡压缩表[[#This Row],[TYPE]])</f>
        <v/>
      </c>
      <c r="N671" s="22">
        <f t="array" ref="N671">_xlfn.XLOOKUP(非皮卡压缩表[[#This Row],[MODEL]],MODEL缩写表[长MODEL],MODEL缩写表[短MODEL],非皮卡压缩表[[#This Row],[MODEL]])</f>
        <v/>
      </c>
      <c r="O671" s="22">
        <f>LEN(非皮卡压缩表[[#This Row],[SHORT-MODEL]])</f>
        <v/>
      </c>
      <c r="P671" s="11">
        <f t="array" ref="P671">TRIM(_xlfn.XLOOKUP(非皮卡压缩表[[#This Row],[BACKSIZE]],ALL尺码表[内部尺码],ALL尺码表[通用尺码]))</f>
        <v/>
      </c>
    </row>
    <row r="672">
      <c r="A672" s="17" t="inlineStr">
        <is>
          <t>ALL</t>
        </is>
      </c>
      <c r="B672" s="18" t="inlineStr">
        <is>
          <t>Kia Carnival</t>
        </is>
      </c>
      <c r="C672" s="18" t="inlineStr">
        <is>
          <t>Kia</t>
        </is>
      </c>
      <c r="D672" s="18" t="inlineStr">
        <is>
          <t>Carnival</t>
        </is>
      </c>
      <c r="E672" s="18" t="inlineStr">
        <is>
          <t>2007-2026</t>
        </is>
      </c>
      <c r="F672" s="18" t="inlineStr">
        <is>
          <t>Incl: Sedona/Sedona LWB</t>
        </is>
      </c>
      <c r="G672" s="18" t="inlineStr">
        <is>
          <t>Minivan</t>
        </is>
      </c>
      <c r="H672" s="18" t="inlineStr">
        <is>
          <t>2XXL</t>
        </is>
      </c>
      <c r="I672" s="19">
        <f t="array" ref="I672">TRIM(_xlfn.XLOOKUP(非皮卡压缩表[[#This Row],[BACKSIZE]],ALL尺码表[内部尺码],ALL尺码表[分类],""))</f>
        <v/>
      </c>
      <c r="J672" s="19">
        <f t="array" ref="J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2" s="20">
        <f>LEN(非皮卡压缩表[[#This Row],[LONG-TYPE]])</f>
        <v/>
      </c>
      <c r="L672" s="21">
        <f t="array" ref="L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2" s="22">
        <f>LEN(非皮卡压缩表[[#This Row],[TYPE]])</f>
        <v/>
      </c>
      <c r="N672" s="22">
        <f t="array" ref="N672">_xlfn.XLOOKUP(非皮卡压缩表[[#This Row],[MODEL]],MODEL缩写表[长MODEL],MODEL缩写表[短MODEL],非皮卡压缩表[[#This Row],[MODEL]])</f>
        <v/>
      </c>
      <c r="O672" s="22">
        <f>LEN(非皮卡压缩表[[#This Row],[SHORT-MODEL]])</f>
        <v/>
      </c>
      <c r="P672" s="11">
        <f t="array" ref="P672">TRIM(_xlfn.XLOOKUP(非皮卡压缩表[[#This Row],[BACKSIZE]],ALL尺码表[内部尺码],ALL尺码表[通用尺码]))</f>
        <v/>
      </c>
    </row>
    <row r="673">
      <c r="A673" s="17" t="inlineStr">
        <is>
          <t>ALL</t>
        </is>
      </c>
      <c r="B673" s="18" t="inlineStr">
        <is>
          <t>Kia EV6</t>
        </is>
      </c>
      <c r="C673" s="18" t="inlineStr">
        <is>
          <t>Kia</t>
        </is>
      </c>
      <c r="D673" s="18" t="inlineStr">
        <is>
          <t>EV6</t>
        </is>
      </c>
      <c r="E673" s="18" t="inlineStr">
        <is>
          <t>2022-2026</t>
        </is>
      </c>
      <c r="F673" s="18" t="inlineStr"/>
      <c r="G673" s="18" t="inlineStr">
        <is>
          <t>CUV</t>
        </is>
      </c>
      <c r="H673" s="18" t="inlineStr">
        <is>
          <t>YL</t>
        </is>
      </c>
      <c r="I673" s="19">
        <f t="array" ref="I673">TRIM(_xlfn.XLOOKUP(非皮卡压缩表[[#This Row],[BACKSIZE]],ALL尺码表[内部尺码],ALL尺码表[分类],""))</f>
        <v/>
      </c>
      <c r="J673" s="19">
        <f t="array" ref="J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3" s="20">
        <f>LEN(非皮卡压缩表[[#This Row],[LONG-TYPE]])</f>
        <v/>
      </c>
      <c r="L673" s="21">
        <f t="array" ref="L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3" s="22">
        <f>LEN(非皮卡压缩表[[#This Row],[TYPE]])</f>
        <v/>
      </c>
      <c r="N673" s="22">
        <f t="array" ref="N673">_xlfn.XLOOKUP(非皮卡压缩表[[#This Row],[MODEL]],MODEL缩写表[长MODEL],MODEL缩写表[短MODEL],非皮卡压缩表[[#This Row],[MODEL]])</f>
        <v/>
      </c>
      <c r="O673" s="22">
        <f>LEN(非皮卡压缩表[[#This Row],[SHORT-MODEL]])</f>
        <v/>
      </c>
      <c r="P673" s="11">
        <f t="array" ref="P673">TRIM(_xlfn.XLOOKUP(非皮卡压缩表[[#This Row],[BACKSIZE]],ALL尺码表[内部尺码],ALL尺码表[通用尺码]))</f>
        <v/>
      </c>
    </row>
    <row r="674">
      <c r="A674" s="17" t="inlineStr">
        <is>
          <t>ALL</t>
        </is>
      </c>
      <c r="B674" s="18" t="inlineStr">
        <is>
          <t>Kia EV9</t>
        </is>
      </c>
      <c r="C674" s="18" t="inlineStr">
        <is>
          <t>Kia</t>
        </is>
      </c>
      <c r="D674" s="18" t="inlineStr">
        <is>
          <t>EV9</t>
        </is>
      </c>
      <c r="E674" s="18" t="inlineStr">
        <is>
          <t>2024-2026</t>
        </is>
      </c>
      <c r="F674" s="18" t="inlineStr"/>
      <c r="G674" s="18" t="inlineStr">
        <is>
          <t>SUV</t>
        </is>
      </c>
      <c r="H674" s="18" t="inlineStr">
        <is>
          <t>YXL</t>
        </is>
      </c>
      <c r="I674" s="19">
        <f t="array" ref="I674">TRIM(_xlfn.XLOOKUP(非皮卡压缩表[[#This Row],[BACKSIZE]],ALL尺码表[内部尺码],ALL尺码表[分类],""))</f>
        <v/>
      </c>
      <c r="J674" s="19">
        <f t="array" ref="J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4" s="20">
        <f>LEN(非皮卡压缩表[[#This Row],[LONG-TYPE]])</f>
        <v/>
      </c>
      <c r="L674" s="21">
        <f t="array" ref="L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4" s="22">
        <f>LEN(非皮卡压缩表[[#This Row],[TYPE]])</f>
        <v/>
      </c>
      <c r="N674" s="22">
        <f t="array" ref="N674">_xlfn.XLOOKUP(非皮卡压缩表[[#This Row],[MODEL]],MODEL缩写表[长MODEL],MODEL缩写表[短MODEL],非皮卡压缩表[[#This Row],[MODEL]])</f>
        <v/>
      </c>
      <c r="O674" s="22">
        <f>LEN(非皮卡压缩表[[#This Row],[SHORT-MODEL]])</f>
        <v/>
      </c>
      <c r="P674" s="11">
        <f t="array" ref="P674">TRIM(_xlfn.XLOOKUP(非皮卡压缩表[[#This Row],[BACKSIZE]],ALL尺码表[内部尺码],ALL尺码表[通用尺码]))</f>
        <v/>
      </c>
    </row>
    <row r="675">
      <c r="A675" s="17" t="inlineStr">
        <is>
          <t>ALL</t>
        </is>
      </c>
      <c r="B675" s="18" t="inlineStr">
        <is>
          <t>Kia Forte</t>
        </is>
      </c>
      <c r="C675" s="18" t="inlineStr">
        <is>
          <t>Kia</t>
        </is>
      </c>
      <c r="D675" s="18" t="inlineStr">
        <is>
          <t>Forte</t>
        </is>
      </c>
      <c r="E675" s="18" t="inlineStr">
        <is>
          <t>2010-2024</t>
        </is>
      </c>
      <c r="F675" s="18" t="inlineStr"/>
      <c r="G675" s="18" t="inlineStr">
        <is>
          <t>Sedan</t>
        </is>
      </c>
      <c r="H675" s="18" t="inlineStr">
        <is>
          <t>3L</t>
        </is>
      </c>
      <c r="I675" s="19">
        <f t="array" ref="I675">TRIM(_xlfn.XLOOKUP(非皮卡压缩表[[#This Row],[BACKSIZE]],ALL尺码表[内部尺码],ALL尺码表[分类],""))</f>
        <v/>
      </c>
      <c r="J675" s="19">
        <f t="array" ref="J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5" s="20">
        <f>LEN(非皮卡压缩表[[#This Row],[LONG-TYPE]])</f>
        <v/>
      </c>
      <c r="L675" s="21">
        <f t="array" ref="L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5" s="22">
        <f>LEN(非皮卡压缩表[[#This Row],[TYPE]])</f>
        <v/>
      </c>
      <c r="N675" s="22">
        <f t="array" ref="N675">_xlfn.XLOOKUP(非皮卡压缩表[[#This Row],[MODEL]],MODEL缩写表[长MODEL],MODEL缩写表[短MODEL],非皮卡压缩表[[#This Row],[MODEL]])</f>
        <v/>
      </c>
      <c r="O675" s="22">
        <f>LEN(非皮卡压缩表[[#This Row],[SHORT-MODEL]])</f>
        <v/>
      </c>
      <c r="P675" s="11">
        <f t="array" ref="P675">TRIM(_xlfn.XLOOKUP(非皮卡压缩表[[#This Row],[BACKSIZE]],ALL尺码表[内部尺码],ALL尺码表[通用尺码]))</f>
        <v/>
      </c>
    </row>
    <row r="676">
      <c r="A676" s="17" t="inlineStr">
        <is>
          <t>ALL</t>
        </is>
      </c>
      <c r="B676" s="18" t="inlineStr">
        <is>
          <t>Kia Forte</t>
        </is>
      </c>
      <c r="C676" s="18" t="inlineStr">
        <is>
          <t>Kia</t>
        </is>
      </c>
      <c r="D676" s="18" t="inlineStr">
        <is>
          <t>Forte</t>
        </is>
      </c>
      <c r="E676" s="18" t="inlineStr">
        <is>
          <t>2010-2013</t>
        </is>
      </c>
      <c r="F676" s="18" t="inlineStr"/>
      <c r="G676" s="18" t="inlineStr">
        <is>
          <t>Coupe</t>
        </is>
      </c>
      <c r="H676" s="18" t="inlineStr">
        <is>
          <t>3M-0</t>
        </is>
      </c>
      <c r="I676" s="19">
        <f t="array" ref="I676">TRIM(_xlfn.XLOOKUP(非皮卡压缩表[[#This Row],[BACKSIZE]],ALL尺码表[内部尺码],ALL尺码表[分类],""))</f>
        <v/>
      </c>
      <c r="J676" s="19">
        <f t="array" ref="J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6" s="20">
        <f>LEN(非皮卡压缩表[[#This Row],[LONG-TYPE]])</f>
        <v/>
      </c>
      <c r="L676" s="21">
        <f t="array" ref="L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6" s="22">
        <f>LEN(非皮卡压缩表[[#This Row],[TYPE]])</f>
        <v/>
      </c>
      <c r="N676" s="22">
        <f t="array" ref="N676">_xlfn.XLOOKUP(非皮卡压缩表[[#This Row],[MODEL]],MODEL缩写表[长MODEL],MODEL缩写表[短MODEL],非皮卡压缩表[[#This Row],[MODEL]])</f>
        <v/>
      </c>
      <c r="O676" s="22">
        <f>LEN(非皮卡压缩表[[#This Row],[SHORT-MODEL]])</f>
        <v/>
      </c>
      <c r="P676" s="11">
        <f t="array" ref="P676">TRIM(_xlfn.XLOOKUP(非皮卡压缩表[[#This Row],[BACKSIZE]],ALL尺码表[内部尺码],ALL尺码表[通用尺码]))</f>
        <v/>
      </c>
    </row>
    <row r="677">
      <c r="A677" s="17" t="inlineStr">
        <is>
          <t>ALL</t>
        </is>
      </c>
      <c r="B677" s="18" t="inlineStr">
        <is>
          <t>Kia Forte</t>
        </is>
      </c>
      <c r="C677" s="18" t="inlineStr">
        <is>
          <t>Kia</t>
        </is>
      </c>
      <c r="D677" s="18" t="inlineStr">
        <is>
          <t>Forte</t>
        </is>
      </c>
      <c r="E677" s="18" t="inlineStr">
        <is>
          <t>2014-2018</t>
        </is>
      </c>
      <c r="F677" s="18" t="inlineStr">
        <is>
          <t>Forte5</t>
        </is>
      </c>
      <c r="G677" s="18" t="inlineStr">
        <is>
          <t>Hatchback</t>
        </is>
      </c>
      <c r="H677" s="18" t="inlineStr">
        <is>
          <t>2L+</t>
        </is>
      </c>
      <c r="I677" s="19">
        <f t="array" ref="I677">TRIM(_xlfn.XLOOKUP(非皮卡压缩表[[#This Row],[BACKSIZE]],ALL尺码表[内部尺码],ALL尺码表[分类],""))</f>
        <v/>
      </c>
      <c r="J677" s="19">
        <f t="array" ref="J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7" s="20">
        <f>LEN(非皮卡压缩表[[#This Row],[LONG-TYPE]])</f>
        <v/>
      </c>
      <c r="L677" s="21">
        <f t="array" ref="L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7" s="22">
        <f>LEN(非皮卡压缩表[[#This Row],[TYPE]])</f>
        <v/>
      </c>
      <c r="N677" s="22">
        <f t="array" ref="N677">_xlfn.XLOOKUP(非皮卡压缩表[[#This Row],[MODEL]],MODEL缩写表[长MODEL],MODEL缩写表[短MODEL],非皮卡压缩表[[#This Row],[MODEL]])</f>
        <v/>
      </c>
      <c r="O677" s="22">
        <f>LEN(非皮卡压缩表[[#This Row],[SHORT-MODEL]])</f>
        <v/>
      </c>
      <c r="P677" s="11">
        <f t="array" ref="P677">TRIM(_xlfn.XLOOKUP(非皮卡压缩表[[#This Row],[BACKSIZE]],ALL尺码表[内部尺码],ALL尺码表[通用尺码]))</f>
        <v/>
      </c>
    </row>
    <row r="678">
      <c r="A678" s="17" t="inlineStr">
        <is>
          <t>ALL</t>
        </is>
      </c>
      <c r="B678" s="18" t="inlineStr">
        <is>
          <t>Kia Forte</t>
        </is>
      </c>
      <c r="C678" s="18" t="inlineStr">
        <is>
          <t>Kia</t>
        </is>
      </c>
      <c r="D678" s="18" t="inlineStr">
        <is>
          <t>Forte</t>
        </is>
      </c>
      <c r="E678" s="18" t="inlineStr">
        <is>
          <t>2014-2016</t>
        </is>
      </c>
      <c r="F678" s="18" t="inlineStr">
        <is>
          <t>Koup</t>
        </is>
      </c>
      <c r="G678" s="18" t="inlineStr">
        <is>
          <t>Coupe</t>
        </is>
      </c>
      <c r="H678" s="18" t="inlineStr">
        <is>
          <t>3L-0</t>
        </is>
      </c>
      <c r="I678" s="19">
        <f t="array" ref="I678">TRIM(_xlfn.XLOOKUP(非皮卡压缩表[[#This Row],[BACKSIZE]],ALL尺码表[内部尺码],ALL尺码表[分类],""))</f>
        <v/>
      </c>
      <c r="J678" s="19">
        <f t="array" ref="J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8" s="20">
        <f>LEN(非皮卡压缩表[[#This Row],[LONG-TYPE]])</f>
        <v/>
      </c>
      <c r="L678" s="21">
        <f t="array" ref="L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8" s="22">
        <f>LEN(非皮卡压缩表[[#This Row],[TYPE]])</f>
        <v/>
      </c>
      <c r="N678" s="22">
        <f t="array" ref="N678">_xlfn.XLOOKUP(非皮卡压缩表[[#This Row],[MODEL]],MODEL缩写表[长MODEL],MODEL缩写表[短MODEL],非皮卡压缩表[[#This Row],[MODEL]])</f>
        <v/>
      </c>
      <c r="O678" s="22">
        <f>LEN(非皮卡压缩表[[#This Row],[SHORT-MODEL]])</f>
        <v/>
      </c>
      <c r="P678" s="11">
        <f t="array" ref="P678">TRIM(_xlfn.XLOOKUP(非皮卡压缩表[[#This Row],[BACKSIZE]],ALL尺码表[内部尺码],ALL尺码表[通用尺码]))</f>
        <v/>
      </c>
    </row>
    <row r="679">
      <c r="A679" s="17" t="inlineStr">
        <is>
          <t>ALL</t>
        </is>
      </c>
      <c r="B679" s="18" t="inlineStr">
        <is>
          <t>Kia K5</t>
        </is>
      </c>
      <c r="C679" s="18" t="inlineStr">
        <is>
          <t>Kia</t>
        </is>
      </c>
      <c r="D679" s="18" t="inlineStr">
        <is>
          <t>K5</t>
        </is>
      </c>
      <c r="E679" s="18" t="inlineStr">
        <is>
          <t>2021-2026</t>
        </is>
      </c>
      <c r="F679" s="18" t="inlineStr"/>
      <c r="G679" s="18" t="inlineStr">
        <is>
          <t>Sedan</t>
        </is>
      </c>
      <c r="H679" s="18" t="inlineStr">
        <is>
          <t>3XXL</t>
        </is>
      </c>
      <c r="I679" s="19">
        <f t="array" ref="I679">TRIM(_xlfn.XLOOKUP(非皮卡压缩表[[#This Row],[BACKSIZE]],ALL尺码表[内部尺码],ALL尺码表[分类],""))</f>
        <v/>
      </c>
      <c r="J679" s="19">
        <f t="array" ref="J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9" s="20">
        <f>LEN(非皮卡压缩表[[#This Row],[LONG-TYPE]])</f>
        <v/>
      </c>
      <c r="L679" s="21">
        <f t="array" ref="L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9" s="22">
        <f>LEN(非皮卡压缩表[[#This Row],[TYPE]])</f>
        <v/>
      </c>
      <c r="N679" s="22">
        <f t="array" ref="N679">_xlfn.XLOOKUP(非皮卡压缩表[[#This Row],[MODEL]],MODEL缩写表[长MODEL],MODEL缩写表[短MODEL],非皮卡压缩表[[#This Row],[MODEL]])</f>
        <v/>
      </c>
      <c r="O679" s="22">
        <f>LEN(非皮卡压缩表[[#This Row],[SHORT-MODEL]])</f>
        <v/>
      </c>
      <c r="P679" s="11">
        <f t="array" ref="P679">TRIM(_xlfn.XLOOKUP(非皮卡压缩表[[#This Row],[BACKSIZE]],ALL尺码表[内部尺码],ALL尺码表[通用尺码]))</f>
        <v/>
      </c>
    </row>
    <row r="680">
      <c r="A680" s="17" t="inlineStr">
        <is>
          <t>ALL</t>
        </is>
      </c>
      <c r="B680" s="18" t="inlineStr">
        <is>
          <t>Kia K900</t>
        </is>
      </c>
      <c r="C680" s="18" t="inlineStr">
        <is>
          <t>Kia</t>
        </is>
      </c>
      <c r="D680" s="18" t="inlineStr">
        <is>
          <t>K900</t>
        </is>
      </c>
      <c r="E680" s="18" t="inlineStr">
        <is>
          <t>2015-2020</t>
        </is>
      </c>
      <c r="F680" s="18" t="inlineStr"/>
      <c r="G680" s="18" t="inlineStr">
        <is>
          <t>Sedan</t>
        </is>
      </c>
      <c r="H680" s="18" t="inlineStr">
        <is>
          <t>3XXL</t>
        </is>
      </c>
      <c r="I680" s="19">
        <f t="array" ref="I680">TRIM(_xlfn.XLOOKUP(非皮卡压缩表[[#This Row],[BACKSIZE]],ALL尺码表[内部尺码],ALL尺码表[分类],""))</f>
        <v/>
      </c>
      <c r="J680" s="19">
        <f t="array" ref="J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0" s="20">
        <f>LEN(非皮卡压缩表[[#This Row],[LONG-TYPE]])</f>
        <v/>
      </c>
      <c r="L680" s="21">
        <f t="array" ref="L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0" s="22">
        <f>LEN(非皮卡压缩表[[#This Row],[TYPE]])</f>
        <v/>
      </c>
      <c r="N680" s="22">
        <f t="array" ref="N680">_xlfn.XLOOKUP(非皮卡压缩表[[#This Row],[MODEL]],MODEL缩写表[长MODEL],MODEL缩写表[短MODEL],非皮卡压缩表[[#This Row],[MODEL]])</f>
        <v/>
      </c>
      <c r="O680" s="22">
        <f>LEN(非皮卡压缩表[[#This Row],[SHORT-MODEL]])</f>
        <v/>
      </c>
      <c r="P680" s="11">
        <f t="array" ref="P680">TRIM(_xlfn.XLOOKUP(非皮卡压缩表[[#This Row],[BACKSIZE]],ALL尺码表[内部尺码],ALL尺码表[通用尺码]))</f>
        <v/>
      </c>
    </row>
    <row r="681">
      <c r="A681" s="17" t="inlineStr">
        <is>
          <t>ALL</t>
        </is>
      </c>
      <c r="B681" s="18" t="inlineStr">
        <is>
          <t>Kia NIRO</t>
        </is>
      </c>
      <c r="C681" s="18" t="inlineStr">
        <is>
          <t>Kia</t>
        </is>
      </c>
      <c r="D681" s="18" t="inlineStr">
        <is>
          <t>NIRO</t>
        </is>
      </c>
      <c r="E681" s="18" t="inlineStr">
        <is>
          <t>2017-2026</t>
        </is>
      </c>
      <c r="F681" s="18" t="inlineStr">
        <is>
          <t>Incl: EV</t>
        </is>
      </c>
      <c r="G681" s="18" t="inlineStr">
        <is>
          <t>CUV</t>
        </is>
      </c>
      <c r="H681" s="18" t="inlineStr">
        <is>
          <t>YM+</t>
        </is>
      </c>
      <c r="I681" s="19">
        <f t="array" ref="I681">TRIM(_xlfn.XLOOKUP(非皮卡压缩表[[#This Row],[BACKSIZE]],ALL尺码表[内部尺码],ALL尺码表[分类],""))</f>
        <v/>
      </c>
      <c r="J681" s="19">
        <f t="array" ref="J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1" s="20">
        <f>LEN(非皮卡压缩表[[#This Row],[LONG-TYPE]])</f>
        <v/>
      </c>
      <c r="L681" s="21">
        <f t="array" ref="L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1" s="22">
        <f>LEN(非皮卡压缩表[[#This Row],[TYPE]])</f>
        <v/>
      </c>
      <c r="N681" s="22">
        <f t="array" ref="N681">_xlfn.XLOOKUP(非皮卡压缩表[[#This Row],[MODEL]],MODEL缩写表[长MODEL],MODEL缩写表[短MODEL],非皮卡压缩表[[#This Row],[MODEL]])</f>
        <v/>
      </c>
      <c r="O681" s="22">
        <f>LEN(非皮卡压缩表[[#This Row],[SHORT-MODEL]])</f>
        <v/>
      </c>
      <c r="P681" s="11">
        <f t="array" ref="P681">TRIM(_xlfn.XLOOKUP(非皮卡压缩表[[#This Row],[BACKSIZE]],ALL尺码表[内部尺码],ALL尺码表[通用尺码]))</f>
        <v/>
      </c>
    </row>
    <row r="682">
      <c r="A682" s="17" t="inlineStr">
        <is>
          <t>ALL</t>
        </is>
      </c>
      <c r="B682" s="18" t="inlineStr">
        <is>
          <t>Kia Optima</t>
        </is>
      </c>
      <c r="C682" s="18" t="inlineStr">
        <is>
          <t>Kia</t>
        </is>
      </c>
      <c r="D682" s="18" t="inlineStr">
        <is>
          <t>Optima</t>
        </is>
      </c>
      <c r="E682" s="18" t="inlineStr">
        <is>
          <t>2001-2020</t>
        </is>
      </c>
      <c r="F682" s="18" t="inlineStr">
        <is>
          <t>Incl: Hybrid/PHEV</t>
        </is>
      </c>
      <c r="G682" s="18" t="inlineStr">
        <is>
          <t>Sedan</t>
        </is>
      </c>
      <c r="H682" s="18" t="inlineStr">
        <is>
          <t>3XL</t>
        </is>
      </c>
      <c r="I682" s="19">
        <f t="array" ref="I682">TRIM(_xlfn.XLOOKUP(非皮卡压缩表[[#This Row],[BACKSIZE]],ALL尺码表[内部尺码],ALL尺码表[分类],""))</f>
        <v/>
      </c>
      <c r="J682" s="19">
        <f t="array" ref="J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2" s="20">
        <f>LEN(非皮卡压缩表[[#This Row],[LONG-TYPE]])</f>
        <v/>
      </c>
      <c r="L682" s="21">
        <f t="array" ref="L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2" s="22">
        <f>LEN(非皮卡压缩表[[#This Row],[TYPE]])</f>
        <v/>
      </c>
      <c r="N682" s="22">
        <f t="array" ref="N682">_xlfn.XLOOKUP(非皮卡压缩表[[#This Row],[MODEL]],MODEL缩写表[长MODEL],MODEL缩写表[短MODEL],非皮卡压缩表[[#This Row],[MODEL]])</f>
        <v/>
      </c>
      <c r="O682" s="22">
        <f>LEN(非皮卡压缩表[[#This Row],[SHORT-MODEL]])</f>
        <v/>
      </c>
      <c r="P682" s="11">
        <f t="array" ref="P682">TRIM(_xlfn.XLOOKUP(非皮卡压缩表[[#This Row],[BACKSIZE]],ALL尺码表[内部尺码],ALL尺码表[通用尺码]))</f>
        <v/>
      </c>
    </row>
    <row r="683">
      <c r="A683" s="17" t="inlineStr">
        <is>
          <t>ALL</t>
        </is>
      </c>
      <c r="B683" s="18" t="inlineStr">
        <is>
          <t>Kia Rio</t>
        </is>
      </c>
      <c r="C683" s="18" t="inlineStr">
        <is>
          <t>Kia</t>
        </is>
      </c>
      <c r="D683" s="18" t="inlineStr">
        <is>
          <t>Rio</t>
        </is>
      </c>
      <c r="E683" s="18" t="inlineStr">
        <is>
          <t>2001-2005</t>
        </is>
      </c>
      <c r="F683" s="18" t="inlineStr">
        <is>
          <t>Rio5</t>
        </is>
      </c>
      <c r="G683" s="18" t="inlineStr">
        <is>
          <t>Wagon</t>
        </is>
      </c>
      <c r="H683" s="18" t="inlineStr">
        <is>
          <t>2L+</t>
        </is>
      </c>
      <c r="I683" s="19">
        <f t="array" ref="I683">TRIM(_xlfn.XLOOKUP(非皮卡压缩表[[#This Row],[BACKSIZE]],ALL尺码表[内部尺码],ALL尺码表[分类],""))</f>
        <v/>
      </c>
      <c r="J683" s="19">
        <f t="array" ref="J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3" s="20">
        <f>LEN(非皮卡压缩表[[#This Row],[LONG-TYPE]])</f>
        <v/>
      </c>
      <c r="L683" s="21">
        <f t="array" ref="L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3" s="22">
        <f>LEN(非皮卡压缩表[[#This Row],[TYPE]])</f>
        <v/>
      </c>
      <c r="N683" s="22">
        <f t="array" ref="N683">_xlfn.XLOOKUP(非皮卡压缩表[[#This Row],[MODEL]],MODEL缩写表[长MODEL],MODEL缩写表[短MODEL],非皮卡压缩表[[#This Row],[MODEL]])</f>
        <v/>
      </c>
      <c r="O683" s="22">
        <f>LEN(非皮卡压缩表[[#This Row],[SHORT-MODEL]])</f>
        <v/>
      </c>
      <c r="P683" s="11">
        <f t="array" ref="P683">TRIM(_xlfn.XLOOKUP(非皮卡压缩表[[#This Row],[BACKSIZE]],ALL尺码表[内部尺码],ALL尺码表[通用尺码]))</f>
        <v/>
      </c>
    </row>
    <row r="684">
      <c r="A684" s="17" t="inlineStr">
        <is>
          <t>ALL</t>
        </is>
      </c>
      <c r="B684" s="18" t="inlineStr">
        <is>
          <t>Kia Rio</t>
        </is>
      </c>
      <c r="C684" s="18" t="inlineStr">
        <is>
          <t>Kia</t>
        </is>
      </c>
      <c r="D684" s="18" t="inlineStr">
        <is>
          <t>Rio</t>
        </is>
      </c>
      <c r="E684" s="18" t="inlineStr">
        <is>
          <t>2001-2023</t>
        </is>
      </c>
      <c r="F684" s="18" t="inlineStr"/>
      <c r="G684" s="18" t="inlineStr">
        <is>
          <t>Sedan</t>
        </is>
      </c>
      <c r="H684" s="18" t="inlineStr">
        <is>
          <t>3L</t>
        </is>
      </c>
      <c r="I684" s="19">
        <f t="array" ref="I684">TRIM(_xlfn.XLOOKUP(非皮卡压缩表[[#This Row],[BACKSIZE]],ALL尺码表[内部尺码],ALL尺码表[分类],""))</f>
        <v/>
      </c>
      <c r="J684" s="19">
        <f t="array" ref="J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4" s="20">
        <f>LEN(非皮卡压缩表[[#This Row],[LONG-TYPE]])</f>
        <v/>
      </c>
      <c r="L684" s="21">
        <f t="array" ref="L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4" s="22">
        <f>LEN(非皮卡压缩表[[#This Row],[TYPE]])</f>
        <v/>
      </c>
      <c r="N684" s="22">
        <f t="array" ref="N684">_xlfn.XLOOKUP(非皮卡压缩表[[#This Row],[MODEL]],MODEL缩写表[长MODEL],MODEL缩写表[短MODEL],非皮卡压缩表[[#This Row],[MODEL]])</f>
        <v/>
      </c>
      <c r="O684" s="22">
        <f>LEN(非皮卡压缩表[[#This Row],[SHORT-MODEL]])</f>
        <v/>
      </c>
      <c r="P684" s="11">
        <f t="array" ref="P684">TRIM(_xlfn.XLOOKUP(非皮卡压缩表[[#This Row],[BACKSIZE]],ALL尺码表[内部尺码],ALL尺码表[通用尺码]))</f>
        <v/>
      </c>
    </row>
    <row r="685">
      <c r="A685" s="17" t="inlineStr">
        <is>
          <t>ALL</t>
        </is>
      </c>
      <c r="B685" s="18" t="inlineStr">
        <is>
          <t>Kia Rio</t>
        </is>
      </c>
      <c r="C685" s="18" t="inlineStr">
        <is>
          <t>Kia</t>
        </is>
      </c>
      <c r="D685" s="18" t="inlineStr">
        <is>
          <t>Rio</t>
        </is>
      </c>
      <c r="E685" s="18" t="inlineStr">
        <is>
          <t>2006-2023</t>
        </is>
      </c>
      <c r="F685" s="18" t="inlineStr">
        <is>
          <t>Rio5</t>
        </is>
      </c>
      <c r="G685" s="18" t="inlineStr">
        <is>
          <t>Hatchback</t>
        </is>
      </c>
      <c r="H685" s="18" t="inlineStr">
        <is>
          <t>2M</t>
        </is>
      </c>
      <c r="I685" s="19">
        <f t="array" ref="I685">TRIM(_xlfn.XLOOKUP(非皮卡压缩表[[#This Row],[BACKSIZE]],ALL尺码表[内部尺码],ALL尺码表[分类],""))</f>
        <v/>
      </c>
      <c r="J685" s="19">
        <f t="array" ref="J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5" s="20">
        <f>LEN(非皮卡压缩表[[#This Row],[LONG-TYPE]])</f>
        <v/>
      </c>
      <c r="L685" s="21">
        <f t="array" ref="L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5" s="22">
        <f>LEN(非皮卡压缩表[[#This Row],[TYPE]])</f>
        <v/>
      </c>
      <c r="N685" s="22">
        <f t="array" ref="N685">_xlfn.XLOOKUP(非皮卡压缩表[[#This Row],[MODEL]],MODEL缩写表[长MODEL],MODEL缩写表[短MODEL],非皮卡压缩表[[#This Row],[MODEL]])</f>
        <v/>
      </c>
      <c r="O685" s="22">
        <f>LEN(非皮卡压缩表[[#This Row],[SHORT-MODEL]])</f>
        <v/>
      </c>
      <c r="P685" s="11">
        <f t="array" ref="P685">TRIM(_xlfn.XLOOKUP(非皮卡压缩表[[#This Row],[BACKSIZE]],ALL尺码表[内部尺码],ALL尺码表[通用尺码]))</f>
        <v/>
      </c>
    </row>
    <row r="686">
      <c r="A686" s="17" t="inlineStr">
        <is>
          <t>ALL</t>
        </is>
      </c>
      <c r="B686" s="18" t="inlineStr">
        <is>
          <t>Kia Rondo</t>
        </is>
      </c>
      <c r="C686" s="18" t="inlineStr">
        <is>
          <t>Kia</t>
        </is>
      </c>
      <c r="D686" s="18" t="inlineStr">
        <is>
          <t>Rondo</t>
        </is>
      </c>
      <c r="E686" s="18" t="inlineStr">
        <is>
          <t>2007-2010</t>
        </is>
      </c>
      <c r="F686" s="18" t="inlineStr"/>
      <c r="G686" s="18" t="inlineStr">
        <is>
          <t>SUV</t>
        </is>
      </c>
      <c r="H686" s="18" t="inlineStr">
        <is>
          <t>YM+</t>
        </is>
      </c>
      <c r="I686" s="19">
        <f t="array" ref="I686">TRIM(_xlfn.XLOOKUP(非皮卡压缩表[[#This Row],[BACKSIZE]],ALL尺码表[内部尺码],ALL尺码表[分类],""))</f>
        <v/>
      </c>
      <c r="J686" s="19">
        <f t="array" ref="J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6" s="20">
        <f>LEN(非皮卡压缩表[[#This Row],[LONG-TYPE]])</f>
        <v/>
      </c>
      <c r="L686" s="21">
        <f t="array" ref="L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6" s="22">
        <f>LEN(非皮卡压缩表[[#This Row],[TYPE]])</f>
        <v/>
      </c>
      <c r="N686" s="22">
        <f t="array" ref="N686">_xlfn.XLOOKUP(非皮卡压缩表[[#This Row],[MODEL]],MODEL缩写表[长MODEL],MODEL缩写表[短MODEL],非皮卡压缩表[[#This Row],[MODEL]])</f>
        <v/>
      </c>
      <c r="O686" s="22">
        <f>LEN(非皮卡压缩表[[#This Row],[SHORT-MODEL]])</f>
        <v/>
      </c>
      <c r="P686" s="11">
        <f t="array" ref="P686">TRIM(_xlfn.XLOOKUP(非皮卡压缩表[[#This Row],[BACKSIZE]],ALL尺码表[内部尺码],ALL尺码表[通用尺码]))</f>
        <v/>
      </c>
    </row>
    <row r="687">
      <c r="A687" s="17" t="inlineStr">
        <is>
          <t>ALL</t>
        </is>
      </c>
      <c r="B687" s="18" t="inlineStr">
        <is>
          <t>Kia SELTOS</t>
        </is>
      </c>
      <c r="C687" s="18" t="inlineStr">
        <is>
          <t>Kia</t>
        </is>
      </c>
      <c r="D687" s="18" t="inlineStr">
        <is>
          <t>SELTOS</t>
        </is>
      </c>
      <c r="E687" s="18" t="inlineStr">
        <is>
          <t>2021-2025</t>
        </is>
      </c>
      <c r="F687" s="18" t="inlineStr"/>
      <c r="G687" s="18" t="inlineStr">
        <is>
          <t>SUV</t>
        </is>
      </c>
      <c r="H687" s="18" t="inlineStr">
        <is>
          <t>YM+</t>
        </is>
      </c>
      <c r="I687" s="19">
        <f t="array" ref="I687">TRIM(_xlfn.XLOOKUP(非皮卡压缩表[[#This Row],[BACKSIZE]],ALL尺码表[内部尺码],ALL尺码表[分类],""))</f>
        <v/>
      </c>
      <c r="J687" s="19">
        <f t="array" ref="J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7" s="20">
        <f>LEN(非皮卡压缩表[[#This Row],[LONG-TYPE]])</f>
        <v/>
      </c>
      <c r="L687" s="21">
        <f t="array" ref="L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7" s="22">
        <f>LEN(非皮卡压缩表[[#This Row],[TYPE]])</f>
        <v/>
      </c>
      <c r="N687" s="22">
        <f t="array" ref="N687">_xlfn.XLOOKUP(非皮卡压缩表[[#This Row],[MODEL]],MODEL缩写表[长MODEL],MODEL缩写表[短MODEL],非皮卡压缩表[[#This Row],[MODEL]])</f>
        <v/>
      </c>
      <c r="O687" s="22">
        <f>LEN(非皮卡压缩表[[#This Row],[SHORT-MODEL]])</f>
        <v/>
      </c>
      <c r="P687" s="11">
        <f t="array" ref="P687">TRIM(_xlfn.XLOOKUP(非皮卡压缩表[[#This Row],[BACKSIZE]],ALL尺码表[内部尺码],ALL尺码表[通用尺码]))</f>
        <v/>
      </c>
    </row>
    <row r="688">
      <c r="A688" s="17" t="inlineStr">
        <is>
          <t>ALL</t>
        </is>
      </c>
      <c r="B688" s="18" t="inlineStr">
        <is>
          <t>Kia Sephia</t>
        </is>
      </c>
      <c r="C688" s="18" t="inlineStr">
        <is>
          <t>Kia</t>
        </is>
      </c>
      <c r="D688" s="18" t="inlineStr">
        <is>
          <t>Sephia</t>
        </is>
      </c>
      <c r="E688" s="18" t="inlineStr">
        <is>
          <t>1994-2001</t>
        </is>
      </c>
      <c r="F688" s="18" t="inlineStr"/>
      <c r="G688" s="18" t="inlineStr">
        <is>
          <t>Sedan</t>
        </is>
      </c>
      <c r="H688" s="18" t="inlineStr">
        <is>
          <t>3L</t>
        </is>
      </c>
      <c r="I688" s="19">
        <f t="array" ref="I688">TRIM(_xlfn.XLOOKUP(非皮卡压缩表[[#This Row],[BACKSIZE]],ALL尺码表[内部尺码],ALL尺码表[分类],""))</f>
        <v/>
      </c>
      <c r="J688" s="19">
        <f t="array" ref="J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8" s="20">
        <f>LEN(非皮卡压缩表[[#This Row],[LONG-TYPE]])</f>
        <v/>
      </c>
      <c r="L688" s="21">
        <f t="array" ref="L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8" s="22">
        <f>LEN(非皮卡压缩表[[#This Row],[TYPE]])</f>
        <v/>
      </c>
      <c r="N688" s="22">
        <f t="array" ref="N688">_xlfn.XLOOKUP(非皮卡压缩表[[#This Row],[MODEL]],MODEL缩写表[长MODEL],MODEL缩写表[短MODEL],非皮卡压缩表[[#This Row],[MODEL]])</f>
        <v/>
      </c>
      <c r="O688" s="22">
        <f>LEN(非皮卡压缩表[[#This Row],[SHORT-MODEL]])</f>
        <v/>
      </c>
      <c r="P688" s="11">
        <f t="array" ref="P688">TRIM(_xlfn.XLOOKUP(非皮卡压缩表[[#This Row],[BACKSIZE]],ALL尺码表[内部尺码],ALL尺码表[通用尺码]))</f>
        <v/>
      </c>
    </row>
    <row r="689">
      <c r="A689" s="17" t="inlineStr">
        <is>
          <t>ALL</t>
        </is>
      </c>
      <c r="B689" s="18" t="inlineStr">
        <is>
          <t>Kia Sorento</t>
        </is>
      </c>
      <c r="C689" s="18" t="inlineStr">
        <is>
          <t>Kia</t>
        </is>
      </c>
      <c r="D689" s="18" t="inlineStr">
        <is>
          <t>Sorento</t>
        </is>
      </c>
      <c r="E689" s="18" t="inlineStr">
        <is>
          <t>2003-2009</t>
        </is>
      </c>
      <c r="F689" s="18" t="inlineStr"/>
      <c r="G689" s="18" t="inlineStr">
        <is>
          <t>SUV</t>
        </is>
      </c>
      <c r="H689" s="18" t="inlineStr">
        <is>
          <t>YM+</t>
        </is>
      </c>
      <c r="I689" s="19">
        <f t="array" ref="I689">TRIM(_xlfn.XLOOKUP(非皮卡压缩表[[#This Row],[BACKSIZE]],ALL尺码表[内部尺码],ALL尺码表[分类],""))</f>
        <v/>
      </c>
      <c r="J689" s="19">
        <f t="array" ref="J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9" s="20">
        <f>LEN(非皮卡压缩表[[#This Row],[LONG-TYPE]])</f>
        <v/>
      </c>
      <c r="L689" s="21">
        <f t="array" ref="L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9" s="22">
        <f>LEN(非皮卡压缩表[[#This Row],[TYPE]])</f>
        <v/>
      </c>
      <c r="N689" s="22">
        <f t="array" ref="N689">_xlfn.XLOOKUP(非皮卡压缩表[[#This Row],[MODEL]],MODEL缩写表[长MODEL],MODEL缩写表[短MODEL],非皮卡压缩表[[#This Row],[MODEL]])</f>
        <v/>
      </c>
      <c r="O689" s="22">
        <f>LEN(非皮卡压缩表[[#This Row],[SHORT-MODEL]])</f>
        <v/>
      </c>
      <c r="P689" s="11">
        <f t="array" ref="P689">TRIM(_xlfn.XLOOKUP(非皮卡压缩表[[#This Row],[BACKSIZE]],ALL尺码表[内部尺码],ALL尺码表[通用尺码]))</f>
        <v/>
      </c>
    </row>
    <row r="690">
      <c r="A690" s="17" t="inlineStr">
        <is>
          <t>ALL</t>
        </is>
      </c>
      <c r="B690" s="18" t="inlineStr">
        <is>
          <t>Kia Sorento</t>
        </is>
      </c>
      <c r="C690" s="18" t="inlineStr">
        <is>
          <t>Kia</t>
        </is>
      </c>
      <c r="D690" s="18" t="inlineStr">
        <is>
          <t>Sorento</t>
        </is>
      </c>
      <c r="E690" s="18" t="inlineStr">
        <is>
          <t>2011-2026</t>
        </is>
      </c>
      <c r="F690" s="18" t="inlineStr">
        <is>
          <t>Incl: PHEV</t>
        </is>
      </c>
      <c r="G690" s="18" t="inlineStr">
        <is>
          <t>SUV</t>
        </is>
      </c>
      <c r="H690" s="18" t="inlineStr">
        <is>
          <t>YL</t>
        </is>
      </c>
      <c r="I690" s="19">
        <f t="array" ref="I690">TRIM(_xlfn.XLOOKUP(非皮卡压缩表[[#This Row],[BACKSIZE]],ALL尺码表[内部尺码],ALL尺码表[分类],""))</f>
        <v/>
      </c>
      <c r="J690" s="19">
        <f t="array" ref="J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0" s="20">
        <f>LEN(非皮卡压缩表[[#This Row],[LONG-TYPE]])</f>
        <v/>
      </c>
      <c r="L690" s="21">
        <f t="array" ref="L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0" s="22">
        <f>LEN(非皮卡压缩表[[#This Row],[TYPE]])</f>
        <v/>
      </c>
      <c r="N690" s="22">
        <f t="array" ref="N690">_xlfn.XLOOKUP(非皮卡压缩表[[#This Row],[MODEL]],MODEL缩写表[长MODEL],MODEL缩写表[短MODEL],非皮卡压缩表[[#This Row],[MODEL]])</f>
        <v/>
      </c>
      <c r="O690" s="22">
        <f>LEN(非皮卡压缩表[[#This Row],[SHORT-MODEL]])</f>
        <v/>
      </c>
      <c r="P690" s="11">
        <f t="array" ref="P690">TRIM(_xlfn.XLOOKUP(非皮卡压缩表[[#This Row],[BACKSIZE]],ALL尺码表[内部尺码],ALL尺码表[通用尺码]))</f>
        <v/>
      </c>
    </row>
    <row r="691" ht="30" customHeight="1" s="23">
      <c r="A691" s="17" t="inlineStr">
        <is>
          <t>ALL</t>
        </is>
      </c>
      <c r="B691" s="18" t="inlineStr">
        <is>
          <t>Kia Soul</t>
        </is>
      </c>
      <c r="C691" s="18" t="inlineStr">
        <is>
          <t>Kia</t>
        </is>
      </c>
      <c r="D691" s="18" t="inlineStr">
        <is>
          <t>Soul</t>
        </is>
      </c>
      <c r="E691" s="18" t="inlineStr">
        <is>
          <t>2010-2019</t>
        </is>
      </c>
      <c r="F691" s="18" t="inlineStr">
        <is>
          <t>Incl: EV</t>
        </is>
      </c>
      <c r="G691" s="18" t="inlineStr">
        <is>
          <t>Hatchback/Wagon</t>
        </is>
      </c>
      <c r="H691" s="18" t="inlineStr">
        <is>
          <t>2M</t>
        </is>
      </c>
      <c r="I691" s="19">
        <f t="array" ref="I691">TRIM(_xlfn.XLOOKUP(非皮卡压缩表[[#This Row],[BACKSIZE]],ALL尺码表[内部尺码],ALL尺码表[分类],""))</f>
        <v/>
      </c>
      <c r="J691" s="19">
        <f t="array" ref="J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1" s="20">
        <f>LEN(非皮卡压缩表[[#This Row],[LONG-TYPE]])</f>
        <v/>
      </c>
      <c r="L691" s="21">
        <f t="array" ref="L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1" s="22">
        <f>LEN(非皮卡压缩表[[#This Row],[TYPE]])</f>
        <v/>
      </c>
      <c r="N691" s="22">
        <f t="array" ref="N691">_xlfn.XLOOKUP(非皮卡压缩表[[#This Row],[MODEL]],MODEL缩写表[长MODEL],MODEL缩写表[短MODEL],非皮卡压缩表[[#This Row],[MODEL]])</f>
        <v/>
      </c>
      <c r="O691" s="22">
        <f>LEN(非皮卡压缩表[[#This Row],[SHORT-MODEL]])</f>
        <v/>
      </c>
      <c r="P691" s="11">
        <f t="array" ref="P691">TRIM(_xlfn.XLOOKUP(非皮卡压缩表[[#This Row],[BACKSIZE]],ALL尺码表[内部尺码],ALL尺码表[通用尺码]))</f>
        <v/>
      </c>
    </row>
    <row r="692">
      <c r="A692" s="17" t="inlineStr">
        <is>
          <t>ALL</t>
        </is>
      </c>
      <c r="B692" s="18" t="inlineStr">
        <is>
          <t>Kia Soul</t>
        </is>
      </c>
      <c r="C692" s="18" t="inlineStr">
        <is>
          <t>Kia</t>
        </is>
      </c>
      <c r="D692" s="18" t="inlineStr">
        <is>
          <t>Soul</t>
        </is>
      </c>
      <c r="E692" s="18" t="inlineStr">
        <is>
          <t>2020-2025</t>
        </is>
      </c>
      <c r="F692" s="18" t="inlineStr"/>
      <c r="G692" s="18" t="inlineStr">
        <is>
          <t>Wagon</t>
        </is>
      </c>
      <c r="H692" s="18" t="inlineStr">
        <is>
          <t>2L+</t>
        </is>
      </c>
      <c r="I692" s="19">
        <f t="array" ref="I692">TRIM(_xlfn.XLOOKUP(非皮卡压缩表[[#This Row],[BACKSIZE]],ALL尺码表[内部尺码],ALL尺码表[分类],""))</f>
        <v/>
      </c>
      <c r="J692" s="19">
        <f t="array" ref="J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2" s="20">
        <f>LEN(非皮卡压缩表[[#This Row],[LONG-TYPE]])</f>
        <v/>
      </c>
      <c r="L692" s="21">
        <f t="array" ref="L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2" s="22">
        <f>LEN(非皮卡压缩表[[#This Row],[TYPE]])</f>
        <v/>
      </c>
      <c r="N692" s="22">
        <f t="array" ref="N692">_xlfn.XLOOKUP(非皮卡压缩表[[#This Row],[MODEL]],MODEL缩写表[长MODEL],MODEL缩写表[短MODEL],非皮卡压缩表[[#This Row],[MODEL]])</f>
        <v/>
      </c>
      <c r="O692" s="22">
        <f>LEN(非皮卡压缩表[[#This Row],[SHORT-MODEL]])</f>
        <v/>
      </c>
      <c r="P692" s="11">
        <f t="array" ref="P692">TRIM(_xlfn.XLOOKUP(非皮卡压缩表[[#This Row],[BACKSIZE]],ALL尺码表[内部尺码],ALL尺码表[通用尺码]))</f>
        <v/>
      </c>
    </row>
    <row r="693">
      <c r="A693" s="17" t="inlineStr">
        <is>
          <t>ALL</t>
        </is>
      </c>
      <c r="B693" s="18" t="inlineStr">
        <is>
          <t>Kia Spectra</t>
        </is>
      </c>
      <c r="C693" s="18" t="inlineStr">
        <is>
          <t>Kia</t>
        </is>
      </c>
      <c r="D693" s="18" t="inlineStr">
        <is>
          <t>Spectra</t>
        </is>
      </c>
      <c r="E693" s="18" t="inlineStr">
        <is>
          <t>2000-2009</t>
        </is>
      </c>
      <c r="F693" s="18" t="inlineStr"/>
      <c r="G693" s="18" t="inlineStr">
        <is>
          <t>Sedan</t>
        </is>
      </c>
      <c r="H693" s="18" t="inlineStr">
        <is>
          <t>3L</t>
        </is>
      </c>
      <c r="I693" s="19">
        <f t="array" ref="I693">TRIM(_xlfn.XLOOKUP(非皮卡压缩表[[#This Row],[BACKSIZE]],ALL尺码表[内部尺码],ALL尺码表[分类],""))</f>
        <v/>
      </c>
      <c r="J693" s="19">
        <f t="array" ref="J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3" s="20">
        <f>LEN(非皮卡压缩表[[#This Row],[LONG-TYPE]])</f>
        <v/>
      </c>
      <c r="L693" s="21">
        <f t="array" ref="L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3" s="22">
        <f>LEN(非皮卡压缩表[[#This Row],[TYPE]])</f>
        <v/>
      </c>
      <c r="N693" s="22">
        <f t="array" ref="N693">_xlfn.XLOOKUP(非皮卡压缩表[[#This Row],[MODEL]],MODEL缩写表[长MODEL],MODEL缩写表[短MODEL],非皮卡压缩表[[#This Row],[MODEL]])</f>
        <v/>
      </c>
      <c r="O693" s="22">
        <f>LEN(非皮卡压缩表[[#This Row],[SHORT-MODEL]])</f>
        <v/>
      </c>
      <c r="P693" s="11">
        <f t="array" ref="P693">TRIM(_xlfn.XLOOKUP(非皮卡压缩表[[#This Row],[BACKSIZE]],ALL尺码表[内部尺码],ALL尺码表[通用尺码]))</f>
        <v/>
      </c>
    </row>
    <row r="694">
      <c r="A694" s="17" t="inlineStr">
        <is>
          <t>ALL</t>
        </is>
      </c>
      <c r="B694" s="18" t="inlineStr">
        <is>
          <t>Kia Spectra</t>
        </is>
      </c>
      <c r="C694" s="18" t="inlineStr">
        <is>
          <t>Kia</t>
        </is>
      </c>
      <c r="D694" s="18" t="inlineStr">
        <is>
          <t>Spectra</t>
        </is>
      </c>
      <c r="E694" s="18" t="inlineStr">
        <is>
          <t>2002-2004</t>
        </is>
      </c>
      <c r="F694" s="18" t="inlineStr"/>
      <c r="G694" s="18" t="inlineStr">
        <is>
          <t>Hatchback</t>
        </is>
      </c>
      <c r="H694" s="18" t="inlineStr">
        <is>
          <t>2XL</t>
        </is>
      </c>
      <c r="I694" s="19">
        <f t="array" ref="I694">TRIM(_xlfn.XLOOKUP(非皮卡压缩表[[#This Row],[BACKSIZE]],ALL尺码表[内部尺码],ALL尺码表[分类],""))</f>
        <v/>
      </c>
      <c r="J694" s="19">
        <f t="array" ref="J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4" s="20">
        <f>LEN(非皮卡压缩表[[#This Row],[LONG-TYPE]])</f>
        <v/>
      </c>
      <c r="L694" s="21">
        <f t="array" ref="L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4" s="22">
        <f>LEN(非皮卡压缩表[[#This Row],[TYPE]])</f>
        <v/>
      </c>
      <c r="N694" s="22">
        <f t="array" ref="N694">_xlfn.XLOOKUP(非皮卡压缩表[[#This Row],[MODEL]],MODEL缩写表[长MODEL],MODEL缩写表[短MODEL],非皮卡压缩表[[#This Row],[MODEL]])</f>
        <v/>
      </c>
      <c r="O694" s="22">
        <f>LEN(非皮卡压缩表[[#This Row],[SHORT-MODEL]])</f>
        <v/>
      </c>
      <c r="P694" s="11">
        <f t="array" ref="P694">TRIM(_xlfn.XLOOKUP(非皮卡压缩表[[#This Row],[BACKSIZE]],ALL尺码表[内部尺码],ALL尺码表[通用尺码]))</f>
        <v/>
      </c>
    </row>
    <row r="695">
      <c r="A695" s="17" t="inlineStr">
        <is>
          <t>ALL</t>
        </is>
      </c>
      <c r="B695" s="18" t="inlineStr">
        <is>
          <t>Kia Spectra</t>
        </is>
      </c>
      <c r="C695" s="18" t="inlineStr">
        <is>
          <t>Kia</t>
        </is>
      </c>
      <c r="D695" s="18" t="inlineStr">
        <is>
          <t>Spectra</t>
        </is>
      </c>
      <c r="E695" s="18" t="inlineStr">
        <is>
          <t>2006-2009</t>
        </is>
      </c>
      <c r="F695" s="18" t="inlineStr"/>
      <c r="G695" s="18" t="inlineStr">
        <is>
          <t>Hatchback</t>
        </is>
      </c>
      <c r="H695" s="18" t="inlineStr">
        <is>
          <t>2L+</t>
        </is>
      </c>
      <c r="I695" s="19">
        <f t="array" ref="I695">TRIM(_xlfn.XLOOKUP(非皮卡压缩表[[#This Row],[BACKSIZE]],ALL尺码表[内部尺码],ALL尺码表[分类],""))</f>
        <v/>
      </c>
      <c r="J695" s="19">
        <f t="array" ref="J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5" s="20">
        <f>LEN(非皮卡压缩表[[#This Row],[LONG-TYPE]])</f>
        <v/>
      </c>
      <c r="L695" s="21">
        <f t="array" ref="L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5" s="22">
        <f>LEN(非皮卡压缩表[[#This Row],[TYPE]])</f>
        <v/>
      </c>
      <c r="N695" s="22">
        <f t="array" ref="N695">_xlfn.XLOOKUP(非皮卡压缩表[[#This Row],[MODEL]],MODEL缩写表[长MODEL],MODEL缩写表[短MODEL],非皮卡压缩表[[#This Row],[MODEL]])</f>
        <v/>
      </c>
      <c r="O695" s="22">
        <f>LEN(非皮卡压缩表[[#This Row],[SHORT-MODEL]])</f>
        <v/>
      </c>
      <c r="P695" s="11">
        <f t="array" ref="P695">TRIM(_xlfn.XLOOKUP(非皮卡压缩表[[#This Row],[BACKSIZE]],ALL尺码表[内部尺码],ALL尺码表[通用尺码]))</f>
        <v/>
      </c>
    </row>
    <row r="696">
      <c r="A696" s="17" t="inlineStr">
        <is>
          <t>ALL</t>
        </is>
      </c>
      <c r="B696" s="18" t="inlineStr">
        <is>
          <t>Kia Sportage</t>
        </is>
      </c>
      <c r="C696" s="18" t="inlineStr">
        <is>
          <t>Kia</t>
        </is>
      </c>
      <c r="D696" s="18" t="inlineStr">
        <is>
          <t>Sportage</t>
        </is>
      </c>
      <c r="E696" s="18" t="inlineStr">
        <is>
          <t>1995-2022</t>
        </is>
      </c>
      <c r="F696" s="18" t="inlineStr"/>
      <c r="G696" s="18" t="inlineStr">
        <is>
          <t>SUV</t>
        </is>
      </c>
      <c r="H696" s="18" t="inlineStr">
        <is>
          <t>YM+</t>
        </is>
      </c>
      <c r="I696" s="19">
        <f t="array" ref="I696">TRIM(_xlfn.XLOOKUP(非皮卡压缩表[[#This Row],[BACKSIZE]],ALL尺码表[内部尺码],ALL尺码表[分类],""))</f>
        <v/>
      </c>
      <c r="J696" s="19">
        <f t="array" ref="J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6" s="20">
        <f>LEN(非皮卡压缩表[[#This Row],[LONG-TYPE]])</f>
        <v/>
      </c>
      <c r="L696" s="21">
        <f t="array" ref="L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6" s="22">
        <f>LEN(非皮卡压缩表[[#This Row],[TYPE]])</f>
        <v/>
      </c>
      <c r="N696" s="22">
        <f t="array" ref="N696">_xlfn.XLOOKUP(非皮卡压缩表[[#This Row],[MODEL]],MODEL缩写表[长MODEL],MODEL缩写表[短MODEL],非皮卡压缩表[[#This Row],[MODEL]])</f>
        <v/>
      </c>
      <c r="O696" s="22">
        <f>LEN(非皮卡压缩表[[#This Row],[SHORT-MODEL]])</f>
        <v/>
      </c>
      <c r="P696" s="11">
        <f t="array" ref="P696">TRIM(_xlfn.XLOOKUP(非皮卡压缩表[[#This Row],[BACKSIZE]],ALL尺码表[内部尺码],ALL尺码表[通用尺码]))</f>
        <v/>
      </c>
    </row>
    <row r="697">
      <c r="A697" s="17" t="inlineStr">
        <is>
          <t>ALL</t>
        </is>
      </c>
      <c r="B697" s="18" t="inlineStr">
        <is>
          <t>Kia Sportage</t>
        </is>
      </c>
      <c r="C697" s="18" t="inlineStr">
        <is>
          <t>Kia</t>
        </is>
      </c>
      <c r="D697" s="18" t="inlineStr">
        <is>
          <t>Sportage</t>
        </is>
      </c>
      <c r="E697" s="18" t="inlineStr">
        <is>
          <t>2023-2026</t>
        </is>
      </c>
      <c r="F697" s="18" t="inlineStr">
        <is>
          <t>Incl: PHEV</t>
        </is>
      </c>
      <c r="G697" s="18" t="inlineStr">
        <is>
          <t>SUV</t>
        </is>
      </c>
      <c r="H697" s="18" t="inlineStr">
        <is>
          <t>YL</t>
        </is>
      </c>
      <c r="I697" s="19">
        <f t="array" ref="I697">TRIM(_xlfn.XLOOKUP(非皮卡压缩表[[#This Row],[BACKSIZE]],ALL尺码表[内部尺码],ALL尺码表[分类],""))</f>
        <v/>
      </c>
      <c r="J697" s="19">
        <f t="array" ref="J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7" s="20">
        <f>LEN(非皮卡压缩表[[#This Row],[LONG-TYPE]])</f>
        <v/>
      </c>
      <c r="L697" s="21">
        <f t="array" ref="L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7" s="22">
        <f>LEN(非皮卡压缩表[[#This Row],[TYPE]])</f>
        <v/>
      </c>
      <c r="N697" s="22">
        <f t="array" ref="N697">_xlfn.XLOOKUP(非皮卡压缩表[[#This Row],[MODEL]],MODEL缩写表[长MODEL],MODEL缩写表[短MODEL],非皮卡压缩表[[#This Row],[MODEL]])</f>
        <v/>
      </c>
      <c r="O697" s="22">
        <f>LEN(非皮卡压缩表[[#This Row],[SHORT-MODEL]])</f>
        <v/>
      </c>
      <c r="P697" s="11">
        <f t="array" ref="P697">TRIM(_xlfn.XLOOKUP(非皮卡压缩表[[#This Row],[BACKSIZE]],ALL尺码表[内部尺码],ALL尺码表[通用尺码]))</f>
        <v/>
      </c>
    </row>
    <row r="698">
      <c r="A698" s="17" t="inlineStr">
        <is>
          <t>ALL</t>
        </is>
      </c>
      <c r="B698" s="18" t="inlineStr">
        <is>
          <t>Kia Stinger</t>
        </is>
      </c>
      <c r="C698" s="18" t="inlineStr">
        <is>
          <t>Kia</t>
        </is>
      </c>
      <c r="D698" s="18" t="inlineStr">
        <is>
          <t>Stinger</t>
        </is>
      </c>
      <c r="E698" s="18" t="inlineStr">
        <is>
          <t>2018-2023</t>
        </is>
      </c>
      <c r="F698" s="18" t="inlineStr">
        <is>
          <t>Incl: GT</t>
        </is>
      </c>
      <c r="G698" s="18" t="inlineStr">
        <is>
          <t>Coupe/Fastback/Liftback</t>
        </is>
      </c>
      <c r="H698" s="18" t="inlineStr">
        <is>
          <t>3XL-0</t>
        </is>
      </c>
      <c r="I698" s="19">
        <f t="array" ref="I698">TRIM(_xlfn.XLOOKUP(非皮卡压缩表[[#This Row],[BACKSIZE]],ALL尺码表[内部尺码],ALL尺码表[分类],""))</f>
        <v/>
      </c>
      <c r="J698" s="19">
        <f t="array" ref="J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8" s="20">
        <f>LEN(非皮卡压缩表[[#This Row],[LONG-TYPE]])</f>
        <v/>
      </c>
      <c r="L698" s="21">
        <f t="array" ref="L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8" s="22">
        <f>LEN(非皮卡压缩表[[#This Row],[TYPE]])</f>
        <v/>
      </c>
      <c r="N698" s="22">
        <f t="array" ref="N698">_xlfn.XLOOKUP(非皮卡压缩表[[#This Row],[MODEL]],MODEL缩写表[长MODEL],MODEL缩写表[短MODEL],非皮卡压缩表[[#This Row],[MODEL]])</f>
        <v/>
      </c>
      <c r="O698" s="22">
        <f>LEN(非皮卡压缩表[[#This Row],[SHORT-MODEL]])</f>
        <v/>
      </c>
      <c r="P698" s="11">
        <f t="array" ref="P698">TRIM(_xlfn.XLOOKUP(非皮卡压缩表[[#This Row],[BACKSIZE]],ALL尺码表[内部尺码],ALL尺码表[通用尺码]))</f>
        <v/>
      </c>
    </row>
    <row r="699">
      <c r="A699" s="17" t="inlineStr">
        <is>
          <t>ALL</t>
        </is>
      </c>
      <c r="B699" s="18" t="inlineStr">
        <is>
          <t>Kia Telluride</t>
        </is>
      </c>
      <c r="C699" s="18" t="inlineStr">
        <is>
          <t>Kia</t>
        </is>
      </c>
      <c r="D699" s="18" t="inlineStr">
        <is>
          <t>Telluride</t>
        </is>
      </c>
      <c r="E699" s="18" t="inlineStr">
        <is>
          <t>2020-2026</t>
        </is>
      </c>
      <c r="F699" s="18" t="inlineStr"/>
      <c r="G699" s="18" t="inlineStr">
        <is>
          <t>SUV</t>
        </is>
      </c>
      <c r="H699" s="18" t="inlineStr">
        <is>
          <t>YXL</t>
        </is>
      </c>
      <c r="I699" s="19">
        <f t="array" ref="I699">TRIM(_xlfn.XLOOKUP(非皮卡压缩表[[#This Row],[BACKSIZE]],ALL尺码表[内部尺码],ALL尺码表[分类],""))</f>
        <v/>
      </c>
      <c r="J699" s="19">
        <f t="array" ref="J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9" s="20">
        <f>LEN(非皮卡压缩表[[#This Row],[LONG-TYPE]])</f>
        <v/>
      </c>
      <c r="L699" s="21">
        <f t="array" ref="L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9" s="22">
        <f>LEN(非皮卡压缩表[[#This Row],[TYPE]])</f>
        <v/>
      </c>
      <c r="N699" s="22">
        <f t="array" ref="N699">_xlfn.XLOOKUP(非皮卡压缩表[[#This Row],[MODEL]],MODEL缩写表[长MODEL],MODEL缩写表[短MODEL],非皮卡压缩表[[#This Row],[MODEL]])</f>
        <v/>
      </c>
      <c r="O699" s="22">
        <f>LEN(非皮卡压缩表[[#This Row],[SHORT-MODEL]])</f>
        <v/>
      </c>
      <c r="P699" s="11">
        <f t="array" ref="P699">TRIM(_xlfn.XLOOKUP(非皮卡压缩表[[#This Row],[BACKSIZE]],ALL尺码表[内部尺码],ALL尺码表[通用尺码]))</f>
        <v/>
      </c>
    </row>
    <row r="700">
      <c r="A700" s="17" t="inlineStr">
        <is>
          <t>ALL</t>
        </is>
      </c>
      <c r="B700" s="18" t="inlineStr">
        <is>
          <t>Land Rover Defender</t>
        </is>
      </c>
      <c r="C700" s="18" t="inlineStr">
        <is>
          <t>Land Rover</t>
        </is>
      </c>
      <c r="D700" s="18" t="inlineStr">
        <is>
          <t>Defender</t>
        </is>
      </c>
      <c r="E700" s="18" t="inlineStr">
        <is>
          <t>1993-1997</t>
        </is>
      </c>
      <c r="F700" s="18" t="inlineStr">
        <is>
          <t>90 NAS/110 NAS</t>
        </is>
      </c>
      <c r="G700" s="18" t="inlineStr">
        <is>
          <t>SUV</t>
        </is>
      </c>
      <c r="H700" s="18" t="inlineStr">
        <is>
          <t>无可用尺码</t>
        </is>
      </c>
      <c r="I700" s="19">
        <f t="array" ref="I700">TRIM(_xlfn.XLOOKUP(非皮卡压缩表[[#This Row],[BACKSIZE]],ALL尺码表[内部尺码],ALL尺码表[分类],""))</f>
        <v/>
      </c>
      <c r="J700" s="19">
        <f t="array" ref="J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0" s="20">
        <f>LEN(非皮卡压缩表[[#This Row],[LONG-TYPE]])</f>
        <v/>
      </c>
      <c r="L700" s="21">
        <f t="array" ref="L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0" s="22">
        <f>LEN(非皮卡压缩表[[#This Row],[TYPE]])</f>
        <v/>
      </c>
      <c r="N700" s="22">
        <f t="array" ref="N700">_xlfn.XLOOKUP(非皮卡压缩表[[#This Row],[MODEL]],MODEL缩写表[长MODEL],MODEL缩写表[短MODEL],非皮卡压缩表[[#This Row],[MODEL]])</f>
        <v/>
      </c>
      <c r="O700" s="22">
        <f>LEN(非皮卡压缩表[[#This Row],[SHORT-MODEL]])</f>
        <v/>
      </c>
      <c r="P700" s="11">
        <f t="array" ref="P700">TRIM(_xlfn.XLOOKUP(非皮卡压缩表[[#This Row],[BACKSIZE]],ALL尺码表[内部尺码],ALL尺码表[通用尺码]))</f>
        <v/>
      </c>
    </row>
    <row r="701">
      <c r="A701" s="17" t="inlineStr">
        <is>
          <t>ALL</t>
        </is>
      </c>
      <c r="B701" s="18" t="inlineStr">
        <is>
          <t>Land Rover Defender</t>
        </is>
      </c>
      <c r="C701" s="18" t="inlineStr">
        <is>
          <t>Land Rover</t>
        </is>
      </c>
      <c r="D701" s="18" t="inlineStr">
        <is>
          <t>Defender</t>
        </is>
      </c>
      <c r="E701" s="18" t="inlineStr">
        <is>
          <t>2020-2026</t>
        </is>
      </c>
      <c r="F701" s="18" t="inlineStr">
        <is>
          <t>90</t>
        </is>
      </c>
      <c r="G701" s="18" t="inlineStr">
        <is>
          <t>SUV</t>
        </is>
      </c>
      <c r="H701" s="18" t="inlineStr">
        <is>
          <t>YM+</t>
        </is>
      </c>
      <c r="I701" s="19">
        <f t="array" ref="I701">TRIM(_xlfn.XLOOKUP(非皮卡压缩表[[#This Row],[BACKSIZE]],ALL尺码表[内部尺码],ALL尺码表[分类],""))</f>
        <v/>
      </c>
      <c r="J701" s="19">
        <f t="array" ref="J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1" s="20">
        <f>LEN(非皮卡压缩表[[#This Row],[LONG-TYPE]])</f>
        <v/>
      </c>
      <c r="L701" s="21">
        <f t="array" ref="L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1" s="22">
        <f>LEN(非皮卡压缩表[[#This Row],[TYPE]])</f>
        <v/>
      </c>
      <c r="N701" s="22">
        <f t="array" ref="N701">_xlfn.XLOOKUP(非皮卡压缩表[[#This Row],[MODEL]],MODEL缩写表[长MODEL],MODEL缩写表[短MODEL],非皮卡压缩表[[#This Row],[MODEL]])</f>
        <v/>
      </c>
      <c r="O701" s="22">
        <f>LEN(非皮卡压缩表[[#This Row],[SHORT-MODEL]])</f>
        <v/>
      </c>
      <c r="P701" s="11">
        <f t="array" ref="P701">TRIM(_xlfn.XLOOKUP(非皮卡压缩表[[#This Row],[BACKSIZE]],ALL尺码表[内部尺码],ALL尺码表[通用尺码]))</f>
        <v/>
      </c>
    </row>
    <row r="702">
      <c r="A702" s="17" t="inlineStr">
        <is>
          <t>ALL</t>
        </is>
      </c>
      <c r="B702" s="18" t="inlineStr">
        <is>
          <t>Land Rover Defender</t>
        </is>
      </c>
      <c r="C702" s="18" t="inlineStr">
        <is>
          <t>Land Rover</t>
        </is>
      </c>
      <c r="D702" s="18" t="inlineStr">
        <is>
          <t>Defender</t>
        </is>
      </c>
      <c r="E702" s="18" t="inlineStr">
        <is>
          <t>2020-2026</t>
        </is>
      </c>
      <c r="F702" s="18" t="inlineStr">
        <is>
          <t>110/110 OCTA</t>
        </is>
      </c>
      <c r="G702" s="18" t="inlineStr">
        <is>
          <t>SUV</t>
        </is>
      </c>
      <c r="H702" s="18" t="inlineStr">
        <is>
          <t>YXL</t>
        </is>
      </c>
      <c r="I702" s="19">
        <f t="array" ref="I702">TRIM(_xlfn.XLOOKUP(非皮卡压缩表[[#This Row],[BACKSIZE]],ALL尺码表[内部尺码],ALL尺码表[分类],""))</f>
        <v/>
      </c>
      <c r="J702" s="19">
        <f t="array" ref="J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2" s="20">
        <f>LEN(非皮卡压缩表[[#This Row],[LONG-TYPE]])</f>
        <v/>
      </c>
      <c r="L702" s="21">
        <f t="array" ref="L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2" s="22">
        <f>LEN(非皮卡压缩表[[#This Row],[TYPE]])</f>
        <v/>
      </c>
      <c r="N702" s="22">
        <f t="array" ref="N702">_xlfn.XLOOKUP(非皮卡压缩表[[#This Row],[MODEL]],MODEL缩写表[长MODEL],MODEL缩写表[短MODEL],非皮卡压缩表[[#This Row],[MODEL]])</f>
        <v/>
      </c>
      <c r="O702" s="22">
        <f>LEN(非皮卡压缩表[[#This Row],[SHORT-MODEL]])</f>
        <v/>
      </c>
      <c r="P702" s="11">
        <f t="array" ref="P702">TRIM(_xlfn.XLOOKUP(非皮卡压缩表[[#This Row],[BACKSIZE]],ALL尺码表[内部尺码],ALL尺码表[通用尺码]))</f>
        <v/>
      </c>
    </row>
    <row r="703">
      <c r="A703" s="17" t="inlineStr">
        <is>
          <t>ALL</t>
        </is>
      </c>
      <c r="B703" s="18" t="inlineStr">
        <is>
          <t>Land Rover Defender</t>
        </is>
      </c>
      <c r="C703" s="18" t="inlineStr">
        <is>
          <t>Land Rover</t>
        </is>
      </c>
      <c r="D703" s="18" t="inlineStr">
        <is>
          <t>Defender</t>
        </is>
      </c>
      <c r="E703" s="18" t="inlineStr">
        <is>
          <t>2023-2026</t>
        </is>
      </c>
      <c r="F703" s="18" t="inlineStr">
        <is>
          <t>130</t>
        </is>
      </c>
      <c r="G703" s="18" t="inlineStr">
        <is>
          <t>SUV</t>
        </is>
      </c>
      <c r="H703" s="18" t="inlineStr">
        <is>
          <t>YXXL-545</t>
        </is>
      </c>
      <c r="I703" s="19">
        <f t="array" ref="I703">TRIM(_xlfn.XLOOKUP(非皮卡压缩表[[#This Row],[BACKSIZE]],ALL尺码表[内部尺码],ALL尺码表[分类],""))</f>
        <v/>
      </c>
      <c r="J703" s="19">
        <f t="array" ref="J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3" s="20">
        <f>LEN(非皮卡压缩表[[#This Row],[LONG-TYPE]])</f>
        <v/>
      </c>
      <c r="L703" s="21">
        <f t="array" ref="L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3" s="22">
        <f>LEN(非皮卡压缩表[[#This Row],[TYPE]])</f>
        <v/>
      </c>
      <c r="N703" s="22">
        <f t="array" ref="N703">_xlfn.XLOOKUP(非皮卡压缩表[[#This Row],[MODEL]],MODEL缩写表[长MODEL],MODEL缩写表[短MODEL],非皮卡压缩表[[#This Row],[MODEL]])</f>
        <v/>
      </c>
      <c r="O703" s="22">
        <f>LEN(非皮卡压缩表[[#This Row],[SHORT-MODEL]])</f>
        <v/>
      </c>
      <c r="P703" s="11">
        <f t="array" ref="P703">TRIM(_xlfn.XLOOKUP(非皮卡压缩表[[#This Row],[BACKSIZE]],ALL尺码表[内部尺码],ALL尺码表[通用尺码]))</f>
        <v/>
      </c>
    </row>
    <row r="704">
      <c r="A704" s="17" t="inlineStr">
        <is>
          <t>ALL</t>
        </is>
      </c>
      <c r="B704" s="18" t="inlineStr">
        <is>
          <t>Land Rover Discovery</t>
        </is>
      </c>
      <c r="C704" s="18" t="inlineStr">
        <is>
          <t>Land Rover</t>
        </is>
      </c>
      <c r="D704" s="18" t="inlineStr">
        <is>
          <t>Discovery</t>
        </is>
      </c>
      <c r="E704" s="18" t="inlineStr">
        <is>
          <t>1994-1999</t>
        </is>
      </c>
      <c r="F704" s="18" t="inlineStr"/>
      <c r="G704" s="18" t="inlineStr">
        <is>
          <t>SUV</t>
        </is>
      </c>
      <c r="H704" s="18" t="inlineStr">
        <is>
          <t>YM+</t>
        </is>
      </c>
      <c r="I704" s="19">
        <f t="array" ref="I704">TRIM(_xlfn.XLOOKUP(非皮卡压缩表[[#This Row],[BACKSIZE]],ALL尺码表[内部尺码],ALL尺码表[分类],""))</f>
        <v/>
      </c>
      <c r="J704" s="19">
        <f t="array" ref="J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4" s="20">
        <f>LEN(非皮卡压缩表[[#This Row],[LONG-TYPE]])</f>
        <v/>
      </c>
      <c r="L704" s="21">
        <f t="array" ref="L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4" s="22">
        <f>LEN(非皮卡压缩表[[#This Row],[TYPE]])</f>
        <v/>
      </c>
      <c r="N704" s="22">
        <f t="array" ref="N704">_xlfn.XLOOKUP(非皮卡压缩表[[#This Row],[MODEL]],MODEL缩写表[长MODEL],MODEL缩写表[短MODEL],非皮卡压缩表[[#This Row],[MODEL]])</f>
        <v/>
      </c>
      <c r="O704" s="22">
        <f>LEN(非皮卡压缩表[[#This Row],[SHORT-MODEL]])</f>
        <v/>
      </c>
      <c r="P704" s="11">
        <f t="array" ref="P704">TRIM(_xlfn.XLOOKUP(非皮卡压缩表[[#This Row],[BACKSIZE]],ALL尺码表[内部尺码],ALL尺码表[通用尺码]))</f>
        <v/>
      </c>
    </row>
    <row r="705">
      <c r="A705" s="17" t="inlineStr">
        <is>
          <t>ALL</t>
        </is>
      </c>
      <c r="B705" s="18" t="inlineStr">
        <is>
          <t>Land Rover Discovery</t>
        </is>
      </c>
      <c r="C705" s="18" t="inlineStr">
        <is>
          <t>Land Rover</t>
        </is>
      </c>
      <c r="D705" s="18" t="inlineStr">
        <is>
          <t>Discovery</t>
        </is>
      </c>
      <c r="E705" s="18" t="inlineStr">
        <is>
          <t>2000-2004</t>
        </is>
      </c>
      <c r="F705" s="18" t="inlineStr"/>
      <c r="G705" s="18" t="inlineStr">
        <is>
          <t>SUV</t>
        </is>
      </c>
      <c r="H705" s="18" t="inlineStr">
        <is>
          <t>YL</t>
        </is>
      </c>
      <c r="I705" s="19">
        <f t="array" ref="I705">TRIM(_xlfn.XLOOKUP(非皮卡压缩表[[#This Row],[BACKSIZE]],ALL尺码表[内部尺码],ALL尺码表[分类],""))</f>
        <v/>
      </c>
      <c r="J705" s="19">
        <f t="array" ref="J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5" s="20">
        <f>LEN(非皮卡压缩表[[#This Row],[LONG-TYPE]])</f>
        <v/>
      </c>
      <c r="L705" s="21">
        <f t="array" ref="L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5" s="22">
        <f>LEN(非皮卡压缩表[[#This Row],[TYPE]])</f>
        <v/>
      </c>
      <c r="N705" s="22">
        <f t="array" ref="N705">_xlfn.XLOOKUP(非皮卡压缩表[[#This Row],[MODEL]],MODEL缩写表[长MODEL],MODEL缩写表[短MODEL],非皮卡压缩表[[#This Row],[MODEL]])</f>
        <v/>
      </c>
      <c r="O705" s="22">
        <f>LEN(非皮卡压缩表[[#This Row],[SHORT-MODEL]])</f>
        <v/>
      </c>
      <c r="P705" s="11">
        <f t="array" ref="P705">TRIM(_xlfn.XLOOKUP(非皮卡压缩表[[#This Row],[BACKSIZE]],ALL尺码表[内部尺码],ALL尺码表[通用尺码]))</f>
        <v/>
      </c>
    </row>
    <row r="706">
      <c r="A706" s="17" t="inlineStr">
        <is>
          <t>ALL</t>
        </is>
      </c>
      <c r="B706" s="18" t="inlineStr">
        <is>
          <t>Land Rover Discovery</t>
        </is>
      </c>
      <c r="C706" s="18" t="inlineStr">
        <is>
          <t>Land Rover</t>
        </is>
      </c>
      <c r="D706" s="18" t="inlineStr">
        <is>
          <t>Discovery</t>
        </is>
      </c>
      <c r="E706" s="18" t="inlineStr">
        <is>
          <t>2010-2024</t>
        </is>
      </c>
      <c r="F706" s="18" t="inlineStr"/>
      <c r="G706" s="18" t="inlineStr">
        <is>
          <t>SUV</t>
        </is>
      </c>
      <c r="H706" s="18" t="inlineStr">
        <is>
          <t>YXL</t>
        </is>
      </c>
      <c r="I706" s="19">
        <f t="array" ref="I706">TRIM(_xlfn.XLOOKUP(非皮卡压缩表[[#This Row],[BACKSIZE]],ALL尺码表[内部尺码],ALL尺码表[分类],""))</f>
        <v/>
      </c>
      <c r="J706" s="19">
        <f t="array" ref="J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6" s="20">
        <f>LEN(非皮卡压缩表[[#This Row],[LONG-TYPE]])</f>
        <v/>
      </c>
      <c r="L706" s="21">
        <f t="array" ref="L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6" s="22">
        <f>LEN(非皮卡压缩表[[#This Row],[TYPE]])</f>
        <v/>
      </c>
      <c r="N706" s="22">
        <f t="array" ref="N706">_xlfn.XLOOKUP(非皮卡压缩表[[#This Row],[MODEL]],MODEL缩写表[长MODEL],MODEL缩写表[短MODEL],非皮卡压缩表[[#This Row],[MODEL]])</f>
        <v/>
      </c>
      <c r="O706" s="22">
        <f>LEN(非皮卡压缩表[[#This Row],[SHORT-MODEL]])</f>
        <v/>
      </c>
      <c r="P706" s="11">
        <f t="array" ref="P706">TRIM(_xlfn.XLOOKUP(非皮卡压缩表[[#This Row],[BACKSIZE]],ALL尺码表[内部尺码],ALL尺码表[通用尺码]))</f>
        <v/>
      </c>
    </row>
    <row r="707">
      <c r="A707" s="17" t="inlineStr">
        <is>
          <t>ALL</t>
        </is>
      </c>
      <c r="B707" s="18" t="inlineStr">
        <is>
          <t>Land Rover Discovery Sport</t>
        </is>
      </c>
      <c r="C707" s="18" t="inlineStr">
        <is>
          <t>Land Rover</t>
        </is>
      </c>
      <c r="D707" s="18" t="inlineStr">
        <is>
          <t>Discovery Sport</t>
        </is>
      </c>
      <c r="E707" s="18" t="inlineStr">
        <is>
          <t>2015-2026</t>
        </is>
      </c>
      <c r="F707" s="18" t="inlineStr"/>
      <c r="G707" s="18" t="inlineStr">
        <is>
          <t>SUV</t>
        </is>
      </c>
      <c r="H707" s="18" t="inlineStr">
        <is>
          <t>YM+</t>
        </is>
      </c>
      <c r="I707" s="19">
        <f t="array" ref="I707">TRIM(_xlfn.XLOOKUP(非皮卡压缩表[[#This Row],[BACKSIZE]],ALL尺码表[内部尺码],ALL尺码表[分类],""))</f>
        <v/>
      </c>
      <c r="J707" s="19">
        <f t="array" ref="J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7" s="20">
        <f>LEN(非皮卡压缩表[[#This Row],[LONG-TYPE]])</f>
        <v/>
      </c>
      <c r="L707" s="21">
        <f t="array" ref="L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7" s="22">
        <f>LEN(非皮卡压缩表[[#This Row],[TYPE]])</f>
        <v/>
      </c>
      <c r="N707" s="22">
        <f t="array" ref="N707">_xlfn.XLOOKUP(非皮卡压缩表[[#This Row],[MODEL]],MODEL缩写表[长MODEL],MODEL缩写表[短MODEL],非皮卡压缩表[[#This Row],[MODEL]])</f>
        <v/>
      </c>
      <c r="O707" s="22">
        <f>LEN(非皮卡压缩表[[#This Row],[SHORT-MODEL]])</f>
        <v/>
      </c>
      <c r="P707" s="11">
        <f t="array" ref="P707">TRIM(_xlfn.XLOOKUP(非皮卡压缩表[[#This Row],[BACKSIZE]],ALL尺码表[内部尺码],ALL尺码表[通用尺码]))</f>
        <v/>
      </c>
    </row>
    <row r="708">
      <c r="A708" s="17" t="inlineStr">
        <is>
          <t>ALL</t>
        </is>
      </c>
      <c r="B708" s="18" t="inlineStr">
        <is>
          <t>Land Rover Evoque</t>
        </is>
      </c>
      <c r="C708" s="18" t="inlineStr">
        <is>
          <t>Land Rover</t>
        </is>
      </c>
      <c r="D708" s="18" t="inlineStr">
        <is>
          <t>Evoque</t>
        </is>
      </c>
      <c r="E708" s="18" t="inlineStr">
        <is>
          <t>2012-2018</t>
        </is>
      </c>
      <c r="F708" s="18" t="inlineStr"/>
      <c r="G708" s="18" t="inlineStr">
        <is>
          <t>Coupe</t>
        </is>
      </c>
      <c r="H708" s="18" t="inlineStr">
        <is>
          <t>3L-0</t>
        </is>
      </c>
      <c r="I708" s="19">
        <f t="array" ref="I708">TRIM(_xlfn.XLOOKUP(非皮卡压缩表[[#This Row],[BACKSIZE]],ALL尺码表[内部尺码],ALL尺码表[分类],""))</f>
        <v/>
      </c>
      <c r="J708" s="19">
        <f t="array" ref="J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8" s="20">
        <f>LEN(非皮卡压缩表[[#This Row],[LONG-TYPE]])</f>
        <v/>
      </c>
      <c r="L708" s="21">
        <f t="array" ref="L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8" s="22">
        <f>LEN(非皮卡压缩表[[#This Row],[TYPE]])</f>
        <v/>
      </c>
      <c r="N708" s="22">
        <f t="array" ref="N708">_xlfn.XLOOKUP(非皮卡压缩表[[#This Row],[MODEL]],MODEL缩写表[长MODEL],MODEL缩写表[短MODEL],非皮卡压缩表[[#This Row],[MODEL]])</f>
        <v/>
      </c>
      <c r="O708" s="22">
        <f>LEN(非皮卡压缩表[[#This Row],[SHORT-MODEL]])</f>
        <v/>
      </c>
      <c r="P708" s="11">
        <f t="array" ref="P708">TRIM(_xlfn.XLOOKUP(非皮卡压缩表[[#This Row],[BACKSIZE]],ALL尺码表[内部尺码],ALL尺码表[通用尺码]))</f>
        <v/>
      </c>
    </row>
    <row r="709">
      <c r="A709" s="17" t="inlineStr">
        <is>
          <t>ALL</t>
        </is>
      </c>
      <c r="B709" s="18" t="inlineStr">
        <is>
          <t>Land Rover Evoque</t>
        </is>
      </c>
      <c r="C709" s="18" t="inlineStr">
        <is>
          <t>Land Rover</t>
        </is>
      </c>
      <c r="D709" s="18" t="inlineStr">
        <is>
          <t>Evoque</t>
        </is>
      </c>
      <c r="E709" s="18" t="inlineStr">
        <is>
          <t>2020-2026</t>
        </is>
      </c>
      <c r="F709" s="18" t="inlineStr"/>
      <c r="G709" s="18" t="inlineStr">
        <is>
          <t>SUV</t>
        </is>
      </c>
      <c r="H709" s="18" t="inlineStr">
        <is>
          <t>YM+</t>
        </is>
      </c>
      <c r="I709" s="19">
        <f t="array" ref="I709">TRIM(_xlfn.XLOOKUP(非皮卡压缩表[[#This Row],[BACKSIZE]],ALL尺码表[内部尺码],ALL尺码表[分类],""))</f>
        <v/>
      </c>
      <c r="J709" s="19">
        <f t="array" ref="J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9" s="20">
        <f>LEN(非皮卡压缩表[[#This Row],[LONG-TYPE]])</f>
        <v/>
      </c>
      <c r="L709" s="21">
        <f t="array" ref="L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9" s="22">
        <f>LEN(非皮卡压缩表[[#This Row],[TYPE]])</f>
        <v/>
      </c>
      <c r="N709" s="22">
        <f t="array" ref="N709">_xlfn.XLOOKUP(非皮卡压缩表[[#This Row],[MODEL]],MODEL缩写表[长MODEL],MODEL缩写表[短MODEL],非皮卡压缩表[[#This Row],[MODEL]])</f>
        <v/>
      </c>
      <c r="O709" s="22">
        <f>LEN(非皮卡压缩表[[#This Row],[SHORT-MODEL]])</f>
        <v/>
      </c>
      <c r="P709" s="11">
        <f t="array" ref="P709">TRIM(_xlfn.XLOOKUP(非皮卡压缩表[[#This Row],[BACKSIZE]],ALL尺码表[内部尺码],ALL尺码表[通用尺码]))</f>
        <v/>
      </c>
    </row>
    <row r="710">
      <c r="A710" s="17" t="inlineStr">
        <is>
          <t>ALL</t>
        </is>
      </c>
      <c r="B710" s="18" t="inlineStr">
        <is>
          <t>Land Rover Freelander</t>
        </is>
      </c>
      <c r="C710" s="18" t="inlineStr">
        <is>
          <t>Land Rover</t>
        </is>
      </c>
      <c r="D710" s="18" t="inlineStr">
        <is>
          <t>Freelander</t>
        </is>
      </c>
      <c r="E710" s="18" t="inlineStr">
        <is>
          <t>2002-2005</t>
        </is>
      </c>
      <c r="F710" s="18" t="inlineStr"/>
      <c r="G710" s="18" t="inlineStr">
        <is>
          <t>SUV</t>
        </is>
      </c>
      <c r="H710" s="18" t="inlineStr">
        <is>
          <t>YM+</t>
        </is>
      </c>
      <c r="I710" s="19">
        <f t="array" ref="I710">TRIM(_xlfn.XLOOKUP(非皮卡压缩表[[#This Row],[BACKSIZE]],ALL尺码表[内部尺码],ALL尺码表[分类],""))</f>
        <v/>
      </c>
      <c r="J710" s="19">
        <f t="array" ref="J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0" s="20">
        <f>LEN(非皮卡压缩表[[#This Row],[LONG-TYPE]])</f>
        <v/>
      </c>
      <c r="L710" s="21">
        <f t="array" ref="L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0" s="22">
        <f>LEN(非皮卡压缩表[[#This Row],[TYPE]])</f>
        <v/>
      </c>
      <c r="N710" s="22">
        <f t="array" ref="N710">_xlfn.XLOOKUP(非皮卡压缩表[[#This Row],[MODEL]],MODEL缩写表[长MODEL],MODEL缩写表[短MODEL],非皮卡压缩表[[#This Row],[MODEL]])</f>
        <v/>
      </c>
      <c r="O710" s="22">
        <f>LEN(非皮卡压缩表[[#This Row],[SHORT-MODEL]])</f>
        <v/>
      </c>
      <c r="P710" s="11">
        <f t="array" ref="P710">TRIM(_xlfn.XLOOKUP(非皮卡压缩表[[#This Row],[BACKSIZE]],ALL尺码表[内部尺码],ALL尺码表[通用尺码]))</f>
        <v/>
      </c>
    </row>
    <row r="711">
      <c r="A711" s="17" t="inlineStr">
        <is>
          <t>ALL</t>
        </is>
      </c>
      <c r="B711" s="18" t="inlineStr">
        <is>
          <t>Land Rover LR2</t>
        </is>
      </c>
      <c r="C711" s="18" t="inlineStr">
        <is>
          <t>Land Rover</t>
        </is>
      </c>
      <c r="D711" s="18" t="inlineStr">
        <is>
          <t>LR2</t>
        </is>
      </c>
      <c r="E711" s="18" t="inlineStr">
        <is>
          <t>2008-2015</t>
        </is>
      </c>
      <c r="F711" s="18" t="inlineStr"/>
      <c r="G711" s="18" t="inlineStr">
        <is>
          <t>SUV</t>
        </is>
      </c>
      <c r="H711" s="18" t="inlineStr">
        <is>
          <t>YM+</t>
        </is>
      </c>
      <c r="I711" s="19">
        <f t="array" ref="I711">TRIM(_xlfn.XLOOKUP(非皮卡压缩表[[#This Row],[BACKSIZE]],ALL尺码表[内部尺码],ALL尺码表[分类],""))</f>
        <v/>
      </c>
      <c r="J711" s="19">
        <f t="array" ref="J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1" s="20">
        <f>LEN(非皮卡压缩表[[#This Row],[LONG-TYPE]])</f>
        <v/>
      </c>
      <c r="L711" s="21">
        <f t="array" ref="L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1" s="22">
        <f>LEN(非皮卡压缩表[[#This Row],[TYPE]])</f>
        <v/>
      </c>
      <c r="N711" s="22">
        <f t="array" ref="N711">_xlfn.XLOOKUP(非皮卡压缩表[[#This Row],[MODEL]],MODEL缩写表[长MODEL],MODEL缩写表[短MODEL],非皮卡压缩表[[#This Row],[MODEL]])</f>
        <v/>
      </c>
      <c r="O711" s="22">
        <f>LEN(非皮卡压缩表[[#This Row],[SHORT-MODEL]])</f>
        <v/>
      </c>
      <c r="P711" s="11">
        <f t="array" ref="P711">TRIM(_xlfn.XLOOKUP(非皮卡压缩表[[#This Row],[BACKSIZE]],ALL尺码表[内部尺码],ALL尺码表[通用尺码]))</f>
        <v/>
      </c>
    </row>
    <row r="712">
      <c r="A712" s="17" t="inlineStr">
        <is>
          <t>ALL</t>
        </is>
      </c>
      <c r="B712" s="18" t="inlineStr">
        <is>
          <t>Land Rover LR3</t>
        </is>
      </c>
      <c r="C712" s="18" t="inlineStr">
        <is>
          <t>Land Rover</t>
        </is>
      </c>
      <c r="D712" s="18" t="inlineStr">
        <is>
          <t>LR3</t>
        </is>
      </c>
      <c r="E712" s="18" t="inlineStr">
        <is>
          <t>2005-2009</t>
        </is>
      </c>
      <c r="F712" s="18" t="inlineStr"/>
      <c r="G712" s="18" t="inlineStr">
        <is>
          <t>SUV</t>
        </is>
      </c>
      <c r="H712" s="18" t="inlineStr">
        <is>
          <t>YXL</t>
        </is>
      </c>
      <c r="I712" s="19">
        <f t="array" ref="I712">TRIM(_xlfn.XLOOKUP(非皮卡压缩表[[#This Row],[BACKSIZE]],ALL尺码表[内部尺码],ALL尺码表[分类],""))</f>
        <v/>
      </c>
      <c r="J712" s="19">
        <f t="array" ref="J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2" s="20">
        <f>LEN(非皮卡压缩表[[#This Row],[LONG-TYPE]])</f>
        <v/>
      </c>
      <c r="L712" s="21">
        <f t="array" ref="L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2" s="22">
        <f>LEN(非皮卡压缩表[[#This Row],[TYPE]])</f>
        <v/>
      </c>
      <c r="N712" s="22">
        <f t="array" ref="N712">_xlfn.XLOOKUP(非皮卡压缩表[[#This Row],[MODEL]],MODEL缩写表[长MODEL],MODEL缩写表[短MODEL],非皮卡压缩表[[#This Row],[MODEL]])</f>
        <v/>
      </c>
      <c r="O712" s="22">
        <f>LEN(非皮卡压缩表[[#This Row],[SHORT-MODEL]])</f>
        <v/>
      </c>
      <c r="P712" s="11">
        <f t="array" ref="P712">TRIM(_xlfn.XLOOKUP(非皮卡压缩表[[#This Row],[BACKSIZE]],ALL尺码表[内部尺码],ALL尺码表[通用尺码]))</f>
        <v/>
      </c>
    </row>
    <row r="713">
      <c r="A713" s="17" t="inlineStr">
        <is>
          <t>ALL</t>
        </is>
      </c>
      <c r="B713" s="18" t="inlineStr">
        <is>
          <t>Land Rover LR4</t>
        </is>
      </c>
      <c r="C713" s="18" t="inlineStr">
        <is>
          <t>Land Rover</t>
        </is>
      </c>
      <c r="D713" s="18" t="inlineStr">
        <is>
          <t>LR4</t>
        </is>
      </c>
      <c r="E713" s="18" t="inlineStr">
        <is>
          <t>2010-2016</t>
        </is>
      </c>
      <c r="F713" s="18" t="inlineStr"/>
      <c r="G713" s="18" t="inlineStr">
        <is>
          <t>SUV</t>
        </is>
      </c>
      <c r="H713" s="18" t="inlineStr">
        <is>
          <t>YXL</t>
        </is>
      </c>
      <c r="I713" s="19">
        <f t="array" ref="I713">TRIM(_xlfn.XLOOKUP(非皮卡压缩表[[#This Row],[BACKSIZE]],ALL尺码表[内部尺码],ALL尺码表[分类],""))</f>
        <v/>
      </c>
      <c r="J713" s="19">
        <f t="array" ref="J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3" s="20">
        <f>LEN(非皮卡压缩表[[#This Row],[LONG-TYPE]])</f>
        <v/>
      </c>
      <c r="L713" s="21">
        <f t="array" ref="L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3" s="22">
        <f>LEN(非皮卡压缩表[[#This Row],[TYPE]])</f>
        <v/>
      </c>
      <c r="N713" s="22">
        <f t="array" ref="N713">_xlfn.XLOOKUP(非皮卡压缩表[[#This Row],[MODEL]],MODEL缩写表[长MODEL],MODEL缩写表[短MODEL],非皮卡压缩表[[#This Row],[MODEL]])</f>
        <v/>
      </c>
      <c r="O713" s="22">
        <f>LEN(非皮卡压缩表[[#This Row],[SHORT-MODEL]])</f>
        <v/>
      </c>
      <c r="P713" s="11">
        <f t="array" ref="P713">TRIM(_xlfn.XLOOKUP(非皮卡压缩表[[#This Row],[BACKSIZE]],ALL尺码表[内部尺码],ALL尺码表[通用尺码]))</f>
        <v/>
      </c>
    </row>
    <row r="714">
      <c r="A714" s="17" t="inlineStr">
        <is>
          <t>ALL</t>
        </is>
      </c>
      <c r="B714" s="18" t="inlineStr">
        <is>
          <t>Land Rover Range Rover</t>
        </is>
      </c>
      <c r="C714" s="18" t="inlineStr">
        <is>
          <t>Land Rover</t>
        </is>
      </c>
      <c r="D714" s="18" t="inlineStr">
        <is>
          <t>Range Rover</t>
        </is>
      </c>
      <c r="E714" s="18" t="inlineStr">
        <is>
          <t>1987-1992</t>
        </is>
      </c>
      <c r="F714" s="18" t="inlineStr"/>
      <c r="G714" s="18" t="inlineStr">
        <is>
          <t>SUV</t>
        </is>
      </c>
      <c r="H714" s="18" t="inlineStr">
        <is>
          <t>YM+</t>
        </is>
      </c>
      <c r="I714" s="19">
        <f t="array" ref="I714">TRIM(_xlfn.XLOOKUP(非皮卡压缩表[[#This Row],[BACKSIZE]],ALL尺码表[内部尺码],ALL尺码表[分类],""))</f>
        <v/>
      </c>
      <c r="J714" s="19">
        <f t="array" ref="J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4" s="20">
        <f>LEN(非皮卡压缩表[[#This Row],[LONG-TYPE]])</f>
        <v/>
      </c>
      <c r="L714" s="21">
        <f t="array" ref="L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4" s="22">
        <f>LEN(非皮卡压缩表[[#This Row],[TYPE]])</f>
        <v/>
      </c>
      <c r="N714" s="22">
        <f t="array" ref="N714">_xlfn.XLOOKUP(非皮卡压缩表[[#This Row],[MODEL]],MODEL缩写表[长MODEL],MODEL缩写表[短MODEL],非皮卡压缩表[[#This Row],[MODEL]])</f>
        <v/>
      </c>
      <c r="O714" s="22">
        <f>LEN(非皮卡压缩表[[#This Row],[SHORT-MODEL]])</f>
        <v/>
      </c>
      <c r="P714" s="11">
        <f t="array" ref="P714">TRIM(_xlfn.XLOOKUP(非皮卡压缩表[[#This Row],[BACKSIZE]],ALL尺码表[内部尺码],ALL尺码表[通用尺码]))</f>
        <v/>
      </c>
    </row>
    <row r="715">
      <c r="A715" s="17" t="inlineStr">
        <is>
          <t>ALL</t>
        </is>
      </c>
      <c r="B715" s="18" t="inlineStr">
        <is>
          <t>Land Rover Range Rover</t>
        </is>
      </c>
      <c r="C715" s="18" t="inlineStr">
        <is>
          <t>Land Rover</t>
        </is>
      </c>
      <c r="D715" s="18" t="inlineStr">
        <is>
          <t>Range Rover</t>
        </is>
      </c>
      <c r="E715" s="18" t="inlineStr">
        <is>
          <t>1993-2002</t>
        </is>
      </c>
      <c r="F715" s="18" t="inlineStr">
        <is>
          <t>Incl: LWB</t>
        </is>
      </c>
      <c r="G715" s="18" t="inlineStr">
        <is>
          <t>SUV</t>
        </is>
      </c>
      <c r="H715" s="18" t="inlineStr">
        <is>
          <t>YL</t>
        </is>
      </c>
      <c r="I715" s="19">
        <f t="array" ref="I715">TRIM(_xlfn.XLOOKUP(非皮卡压缩表[[#This Row],[BACKSIZE]],ALL尺码表[内部尺码],ALL尺码表[分类],""))</f>
        <v/>
      </c>
      <c r="J715" s="19">
        <f t="array" ref="J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5" s="20">
        <f>LEN(非皮卡压缩表[[#This Row],[LONG-TYPE]])</f>
        <v/>
      </c>
      <c r="L715" s="21">
        <f t="array" ref="L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5" s="22">
        <f>LEN(非皮卡压缩表[[#This Row],[TYPE]])</f>
        <v/>
      </c>
      <c r="N715" s="22">
        <f t="array" ref="N715">_xlfn.XLOOKUP(非皮卡压缩表[[#This Row],[MODEL]],MODEL缩写表[长MODEL],MODEL缩写表[短MODEL],非皮卡压缩表[[#This Row],[MODEL]])</f>
        <v/>
      </c>
      <c r="O715" s="22">
        <f>LEN(非皮卡压缩表[[#This Row],[SHORT-MODEL]])</f>
        <v/>
      </c>
      <c r="P715" s="11">
        <f t="array" ref="P715">TRIM(_xlfn.XLOOKUP(非皮卡压缩表[[#This Row],[BACKSIZE]],ALL尺码表[内部尺码],ALL尺码表[通用尺码]))</f>
        <v/>
      </c>
    </row>
    <row r="716">
      <c r="A716" s="17" t="inlineStr">
        <is>
          <t>ALL</t>
        </is>
      </c>
      <c r="B716" s="18" t="inlineStr">
        <is>
          <t>Land Rover Range Rover</t>
        </is>
      </c>
      <c r="C716" s="18" t="inlineStr">
        <is>
          <t>Land Rover</t>
        </is>
      </c>
      <c r="D716" s="18" t="inlineStr">
        <is>
          <t>Range Rover</t>
        </is>
      </c>
      <c r="E716" s="18" t="inlineStr">
        <is>
          <t>2003-2026</t>
        </is>
      </c>
      <c r="F716" s="18" t="inlineStr"/>
      <c r="G716" s="18" t="inlineStr">
        <is>
          <t>SUV</t>
        </is>
      </c>
      <c r="H716" s="18" t="inlineStr">
        <is>
          <t>YXL</t>
        </is>
      </c>
      <c r="I716" s="19">
        <f t="array" ref="I716">TRIM(_xlfn.XLOOKUP(非皮卡压缩表[[#This Row],[BACKSIZE]],ALL尺码表[内部尺码],ALL尺码表[分类],""))</f>
        <v/>
      </c>
      <c r="J716" s="19">
        <f t="array" ref="J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6" s="20">
        <f>LEN(非皮卡压缩表[[#This Row],[LONG-TYPE]])</f>
        <v/>
      </c>
      <c r="L716" s="21">
        <f t="array" ref="L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6" s="22">
        <f>LEN(非皮卡压缩表[[#This Row],[TYPE]])</f>
        <v/>
      </c>
      <c r="N716" s="22">
        <f t="array" ref="N716">_xlfn.XLOOKUP(非皮卡压缩表[[#This Row],[MODEL]],MODEL缩写表[长MODEL],MODEL缩写表[短MODEL],非皮卡压缩表[[#This Row],[MODEL]])</f>
        <v/>
      </c>
      <c r="O716" s="22">
        <f>LEN(非皮卡压缩表[[#This Row],[SHORT-MODEL]])</f>
        <v/>
      </c>
      <c r="P716" s="11">
        <f t="array" ref="P716">TRIM(_xlfn.XLOOKUP(非皮卡压缩表[[#This Row],[BACKSIZE]],ALL尺码表[内部尺码],ALL尺码表[通用尺码]))</f>
        <v/>
      </c>
    </row>
    <row r="717">
      <c r="A717" s="17" t="inlineStr">
        <is>
          <t>ALL</t>
        </is>
      </c>
      <c r="B717" s="18" t="inlineStr">
        <is>
          <t>Land Rover Range Rover</t>
        </is>
      </c>
      <c r="C717" s="18" t="inlineStr">
        <is>
          <t>Land Rover</t>
        </is>
      </c>
      <c r="D717" s="18" t="inlineStr">
        <is>
          <t>Range Rover</t>
        </is>
      </c>
      <c r="E717" s="18" t="inlineStr">
        <is>
          <t>2014-2026</t>
        </is>
      </c>
      <c r="F717" s="18" t="inlineStr">
        <is>
          <t>LWB</t>
        </is>
      </c>
      <c r="G717" s="18" t="inlineStr">
        <is>
          <t>SUV</t>
        </is>
      </c>
      <c r="H717" s="18" t="inlineStr">
        <is>
          <t>YXXL</t>
        </is>
      </c>
      <c r="I717" s="19">
        <f t="array" ref="I717">TRIM(_xlfn.XLOOKUP(非皮卡压缩表[[#This Row],[BACKSIZE]],ALL尺码表[内部尺码],ALL尺码表[分类],""))</f>
        <v/>
      </c>
      <c r="J717" s="19">
        <f t="array" ref="J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7" s="20">
        <f>LEN(非皮卡压缩表[[#This Row],[LONG-TYPE]])</f>
        <v/>
      </c>
      <c r="L717" s="21">
        <f t="array" ref="L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7" s="22">
        <f>LEN(非皮卡压缩表[[#This Row],[TYPE]])</f>
        <v/>
      </c>
      <c r="N717" s="22">
        <f t="array" ref="N717">_xlfn.XLOOKUP(非皮卡压缩表[[#This Row],[MODEL]],MODEL缩写表[长MODEL],MODEL缩写表[短MODEL],非皮卡压缩表[[#This Row],[MODEL]])</f>
        <v/>
      </c>
      <c r="O717" s="22">
        <f>LEN(非皮卡压缩表[[#This Row],[SHORT-MODEL]])</f>
        <v/>
      </c>
      <c r="P717" s="11">
        <f t="array" ref="P717">TRIM(_xlfn.XLOOKUP(非皮卡压缩表[[#This Row],[BACKSIZE]],ALL尺码表[内部尺码],ALL尺码表[通用尺码]))</f>
        <v/>
      </c>
    </row>
    <row r="718">
      <c r="A718" s="17" t="inlineStr">
        <is>
          <t>ALL</t>
        </is>
      </c>
      <c r="B718" s="18" t="inlineStr">
        <is>
          <t>Land Rover Range Rover Evoque</t>
        </is>
      </c>
      <c r="C718" s="18" t="inlineStr">
        <is>
          <t>Land Rover</t>
        </is>
      </c>
      <c r="D718" s="18" t="inlineStr">
        <is>
          <t>Range Rover Evoque</t>
        </is>
      </c>
      <c r="E718" s="18" t="inlineStr">
        <is>
          <t>2012-2016</t>
        </is>
      </c>
      <c r="F718" s="18" t="inlineStr"/>
      <c r="G718" s="18" t="inlineStr">
        <is>
          <t>Coupe</t>
        </is>
      </c>
      <c r="H718" s="18" t="inlineStr">
        <is>
          <t>3M-0</t>
        </is>
      </c>
      <c r="I718" s="19">
        <f t="array" ref="I718">TRIM(_xlfn.XLOOKUP(非皮卡压缩表[[#This Row],[BACKSIZE]],ALL尺码表[内部尺码],ALL尺码表[分类],""))</f>
        <v/>
      </c>
      <c r="J718" s="19">
        <f t="array" ref="J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8" s="20">
        <f>LEN(非皮卡压缩表[[#This Row],[LONG-TYPE]])</f>
        <v/>
      </c>
      <c r="L718" s="21">
        <f t="array" ref="L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8" s="22">
        <f>LEN(非皮卡压缩表[[#This Row],[TYPE]])</f>
        <v/>
      </c>
      <c r="N718" s="22">
        <f t="array" ref="N718">_xlfn.XLOOKUP(非皮卡压缩表[[#This Row],[MODEL]],MODEL缩写表[长MODEL],MODEL缩写表[短MODEL],非皮卡压缩表[[#This Row],[MODEL]])</f>
        <v/>
      </c>
      <c r="O718" s="22">
        <f>LEN(非皮卡压缩表[[#This Row],[SHORT-MODEL]])</f>
        <v/>
      </c>
      <c r="P718" s="11">
        <f t="array" ref="P718">TRIM(_xlfn.XLOOKUP(非皮卡压缩表[[#This Row],[BACKSIZE]],ALL尺码表[内部尺码],ALL尺码表[通用尺码]))</f>
        <v/>
      </c>
    </row>
    <row r="719">
      <c r="A719" s="17" t="inlineStr">
        <is>
          <t>ALL</t>
        </is>
      </c>
      <c r="B719" s="18" t="inlineStr">
        <is>
          <t>Land Rover Range Rover Evoque</t>
        </is>
      </c>
      <c r="C719" s="18" t="inlineStr">
        <is>
          <t>Land Rover</t>
        </is>
      </c>
      <c r="D719" s="18" t="inlineStr">
        <is>
          <t>Range Rover Evoque</t>
        </is>
      </c>
      <c r="E719" s="18" t="inlineStr">
        <is>
          <t>2017-2019</t>
        </is>
      </c>
      <c r="F719" s="18" t="inlineStr"/>
      <c r="G719" s="18" t="inlineStr">
        <is>
          <t>Convertible</t>
        </is>
      </c>
      <c r="H719" s="18" t="inlineStr">
        <is>
          <t>3L-0</t>
        </is>
      </c>
      <c r="I719" s="19">
        <f t="array" ref="I719">TRIM(_xlfn.XLOOKUP(非皮卡压缩表[[#This Row],[BACKSIZE]],ALL尺码表[内部尺码],ALL尺码表[分类],""))</f>
        <v/>
      </c>
      <c r="J719" s="19">
        <f t="array" ref="J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9" s="20">
        <f>LEN(非皮卡压缩表[[#This Row],[LONG-TYPE]])</f>
        <v/>
      </c>
      <c r="L719" s="21">
        <f t="array" ref="L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9" s="22">
        <f>LEN(非皮卡压缩表[[#This Row],[TYPE]])</f>
        <v/>
      </c>
      <c r="N719" s="22">
        <f t="array" ref="N719">_xlfn.XLOOKUP(非皮卡压缩表[[#This Row],[MODEL]],MODEL缩写表[长MODEL],MODEL缩写表[短MODEL],非皮卡压缩表[[#This Row],[MODEL]])</f>
        <v/>
      </c>
      <c r="O719" s="22">
        <f>LEN(非皮卡压缩表[[#This Row],[SHORT-MODEL]])</f>
        <v/>
      </c>
      <c r="P719" s="11">
        <f t="array" ref="P719">TRIM(_xlfn.XLOOKUP(非皮卡压缩表[[#This Row],[BACKSIZE]],ALL尺码表[内部尺码],ALL尺码表[通用尺码]))</f>
        <v/>
      </c>
    </row>
    <row r="720">
      <c r="A720" s="17" t="inlineStr">
        <is>
          <t>ALL</t>
        </is>
      </c>
      <c r="B720" s="18" t="inlineStr">
        <is>
          <t>Land Rover Range Rover Evoque</t>
        </is>
      </c>
      <c r="C720" s="18" t="inlineStr">
        <is>
          <t>Land Rover</t>
        </is>
      </c>
      <c r="D720" s="18" t="inlineStr">
        <is>
          <t>Range Rover Evoque</t>
        </is>
      </c>
      <c r="E720" s="18" t="inlineStr">
        <is>
          <t>2020-2026</t>
        </is>
      </c>
      <c r="F720" s="18" t="inlineStr"/>
      <c r="G720" s="18" t="inlineStr">
        <is>
          <t>SUV</t>
        </is>
      </c>
      <c r="H720" s="18" t="inlineStr">
        <is>
          <t>YM+</t>
        </is>
      </c>
      <c r="I720" s="19">
        <f t="array" ref="I720">TRIM(_xlfn.XLOOKUP(非皮卡压缩表[[#This Row],[BACKSIZE]],ALL尺码表[内部尺码],ALL尺码表[分类],""))</f>
        <v/>
      </c>
      <c r="J720" s="19">
        <f t="array" ref="J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0" s="20">
        <f>LEN(非皮卡压缩表[[#This Row],[LONG-TYPE]])</f>
        <v/>
      </c>
      <c r="L720" s="21">
        <f t="array" ref="L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0" s="22">
        <f>LEN(非皮卡压缩表[[#This Row],[TYPE]])</f>
        <v/>
      </c>
      <c r="N720" s="22">
        <f t="array" ref="N720">_xlfn.XLOOKUP(非皮卡压缩表[[#This Row],[MODEL]],MODEL缩写表[长MODEL],MODEL缩写表[短MODEL],非皮卡压缩表[[#This Row],[MODEL]])</f>
        <v/>
      </c>
      <c r="O720" s="22">
        <f>LEN(非皮卡压缩表[[#This Row],[SHORT-MODEL]])</f>
        <v/>
      </c>
      <c r="P720" s="11">
        <f t="array" ref="P720">TRIM(_xlfn.XLOOKUP(非皮卡压缩表[[#This Row],[BACKSIZE]],ALL尺码表[内部尺码],ALL尺码表[通用尺码]))</f>
        <v/>
      </c>
    </row>
    <row r="721">
      <c r="A721" s="17" t="inlineStr">
        <is>
          <t>ALL</t>
        </is>
      </c>
      <c r="B721" s="18" t="inlineStr">
        <is>
          <t>Land Rover Range Rover Sport</t>
        </is>
      </c>
      <c r="C721" s="18" t="inlineStr">
        <is>
          <t>Land Rover</t>
        </is>
      </c>
      <c r="D721" s="18" t="inlineStr">
        <is>
          <t>Range Rover Sport</t>
        </is>
      </c>
      <c r="E721" s="18" t="inlineStr">
        <is>
          <t>2006-2013</t>
        </is>
      </c>
      <c r="F721" s="18" t="inlineStr"/>
      <c r="G721" s="18" t="inlineStr">
        <is>
          <t>SUV</t>
        </is>
      </c>
      <c r="H721" s="18" t="inlineStr">
        <is>
          <t>YL</t>
        </is>
      </c>
      <c r="I721" s="19">
        <f t="array" ref="I721">TRIM(_xlfn.XLOOKUP(非皮卡压缩表[[#This Row],[BACKSIZE]],ALL尺码表[内部尺码],ALL尺码表[分类],""))</f>
        <v/>
      </c>
      <c r="J721" s="19">
        <f t="array" ref="J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1" s="20">
        <f>LEN(非皮卡压缩表[[#This Row],[LONG-TYPE]])</f>
        <v/>
      </c>
      <c r="L721" s="21">
        <f t="array" ref="L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1" s="22">
        <f>LEN(非皮卡压缩表[[#This Row],[TYPE]])</f>
        <v/>
      </c>
      <c r="N721" s="22">
        <f t="array" ref="N721">_xlfn.XLOOKUP(非皮卡压缩表[[#This Row],[MODEL]],MODEL缩写表[长MODEL],MODEL缩写表[短MODEL],非皮卡压缩表[[#This Row],[MODEL]])</f>
        <v/>
      </c>
      <c r="O721" s="22">
        <f>LEN(非皮卡压缩表[[#This Row],[SHORT-MODEL]])</f>
        <v/>
      </c>
      <c r="P721" s="11">
        <f t="array" ref="P721">TRIM(_xlfn.XLOOKUP(非皮卡压缩表[[#This Row],[BACKSIZE]],ALL尺码表[内部尺码],ALL尺码表[通用尺码]))</f>
        <v/>
      </c>
    </row>
    <row r="722">
      <c r="A722" s="17" t="inlineStr">
        <is>
          <t>ALL</t>
        </is>
      </c>
      <c r="B722" s="18" t="inlineStr">
        <is>
          <t>Land Rover Range Rover Sport</t>
        </is>
      </c>
      <c r="C722" s="18" t="inlineStr">
        <is>
          <t>Land Rover</t>
        </is>
      </c>
      <c r="D722" s="18" t="inlineStr">
        <is>
          <t>Range Rover Sport</t>
        </is>
      </c>
      <c r="E722" s="18" t="inlineStr">
        <is>
          <t>2014-2026</t>
        </is>
      </c>
      <c r="F722" s="18" t="inlineStr"/>
      <c r="G722" s="18" t="inlineStr">
        <is>
          <t>SUV</t>
        </is>
      </c>
      <c r="H722" s="18" t="inlineStr">
        <is>
          <t>YXL</t>
        </is>
      </c>
      <c r="I722" s="19">
        <f t="array" ref="I722">TRIM(_xlfn.XLOOKUP(非皮卡压缩表[[#This Row],[BACKSIZE]],ALL尺码表[内部尺码],ALL尺码表[分类],""))</f>
        <v/>
      </c>
      <c r="J722" s="19">
        <f t="array" ref="J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2" s="20">
        <f>LEN(非皮卡压缩表[[#This Row],[LONG-TYPE]])</f>
        <v/>
      </c>
      <c r="L722" s="21">
        <f t="array" ref="L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2" s="22">
        <f>LEN(非皮卡压缩表[[#This Row],[TYPE]])</f>
        <v/>
      </c>
      <c r="N722" s="22">
        <f t="array" ref="N722">_xlfn.XLOOKUP(非皮卡压缩表[[#This Row],[MODEL]],MODEL缩写表[长MODEL],MODEL缩写表[短MODEL],非皮卡压缩表[[#This Row],[MODEL]])</f>
        <v/>
      </c>
      <c r="O722" s="22">
        <f>LEN(非皮卡压缩表[[#This Row],[SHORT-MODEL]])</f>
        <v/>
      </c>
      <c r="P722" s="11">
        <f t="array" ref="P722">TRIM(_xlfn.XLOOKUP(非皮卡压缩表[[#This Row],[BACKSIZE]],ALL尺码表[内部尺码],ALL尺码表[通用尺码]))</f>
        <v/>
      </c>
    </row>
    <row r="723">
      <c r="A723" s="17" t="inlineStr">
        <is>
          <t>ALL</t>
        </is>
      </c>
      <c r="B723" s="18" t="inlineStr">
        <is>
          <t>Land Rover Range Rover Velar</t>
        </is>
      </c>
      <c r="C723" s="18" t="inlineStr">
        <is>
          <t>Land Rover</t>
        </is>
      </c>
      <c r="D723" s="18" t="inlineStr">
        <is>
          <t>Range Rover Velar</t>
        </is>
      </c>
      <c r="E723" s="18" t="inlineStr">
        <is>
          <t>2018-2026</t>
        </is>
      </c>
      <c r="F723" s="18" t="inlineStr"/>
      <c r="G723" s="18" t="inlineStr">
        <is>
          <t>SUV</t>
        </is>
      </c>
      <c r="H723" s="18" t="inlineStr">
        <is>
          <t>YL</t>
        </is>
      </c>
      <c r="I723" s="19">
        <f t="array" ref="I723">TRIM(_xlfn.XLOOKUP(非皮卡压缩表[[#This Row],[BACKSIZE]],ALL尺码表[内部尺码],ALL尺码表[分类],""))</f>
        <v/>
      </c>
      <c r="J723" s="19">
        <f t="array" ref="J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3" s="20">
        <f>LEN(非皮卡压缩表[[#This Row],[LONG-TYPE]])</f>
        <v/>
      </c>
      <c r="L723" s="21">
        <f t="array" ref="L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3" s="22">
        <f>LEN(非皮卡压缩表[[#This Row],[TYPE]])</f>
        <v/>
      </c>
      <c r="N723" s="22">
        <f t="array" ref="N723">_xlfn.XLOOKUP(非皮卡压缩表[[#This Row],[MODEL]],MODEL缩写表[长MODEL],MODEL缩写表[短MODEL],非皮卡压缩表[[#This Row],[MODEL]])</f>
        <v/>
      </c>
      <c r="O723" s="22">
        <f>LEN(非皮卡压缩表[[#This Row],[SHORT-MODEL]])</f>
        <v/>
      </c>
      <c r="P723" s="11">
        <f t="array" ref="P723">TRIM(_xlfn.XLOOKUP(非皮卡压缩表[[#This Row],[BACKSIZE]],ALL尺码表[内部尺码],ALL尺码表[通用尺码]))</f>
        <v/>
      </c>
    </row>
    <row r="724">
      <c r="A724" s="17" t="inlineStr">
        <is>
          <t>ALL</t>
        </is>
      </c>
      <c r="B724" s="18" t="inlineStr">
        <is>
          <t>Lexus CT</t>
        </is>
      </c>
      <c r="C724" s="18" t="inlineStr">
        <is>
          <t>Lexus</t>
        </is>
      </c>
      <c r="D724" s="18" t="inlineStr">
        <is>
          <t>CT</t>
        </is>
      </c>
      <c r="E724" s="18" t="inlineStr">
        <is>
          <t>2011-2017</t>
        </is>
      </c>
      <c r="F724" s="18" t="inlineStr"/>
      <c r="G724" s="18" t="inlineStr">
        <is>
          <t>Hatchback</t>
        </is>
      </c>
      <c r="H724" s="18" t="inlineStr">
        <is>
          <t>2L+</t>
        </is>
      </c>
      <c r="I724" s="19">
        <f t="array" ref="I724">TRIM(_xlfn.XLOOKUP(非皮卡压缩表[[#This Row],[BACKSIZE]],ALL尺码表[内部尺码],ALL尺码表[分类],""))</f>
        <v/>
      </c>
      <c r="J724" s="19">
        <f t="array" ref="J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4" s="20">
        <f>LEN(非皮卡压缩表[[#This Row],[LONG-TYPE]])</f>
        <v/>
      </c>
      <c r="L724" s="21">
        <f t="array" ref="L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4" s="22">
        <f>LEN(非皮卡压缩表[[#This Row],[TYPE]])</f>
        <v/>
      </c>
      <c r="N724" s="22">
        <f t="array" ref="N724">_xlfn.XLOOKUP(非皮卡压缩表[[#This Row],[MODEL]],MODEL缩写表[长MODEL],MODEL缩写表[短MODEL],非皮卡压缩表[[#This Row],[MODEL]])</f>
        <v/>
      </c>
      <c r="O724" s="22">
        <f>LEN(非皮卡压缩表[[#This Row],[SHORT-MODEL]])</f>
        <v/>
      </c>
      <c r="P724" s="11">
        <f t="array" ref="P724">TRIM(_xlfn.XLOOKUP(非皮卡压缩表[[#This Row],[BACKSIZE]],ALL尺码表[内部尺码],ALL尺码表[通用尺码]))</f>
        <v/>
      </c>
    </row>
    <row r="725">
      <c r="A725" s="17" t="inlineStr">
        <is>
          <t>ALL</t>
        </is>
      </c>
      <c r="B725" s="18" t="inlineStr">
        <is>
          <t>Lexus ES</t>
        </is>
      </c>
      <c r="C725" s="18" t="inlineStr">
        <is>
          <t>Lexus</t>
        </is>
      </c>
      <c r="D725" s="18" t="inlineStr">
        <is>
          <t>ES</t>
        </is>
      </c>
      <c r="E725" s="18" t="inlineStr">
        <is>
          <t>1991</t>
        </is>
      </c>
      <c r="F725" s="18" t="inlineStr"/>
      <c r="G725" s="18" t="inlineStr">
        <is>
          <t>Sedan</t>
        </is>
      </c>
      <c r="H725" s="18" t="inlineStr">
        <is>
          <t>3L</t>
        </is>
      </c>
      <c r="I725" s="19">
        <f t="array" ref="I725">TRIM(_xlfn.XLOOKUP(非皮卡压缩表[[#This Row],[BACKSIZE]],ALL尺码表[内部尺码],ALL尺码表[分类],""))</f>
        <v/>
      </c>
      <c r="J725" s="19">
        <f t="array" ref="J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5" s="20">
        <f>LEN(非皮卡压缩表[[#This Row],[LONG-TYPE]])</f>
        <v/>
      </c>
      <c r="L725" s="21">
        <f t="array" ref="L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5" s="22">
        <f>LEN(非皮卡压缩表[[#This Row],[TYPE]])</f>
        <v/>
      </c>
      <c r="N725" s="22">
        <f t="array" ref="N725">_xlfn.XLOOKUP(非皮卡压缩表[[#This Row],[MODEL]],MODEL缩写表[长MODEL],MODEL缩写表[短MODEL],非皮卡压缩表[[#This Row],[MODEL]])</f>
        <v/>
      </c>
      <c r="O725" s="22">
        <f>LEN(非皮卡压缩表[[#This Row],[SHORT-MODEL]])</f>
        <v/>
      </c>
      <c r="P725" s="11">
        <f t="array" ref="P725">TRIM(_xlfn.XLOOKUP(非皮卡压缩表[[#This Row],[BACKSIZE]],ALL尺码表[内部尺码],ALL尺码表[通用尺码]))</f>
        <v/>
      </c>
    </row>
    <row r="726">
      <c r="A726" s="17" t="inlineStr">
        <is>
          <t>ALL</t>
        </is>
      </c>
      <c r="B726" s="18" t="inlineStr">
        <is>
          <t>Lexus ES</t>
        </is>
      </c>
      <c r="C726" s="18" t="inlineStr">
        <is>
          <t>Lexus</t>
        </is>
      </c>
      <c r="D726" s="18" t="inlineStr">
        <is>
          <t>ES</t>
        </is>
      </c>
      <c r="E726" s="18" t="inlineStr">
        <is>
          <t>1992-2012</t>
        </is>
      </c>
      <c r="F726" s="18" t="inlineStr"/>
      <c r="G726" s="18" t="inlineStr">
        <is>
          <t>Sedan</t>
        </is>
      </c>
      <c r="H726" s="18" t="inlineStr">
        <is>
          <t>3XL</t>
        </is>
      </c>
      <c r="I726" s="19">
        <f t="array" ref="I726">TRIM(_xlfn.XLOOKUP(非皮卡压缩表[[#This Row],[BACKSIZE]],ALL尺码表[内部尺码],ALL尺码表[分类],""))</f>
        <v/>
      </c>
      <c r="J726" s="19">
        <f t="array" ref="J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6" s="20">
        <f>LEN(非皮卡压缩表[[#This Row],[LONG-TYPE]])</f>
        <v/>
      </c>
      <c r="L726" s="21">
        <f t="array" ref="L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6" s="22">
        <f>LEN(非皮卡压缩表[[#This Row],[TYPE]])</f>
        <v/>
      </c>
      <c r="N726" s="22">
        <f t="array" ref="N726">_xlfn.XLOOKUP(非皮卡压缩表[[#This Row],[MODEL]],MODEL缩写表[长MODEL],MODEL缩写表[短MODEL],非皮卡压缩表[[#This Row],[MODEL]])</f>
        <v/>
      </c>
      <c r="O726" s="22">
        <f>LEN(非皮卡压缩表[[#This Row],[SHORT-MODEL]])</f>
        <v/>
      </c>
      <c r="P726" s="11">
        <f t="array" ref="P726">TRIM(_xlfn.XLOOKUP(非皮卡压缩表[[#This Row],[BACKSIZE]],ALL尺码表[内部尺码],ALL尺码表[通用尺码]))</f>
        <v/>
      </c>
    </row>
    <row r="727">
      <c r="A727" s="17" t="inlineStr">
        <is>
          <t>ALL</t>
        </is>
      </c>
      <c r="B727" s="18" t="inlineStr">
        <is>
          <t>Lexus ES</t>
        </is>
      </c>
      <c r="C727" s="18" t="inlineStr">
        <is>
          <t>Lexus</t>
        </is>
      </c>
      <c r="D727" s="18" t="inlineStr">
        <is>
          <t>ES</t>
        </is>
      </c>
      <c r="E727" s="18" t="inlineStr">
        <is>
          <t>2013-2026</t>
        </is>
      </c>
      <c r="F727" s="18" t="inlineStr"/>
      <c r="G727" s="18" t="inlineStr">
        <is>
          <t>Sedan</t>
        </is>
      </c>
      <c r="H727" s="18" t="inlineStr">
        <is>
          <t>3XXL</t>
        </is>
      </c>
      <c r="I727" s="19">
        <f t="array" ref="I727">TRIM(_xlfn.XLOOKUP(非皮卡压缩表[[#This Row],[BACKSIZE]],ALL尺码表[内部尺码],ALL尺码表[分类],""))</f>
        <v/>
      </c>
      <c r="J727" s="19">
        <f t="array" ref="J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7" s="20">
        <f>LEN(非皮卡压缩表[[#This Row],[LONG-TYPE]])</f>
        <v/>
      </c>
      <c r="L727" s="21">
        <f t="array" ref="L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7" s="22">
        <f>LEN(非皮卡压缩表[[#This Row],[TYPE]])</f>
        <v/>
      </c>
      <c r="N727" s="22">
        <f t="array" ref="N727">_xlfn.XLOOKUP(非皮卡压缩表[[#This Row],[MODEL]],MODEL缩写表[长MODEL],MODEL缩写表[短MODEL],非皮卡压缩表[[#This Row],[MODEL]])</f>
        <v/>
      </c>
      <c r="O727" s="22">
        <f>LEN(非皮卡压缩表[[#This Row],[SHORT-MODEL]])</f>
        <v/>
      </c>
      <c r="P727" s="11">
        <f t="array" ref="P727">TRIM(_xlfn.XLOOKUP(非皮卡压缩表[[#This Row],[BACKSIZE]],ALL尺码表[内部尺码],ALL尺码表[通用尺码]))</f>
        <v/>
      </c>
    </row>
    <row r="728">
      <c r="A728" s="17" t="inlineStr">
        <is>
          <t>ALL</t>
        </is>
      </c>
      <c r="B728" s="18" t="inlineStr">
        <is>
          <t>Lexus GS</t>
        </is>
      </c>
      <c r="C728" s="18" t="inlineStr">
        <is>
          <t>Lexus</t>
        </is>
      </c>
      <c r="D728" s="18" t="inlineStr">
        <is>
          <t>GS</t>
        </is>
      </c>
      <c r="E728" s="18" t="inlineStr">
        <is>
          <t>1993-1997</t>
        </is>
      </c>
      <c r="F728" s="18" t="inlineStr"/>
      <c r="G728" s="18" t="inlineStr">
        <is>
          <t>Sedan</t>
        </is>
      </c>
      <c r="H728" s="18" t="inlineStr">
        <is>
          <t>3XXL</t>
        </is>
      </c>
      <c r="I728" s="19">
        <f t="array" ref="I728">TRIM(_xlfn.XLOOKUP(非皮卡压缩表[[#This Row],[BACKSIZE]],ALL尺码表[内部尺码],ALL尺码表[分类],""))</f>
        <v/>
      </c>
      <c r="J728" s="19">
        <f t="array" ref="J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8" s="20">
        <f>LEN(非皮卡压缩表[[#This Row],[LONG-TYPE]])</f>
        <v/>
      </c>
      <c r="L728" s="21">
        <f t="array" ref="L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8" s="22">
        <f>LEN(非皮卡压缩表[[#This Row],[TYPE]])</f>
        <v/>
      </c>
      <c r="N728" s="22">
        <f t="array" ref="N728">_xlfn.XLOOKUP(非皮卡压缩表[[#This Row],[MODEL]],MODEL缩写表[长MODEL],MODEL缩写表[短MODEL],非皮卡压缩表[[#This Row],[MODEL]])</f>
        <v/>
      </c>
      <c r="O728" s="22">
        <f>LEN(非皮卡压缩表[[#This Row],[SHORT-MODEL]])</f>
        <v/>
      </c>
      <c r="P728" s="11">
        <f t="array" ref="P728">TRIM(_xlfn.XLOOKUP(非皮卡压缩表[[#This Row],[BACKSIZE]],ALL尺码表[内部尺码],ALL尺码表[通用尺码]))</f>
        <v/>
      </c>
    </row>
    <row r="729">
      <c r="A729" s="17" t="inlineStr">
        <is>
          <t>ALL</t>
        </is>
      </c>
      <c r="B729" s="18" t="inlineStr">
        <is>
          <t>Lexus GS</t>
        </is>
      </c>
      <c r="C729" s="18" t="inlineStr">
        <is>
          <t>Lexus</t>
        </is>
      </c>
      <c r="D729" s="18" t="inlineStr">
        <is>
          <t>GS</t>
        </is>
      </c>
      <c r="E729" s="18" t="inlineStr">
        <is>
          <t>1998-2020</t>
        </is>
      </c>
      <c r="F729" s="18" t="inlineStr"/>
      <c r="G729" s="18" t="inlineStr">
        <is>
          <t>Sedan</t>
        </is>
      </c>
      <c r="H729" s="18" t="inlineStr">
        <is>
          <t>3XL</t>
        </is>
      </c>
      <c r="I729" s="19">
        <f t="array" ref="I729">TRIM(_xlfn.XLOOKUP(非皮卡压缩表[[#This Row],[BACKSIZE]],ALL尺码表[内部尺码],ALL尺码表[分类],""))</f>
        <v/>
      </c>
      <c r="J729" s="19">
        <f t="array" ref="J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9" s="20">
        <f>LEN(非皮卡压缩表[[#This Row],[LONG-TYPE]])</f>
        <v/>
      </c>
      <c r="L729" s="21">
        <f t="array" ref="L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9" s="22">
        <f>LEN(非皮卡压缩表[[#This Row],[TYPE]])</f>
        <v/>
      </c>
      <c r="N729" s="22">
        <f t="array" ref="N729">_xlfn.XLOOKUP(非皮卡压缩表[[#This Row],[MODEL]],MODEL缩写表[长MODEL],MODEL缩写表[短MODEL],非皮卡压缩表[[#This Row],[MODEL]])</f>
        <v/>
      </c>
      <c r="O729" s="22">
        <f>LEN(非皮卡压缩表[[#This Row],[SHORT-MODEL]])</f>
        <v/>
      </c>
      <c r="P729" s="11">
        <f t="array" ref="P729">TRIM(_xlfn.XLOOKUP(非皮卡压缩表[[#This Row],[BACKSIZE]],ALL尺码表[内部尺码],ALL尺码表[通用尺码]))</f>
        <v/>
      </c>
    </row>
    <row r="730">
      <c r="A730" s="17" t="inlineStr">
        <is>
          <t>ALL</t>
        </is>
      </c>
      <c r="B730" s="18" t="inlineStr">
        <is>
          <t>Lexus GX</t>
        </is>
      </c>
      <c r="C730" s="18" t="inlineStr">
        <is>
          <t>Lexus</t>
        </is>
      </c>
      <c r="D730" s="18" t="inlineStr">
        <is>
          <t>GX</t>
        </is>
      </c>
      <c r="E730" s="18" t="inlineStr">
        <is>
          <t>2003-2013</t>
        </is>
      </c>
      <c r="F730" s="18" t="inlineStr"/>
      <c r="G730" s="18" t="inlineStr">
        <is>
          <t>SUV</t>
        </is>
      </c>
      <c r="H730" s="18" t="inlineStr">
        <is>
          <t>YL</t>
        </is>
      </c>
      <c r="I730" s="19">
        <f t="array" ref="I730">TRIM(_xlfn.XLOOKUP(非皮卡压缩表[[#This Row],[BACKSIZE]],ALL尺码表[内部尺码],ALL尺码表[分类],""))</f>
        <v/>
      </c>
      <c r="J730" s="19">
        <f t="array" ref="J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0" s="20">
        <f>LEN(非皮卡压缩表[[#This Row],[LONG-TYPE]])</f>
        <v/>
      </c>
      <c r="L730" s="21">
        <f t="array" ref="L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0" s="22">
        <f>LEN(非皮卡压缩表[[#This Row],[TYPE]])</f>
        <v/>
      </c>
      <c r="N730" s="22">
        <f t="array" ref="N730">_xlfn.XLOOKUP(非皮卡压缩表[[#This Row],[MODEL]],MODEL缩写表[长MODEL],MODEL缩写表[短MODEL],非皮卡压缩表[[#This Row],[MODEL]])</f>
        <v/>
      </c>
      <c r="O730" s="22">
        <f>LEN(非皮卡压缩表[[#This Row],[SHORT-MODEL]])</f>
        <v/>
      </c>
      <c r="P730" s="11">
        <f t="array" ref="P730">TRIM(_xlfn.XLOOKUP(非皮卡压缩表[[#This Row],[BACKSIZE]],ALL尺码表[内部尺码],ALL尺码表[通用尺码]))</f>
        <v/>
      </c>
    </row>
    <row r="731">
      <c r="A731" s="17" t="inlineStr">
        <is>
          <t>ALL</t>
        </is>
      </c>
      <c r="B731" s="18" t="inlineStr">
        <is>
          <t>Lexus GX</t>
        </is>
      </c>
      <c r="C731" s="18" t="inlineStr">
        <is>
          <t>Lexus</t>
        </is>
      </c>
      <c r="D731" s="18" t="inlineStr">
        <is>
          <t>GX</t>
        </is>
      </c>
      <c r="E731" s="18" t="inlineStr">
        <is>
          <t>2014-2026</t>
        </is>
      </c>
      <c r="F731" s="18" t="inlineStr">
        <is>
          <t>Incl: Overtrail</t>
        </is>
      </c>
      <c r="G731" s="18" t="inlineStr">
        <is>
          <t>SUV</t>
        </is>
      </c>
      <c r="H731" s="18" t="inlineStr">
        <is>
          <t>YXL</t>
        </is>
      </c>
      <c r="I731" s="19">
        <f t="array" ref="I731">TRIM(_xlfn.XLOOKUP(非皮卡压缩表[[#This Row],[BACKSIZE]],ALL尺码表[内部尺码],ALL尺码表[分类],""))</f>
        <v/>
      </c>
      <c r="J731" s="19">
        <f t="array" ref="J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1" s="20">
        <f>LEN(非皮卡压缩表[[#This Row],[LONG-TYPE]])</f>
        <v/>
      </c>
      <c r="L731" s="21">
        <f t="array" ref="L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1" s="22">
        <f>LEN(非皮卡压缩表[[#This Row],[TYPE]])</f>
        <v/>
      </c>
      <c r="N731" s="22">
        <f t="array" ref="N731">_xlfn.XLOOKUP(非皮卡压缩表[[#This Row],[MODEL]],MODEL缩写表[长MODEL],MODEL缩写表[短MODEL],非皮卡压缩表[[#This Row],[MODEL]])</f>
        <v/>
      </c>
      <c r="O731" s="22">
        <f>LEN(非皮卡压缩表[[#This Row],[SHORT-MODEL]])</f>
        <v/>
      </c>
      <c r="P731" s="11">
        <f t="array" ref="P731">TRIM(_xlfn.XLOOKUP(非皮卡压缩表[[#This Row],[BACKSIZE]],ALL尺码表[内部尺码],ALL尺码表[通用尺码]))</f>
        <v/>
      </c>
    </row>
    <row r="732">
      <c r="A732" s="17" t="inlineStr">
        <is>
          <t>ALL</t>
        </is>
      </c>
      <c r="B732" s="18" t="inlineStr">
        <is>
          <t>Lexus HS</t>
        </is>
      </c>
      <c r="C732" s="18" t="inlineStr">
        <is>
          <t>Lexus</t>
        </is>
      </c>
      <c r="D732" s="18" t="inlineStr">
        <is>
          <t>HS</t>
        </is>
      </c>
      <c r="E732" s="18" t="inlineStr">
        <is>
          <t>2010-2012</t>
        </is>
      </c>
      <c r="F732" s="18" t="inlineStr"/>
      <c r="G732" s="18" t="inlineStr">
        <is>
          <t>Sedan</t>
        </is>
      </c>
      <c r="H732" s="18" t="inlineStr">
        <is>
          <t>3L</t>
        </is>
      </c>
      <c r="I732" s="19">
        <f t="array" ref="I732">TRIM(_xlfn.XLOOKUP(非皮卡压缩表[[#This Row],[BACKSIZE]],ALL尺码表[内部尺码],ALL尺码表[分类],""))</f>
        <v/>
      </c>
      <c r="J732" s="19">
        <f t="array" ref="J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2" s="20">
        <f>LEN(非皮卡压缩表[[#This Row],[LONG-TYPE]])</f>
        <v/>
      </c>
      <c r="L732" s="21">
        <f t="array" ref="L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2" s="22">
        <f>LEN(非皮卡压缩表[[#This Row],[TYPE]])</f>
        <v/>
      </c>
      <c r="N732" s="22">
        <f t="array" ref="N732">_xlfn.XLOOKUP(非皮卡压缩表[[#This Row],[MODEL]],MODEL缩写表[长MODEL],MODEL缩写表[短MODEL],非皮卡压缩表[[#This Row],[MODEL]])</f>
        <v/>
      </c>
      <c r="O732" s="22">
        <f>LEN(非皮卡压缩表[[#This Row],[SHORT-MODEL]])</f>
        <v/>
      </c>
      <c r="P732" s="11">
        <f t="array" ref="P732">TRIM(_xlfn.XLOOKUP(非皮卡压缩表[[#This Row],[BACKSIZE]],ALL尺码表[内部尺码],ALL尺码表[通用尺码]))</f>
        <v/>
      </c>
    </row>
    <row r="733">
      <c r="A733" s="17" t="inlineStr">
        <is>
          <t>ALL</t>
        </is>
      </c>
      <c r="B733" s="18" t="inlineStr">
        <is>
          <t>Lexus IS</t>
        </is>
      </c>
      <c r="C733" s="18" t="inlineStr">
        <is>
          <t>Lexus</t>
        </is>
      </c>
      <c r="D733" s="18" t="inlineStr">
        <is>
          <t>IS</t>
        </is>
      </c>
      <c r="E733" s="18" t="inlineStr">
        <is>
          <t>2001-2020</t>
        </is>
      </c>
      <c r="F733" s="18" t="inlineStr"/>
      <c r="G733" s="18" t="inlineStr">
        <is>
          <t>Sedan</t>
        </is>
      </c>
      <c r="H733" s="18" t="inlineStr">
        <is>
          <t>3L</t>
        </is>
      </c>
      <c r="I733" s="19">
        <f t="array" ref="I733">TRIM(_xlfn.XLOOKUP(非皮卡压缩表[[#This Row],[BACKSIZE]],ALL尺码表[内部尺码],ALL尺码表[分类],""))</f>
        <v/>
      </c>
      <c r="J733" s="19">
        <f t="array" ref="J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3" s="20">
        <f>LEN(非皮卡压缩表[[#This Row],[LONG-TYPE]])</f>
        <v/>
      </c>
      <c r="L733" s="21">
        <f t="array" ref="L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3" s="22">
        <f>LEN(非皮卡压缩表[[#This Row],[TYPE]])</f>
        <v/>
      </c>
      <c r="N733" s="22">
        <f t="array" ref="N733">_xlfn.XLOOKUP(非皮卡压缩表[[#This Row],[MODEL]],MODEL缩写表[长MODEL],MODEL缩写表[短MODEL],非皮卡压缩表[[#This Row],[MODEL]])</f>
        <v/>
      </c>
      <c r="O733" s="22">
        <f>LEN(非皮卡压缩表[[#This Row],[SHORT-MODEL]])</f>
        <v/>
      </c>
      <c r="P733" s="11">
        <f t="array" ref="P733">TRIM(_xlfn.XLOOKUP(非皮卡压缩表[[#This Row],[BACKSIZE]],ALL尺码表[内部尺码],ALL尺码表[通用尺码]))</f>
        <v/>
      </c>
    </row>
    <row r="734">
      <c r="A734" s="17" t="inlineStr">
        <is>
          <t>ALL</t>
        </is>
      </c>
      <c r="B734" s="18" t="inlineStr">
        <is>
          <t>Lexus IS</t>
        </is>
      </c>
      <c r="C734" s="18" t="inlineStr">
        <is>
          <t>Lexus</t>
        </is>
      </c>
      <c r="D734" s="18" t="inlineStr">
        <is>
          <t>IS</t>
        </is>
      </c>
      <c r="E734" s="18" t="inlineStr">
        <is>
          <t>2010-2015</t>
        </is>
      </c>
      <c r="F734" s="18" t="inlineStr"/>
      <c r="G734" s="18" t="inlineStr">
        <is>
          <t>Convertible</t>
        </is>
      </c>
      <c r="H734" s="18" t="inlineStr">
        <is>
          <t>3L-0</t>
        </is>
      </c>
      <c r="I734" s="19">
        <f t="array" ref="I734">TRIM(_xlfn.XLOOKUP(非皮卡压缩表[[#This Row],[BACKSIZE]],ALL尺码表[内部尺码],ALL尺码表[分类],""))</f>
        <v/>
      </c>
      <c r="J734" s="19">
        <f t="array" ref="J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4" s="20">
        <f>LEN(非皮卡压缩表[[#This Row],[LONG-TYPE]])</f>
        <v/>
      </c>
      <c r="L734" s="21">
        <f t="array" ref="L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4" s="22">
        <f>LEN(非皮卡压缩表[[#This Row],[TYPE]])</f>
        <v/>
      </c>
      <c r="N734" s="22">
        <f t="array" ref="N734">_xlfn.XLOOKUP(非皮卡压缩表[[#This Row],[MODEL]],MODEL缩写表[长MODEL],MODEL缩写表[短MODEL],非皮卡压缩表[[#This Row],[MODEL]])</f>
        <v/>
      </c>
      <c r="O734" s="22">
        <f>LEN(非皮卡压缩表[[#This Row],[SHORT-MODEL]])</f>
        <v/>
      </c>
      <c r="P734" s="11">
        <f t="array" ref="P734">TRIM(_xlfn.XLOOKUP(非皮卡压缩表[[#This Row],[BACKSIZE]],ALL尺码表[内部尺码],ALL尺码表[通用尺码]))</f>
        <v/>
      </c>
    </row>
    <row r="735">
      <c r="A735" s="17" t="inlineStr">
        <is>
          <t>ALL</t>
        </is>
      </c>
      <c r="B735" s="18" t="inlineStr">
        <is>
          <t>Lexus IS</t>
        </is>
      </c>
      <c r="C735" s="18" t="inlineStr">
        <is>
          <t>Lexus</t>
        </is>
      </c>
      <c r="D735" s="18" t="inlineStr">
        <is>
          <t>IS</t>
        </is>
      </c>
      <c r="E735" s="18" t="inlineStr">
        <is>
          <t>2021-2026</t>
        </is>
      </c>
      <c r="F735" s="18" t="inlineStr"/>
      <c r="G735" s="18" t="inlineStr">
        <is>
          <t>Sedan</t>
        </is>
      </c>
      <c r="H735" s="18" t="inlineStr">
        <is>
          <t>3XL</t>
        </is>
      </c>
      <c r="I735" s="19">
        <f t="array" ref="I735">TRIM(_xlfn.XLOOKUP(非皮卡压缩表[[#This Row],[BACKSIZE]],ALL尺码表[内部尺码],ALL尺码表[分类],""))</f>
        <v/>
      </c>
      <c r="J735" s="19">
        <f t="array" ref="J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5" s="20">
        <f>LEN(非皮卡压缩表[[#This Row],[LONG-TYPE]])</f>
        <v/>
      </c>
      <c r="L735" s="21">
        <f t="array" ref="L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5" s="22">
        <f>LEN(非皮卡压缩表[[#This Row],[TYPE]])</f>
        <v/>
      </c>
      <c r="N735" s="22">
        <f t="array" ref="N735">_xlfn.XLOOKUP(非皮卡压缩表[[#This Row],[MODEL]],MODEL缩写表[长MODEL],MODEL缩写表[短MODEL],非皮卡压缩表[[#This Row],[MODEL]])</f>
        <v/>
      </c>
      <c r="O735" s="22">
        <f>LEN(非皮卡压缩表[[#This Row],[SHORT-MODEL]])</f>
        <v/>
      </c>
      <c r="P735" s="11">
        <f t="array" ref="P735">TRIM(_xlfn.XLOOKUP(非皮卡压缩表[[#This Row],[BACKSIZE]],ALL尺码表[内部尺码],ALL尺码表[通用尺码]))</f>
        <v/>
      </c>
    </row>
    <row r="736">
      <c r="A736" s="17" t="inlineStr">
        <is>
          <t>ALL</t>
        </is>
      </c>
      <c r="B736" s="18" t="inlineStr">
        <is>
          <t>Lexus LC</t>
        </is>
      </c>
      <c r="C736" s="18" t="inlineStr">
        <is>
          <t>Lexus</t>
        </is>
      </c>
      <c r="D736" s="18" t="inlineStr">
        <is>
          <t>LC</t>
        </is>
      </c>
      <c r="E736" s="18" t="inlineStr">
        <is>
          <t>2018-2026</t>
        </is>
      </c>
      <c r="F736" s="18" t="inlineStr"/>
      <c r="G736" s="18" t="inlineStr">
        <is>
          <t>Convertible/Coupe</t>
        </is>
      </c>
      <c r="H736" s="18" t="inlineStr">
        <is>
          <t>3XL-0</t>
        </is>
      </c>
      <c r="I736" s="19">
        <f t="array" ref="I736">TRIM(_xlfn.XLOOKUP(非皮卡压缩表[[#This Row],[BACKSIZE]],ALL尺码表[内部尺码],ALL尺码表[分类],""))</f>
        <v/>
      </c>
      <c r="J736" s="19">
        <f t="array" ref="J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6" s="20">
        <f>LEN(非皮卡压缩表[[#This Row],[LONG-TYPE]])</f>
        <v/>
      </c>
      <c r="L736" s="21">
        <f t="array" ref="L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6" s="22">
        <f>LEN(非皮卡压缩表[[#This Row],[TYPE]])</f>
        <v/>
      </c>
      <c r="N736" s="22">
        <f t="array" ref="N736">_xlfn.XLOOKUP(非皮卡压缩表[[#This Row],[MODEL]],MODEL缩写表[长MODEL],MODEL缩写表[短MODEL],非皮卡压缩表[[#This Row],[MODEL]])</f>
        <v/>
      </c>
      <c r="O736" s="22">
        <f>LEN(非皮卡压缩表[[#This Row],[SHORT-MODEL]])</f>
        <v/>
      </c>
      <c r="P736" s="11">
        <f t="array" ref="P736">TRIM(_xlfn.XLOOKUP(非皮卡压缩表[[#This Row],[BACKSIZE]],ALL尺码表[内部尺码],ALL尺码表[通用尺码]))</f>
        <v/>
      </c>
    </row>
    <row r="737">
      <c r="A737" s="17" t="inlineStr">
        <is>
          <t>ALL</t>
        </is>
      </c>
      <c r="B737" s="18" t="inlineStr">
        <is>
          <t>Lexus LFA</t>
        </is>
      </c>
      <c r="C737" s="18" t="inlineStr">
        <is>
          <t>Lexus</t>
        </is>
      </c>
      <c r="D737" s="18" t="inlineStr">
        <is>
          <t>LFA</t>
        </is>
      </c>
      <c r="E737" s="18" t="inlineStr">
        <is>
          <t>2012</t>
        </is>
      </c>
      <c r="F737" s="18" t="inlineStr"/>
      <c r="G737" s="18" t="inlineStr">
        <is>
          <t>Coupe</t>
        </is>
      </c>
      <c r="H737" s="18" t="inlineStr">
        <is>
          <t>3M-0</t>
        </is>
      </c>
      <c r="I737" s="19">
        <f t="array" ref="I737">TRIM(_xlfn.XLOOKUP(非皮卡压缩表[[#This Row],[BACKSIZE]],ALL尺码表[内部尺码],ALL尺码表[分类],""))</f>
        <v/>
      </c>
      <c r="J737" s="19">
        <f t="array" ref="J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7" s="20">
        <f>LEN(非皮卡压缩表[[#This Row],[LONG-TYPE]])</f>
        <v/>
      </c>
      <c r="L737" s="21">
        <f t="array" ref="L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7" s="22">
        <f>LEN(非皮卡压缩表[[#This Row],[TYPE]])</f>
        <v/>
      </c>
      <c r="N737" s="22">
        <f t="array" ref="N737">_xlfn.XLOOKUP(非皮卡压缩表[[#This Row],[MODEL]],MODEL缩写表[长MODEL],MODEL缩写表[短MODEL],非皮卡压缩表[[#This Row],[MODEL]])</f>
        <v/>
      </c>
      <c r="O737" s="22">
        <f>LEN(非皮卡压缩表[[#This Row],[SHORT-MODEL]])</f>
        <v/>
      </c>
      <c r="P737" s="11">
        <f t="array" ref="P737">TRIM(_xlfn.XLOOKUP(非皮卡压缩表[[#This Row],[BACKSIZE]],ALL尺码表[内部尺码],ALL尺码表[通用尺码]))</f>
        <v/>
      </c>
    </row>
    <row r="738">
      <c r="A738" s="17" t="inlineStr">
        <is>
          <t>ALL</t>
        </is>
      </c>
      <c r="B738" s="18" t="inlineStr">
        <is>
          <t>Lexus LS</t>
        </is>
      </c>
      <c r="C738" s="18" t="inlineStr">
        <is>
          <t>Lexus</t>
        </is>
      </c>
      <c r="D738" s="18" t="inlineStr">
        <is>
          <t>LS</t>
        </is>
      </c>
      <c r="E738" s="18" t="inlineStr">
        <is>
          <t>1990-2026</t>
        </is>
      </c>
      <c r="F738" s="18" t="inlineStr">
        <is>
          <t>Incl: L</t>
        </is>
      </c>
      <c r="G738" s="18" t="inlineStr">
        <is>
          <t>Sedan</t>
        </is>
      </c>
      <c r="H738" s="18" t="inlineStr">
        <is>
          <t>3XXL</t>
        </is>
      </c>
      <c r="I738" s="19">
        <f t="array" ref="I738">TRIM(_xlfn.XLOOKUP(非皮卡压缩表[[#This Row],[BACKSIZE]],ALL尺码表[内部尺码],ALL尺码表[分类],""))</f>
        <v/>
      </c>
      <c r="J738" s="19">
        <f t="array" ref="J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8" s="20">
        <f>LEN(非皮卡压缩表[[#This Row],[LONG-TYPE]])</f>
        <v/>
      </c>
      <c r="L738" s="21">
        <f t="array" ref="L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8" s="22">
        <f>LEN(非皮卡压缩表[[#This Row],[TYPE]])</f>
        <v/>
      </c>
      <c r="N738" s="22">
        <f t="array" ref="N738">_xlfn.XLOOKUP(非皮卡压缩表[[#This Row],[MODEL]],MODEL缩写表[长MODEL],MODEL缩写表[短MODEL],非皮卡压缩表[[#This Row],[MODEL]])</f>
        <v/>
      </c>
      <c r="O738" s="22">
        <f>LEN(非皮卡压缩表[[#This Row],[SHORT-MODEL]])</f>
        <v/>
      </c>
      <c r="P738" s="11">
        <f t="array" ref="P738">TRIM(_xlfn.XLOOKUP(非皮卡压缩表[[#This Row],[BACKSIZE]],ALL尺码表[内部尺码],ALL尺码表[通用尺码]))</f>
        <v/>
      </c>
    </row>
    <row r="739">
      <c r="A739" s="17" t="inlineStr">
        <is>
          <t>ALL</t>
        </is>
      </c>
      <c r="B739" s="18" t="inlineStr">
        <is>
          <t>Lexus LX</t>
        </is>
      </c>
      <c r="C739" s="18" t="inlineStr">
        <is>
          <t>Lexus</t>
        </is>
      </c>
      <c r="D739" s="18" t="inlineStr">
        <is>
          <t>LX</t>
        </is>
      </c>
      <c r="E739" s="18" t="inlineStr">
        <is>
          <t>1996-1997</t>
        </is>
      </c>
      <c r="F739" s="18" t="inlineStr"/>
      <c r="G739" s="18" t="inlineStr">
        <is>
          <t>SUV</t>
        </is>
      </c>
      <c r="H739" s="18" t="inlineStr">
        <is>
          <t>YL</t>
        </is>
      </c>
      <c r="I739" s="19">
        <f t="array" ref="I739">TRIM(_xlfn.XLOOKUP(非皮卡压缩表[[#This Row],[BACKSIZE]],ALL尺码表[内部尺码],ALL尺码表[分类],""))</f>
        <v/>
      </c>
      <c r="J739" s="19">
        <f t="array" ref="J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9" s="20">
        <f>LEN(非皮卡压缩表[[#This Row],[LONG-TYPE]])</f>
        <v/>
      </c>
      <c r="L739" s="21">
        <f t="array" ref="L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9" s="22">
        <f>LEN(非皮卡压缩表[[#This Row],[TYPE]])</f>
        <v/>
      </c>
      <c r="N739" s="22">
        <f t="array" ref="N739">_xlfn.XLOOKUP(非皮卡压缩表[[#This Row],[MODEL]],MODEL缩写表[长MODEL],MODEL缩写表[短MODEL],非皮卡压缩表[[#This Row],[MODEL]])</f>
        <v/>
      </c>
      <c r="O739" s="22">
        <f>LEN(非皮卡压缩表[[#This Row],[SHORT-MODEL]])</f>
        <v/>
      </c>
      <c r="P739" s="11">
        <f t="array" ref="P739">TRIM(_xlfn.XLOOKUP(非皮卡压缩表[[#This Row],[BACKSIZE]],ALL尺码表[内部尺码],ALL尺码表[通用尺码]))</f>
        <v/>
      </c>
    </row>
    <row r="740">
      <c r="A740" s="17" t="inlineStr">
        <is>
          <t>ALL</t>
        </is>
      </c>
      <c r="B740" s="18" t="inlineStr">
        <is>
          <t>Lexus LX</t>
        </is>
      </c>
      <c r="C740" s="18" t="inlineStr">
        <is>
          <t>Lexus</t>
        </is>
      </c>
      <c r="D740" s="18" t="inlineStr">
        <is>
          <t>LX</t>
        </is>
      </c>
      <c r="E740" s="18" t="inlineStr">
        <is>
          <t>1998-2026</t>
        </is>
      </c>
      <c r="F740" s="18" t="inlineStr"/>
      <c r="G740" s="18" t="inlineStr">
        <is>
          <t>SUV</t>
        </is>
      </c>
      <c r="H740" s="18" t="inlineStr">
        <is>
          <t>YXL</t>
        </is>
      </c>
      <c r="I740" s="19">
        <f t="array" ref="I740">TRIM(_xlfn.XLOOKUP(非皮卡压缩表[[#This Row],[BACKSIZE]],ALL尺码表[内部尺码],ALL尺码表[分类],""))</f>
        <v/>
      </c>
      <c r="J740" s="19">
        <f t="array" ref="J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0" s="20">
        <f>LEN(非皮卡压缩表[[#This Row],[LONG-TYPE]])</f>
        <v/>
      </c>
      <c r="L740" s="21">
        <f t="array" ref="L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0" s="22">
        <f>LEN(非皮卡压缩表[[#This Row],[TYPE]])</f>
        <v/>
      </c>
      <c r="N740" s="22">
        <f t="array" ref="N740">_xlfn.XLOOKUP(非皮卡压缩表[[#This Row],[MODEL]],MODEL缩写表[长MODEL],MODEL缩写表[短MODEL],非皮卡压缩表[[#This Row],[MODEL]])</f>
        <v/>
      </c>
      <c r="O740" s="22">
        <f>LEN(非皮卡压缩表[[#This Row],[SHORT-MODEL]])</f>
        <v/>
      </c>
      <c r="P740" s="11">
        <f t="array" ref="P740">TRIM(_xlfn.XLOOKUP(非皮卡压缩表[[#This Row],[BACKSIZE]],ALL尺码表[内部尺码],ALL尺码表[通用尺码]))</f>
        <v/>
      </c>
    </row>
    <row r="741">
      <c r="A741" s="17" t="inlineStr">
        <is>
          <t>ALL</t>
        </is>
      </c>
      <c r="B741" s="18" t="inlineStr">
        <is>
          <t>Lexus NX</t>
        </is>
      </c>
      <c r="C741" s="18" t="inlineStr">
        <is>
          <t>Lexus</t>
        </is>
      </c>
      <c r="D741" s="18" t="inlineStr">
        <is>
          <t>NX</t>
        </is>
      </c>
      <c r="E741" s="18" t="inlineStr">
        <is>
          <t>2015-2026</t>
        </is>
      </c>
      <c r="F741" s="18" t="inlineStr"/>
      <c r="G741" s="18" t="inlineStr">
        <is>
          <t>SUV</t>
        </is>
      </c>
      <c r="H741" s="18" t="inlineStr">
        <is>
          <t>YL</t>
        </is>
      </c>
      <c r="I741" s="19">
        <f t="array" ref="I741">TRIM(_xlfn.XLOOKUP(非皮卡压缩表[[#This Row],[BACKSIZE]],ALL尺码表[内部尺码],ALL尺码表[分类],""))</f>
        <v/>
      </c>
      <c r="J741" s="19">
        <f t="array" ref="J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1" s="20">
        <f>LEN(非皮卡压缩表[[#This Row],[LONG-TYPE]])</f>
        <v/>
      </c>
      <c r="L741" s="21">
        <f t="array" ref="L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1" s="22">
        <f>LEN(非皮卡压缩表[[#This Row],[TYPE]])</f>
        <v/>
      </c>
      <c r="N741" s="22">
        <f t="array" ref="N741">_xlfn.XLOOKUP(非皮卡压缩表[[#This Row],[MODEL]],MODEL缩写表[长MODEL],MODEL缩写表[短MODEL],非皮卡压缩表[[#This Row],[MODEL]])</f>
        <v/>
      </c>
      <c r="O741" s="22">
        <f>LEN(非皮卡压缩表[[#This Row],[SHORT-MODEL]])</f>
        <v/>
      </c>
      <c r="P741" s="11">
        <f t="array" ref="P741">TRIM(_xlfn.XLOOKUP(非皮卡压缩表[[#This Row],[BACKSIZE]],ALL尺码表[内部尺码],ALL尺码表[通用尺码]))</f>
        <v/>
      </c>
    </row>
    <row r="742">
      <c r="A742" s="17" t="inlineStr">
        <is>
          <t>ALL</t>
        </is>
      </c>
      <c r="B742" s="18" t="inlineStr">
        <is>
          <t>Lexus RC</t>
        </is>
      </c>
      <c r="C742" s="18" t="inlineStr">
        <is>
          <t>Lexus</t>
        </is>
      </c>
      <c r="D742" s="18" t="inlineStr">
        <is>
          <t>RC</t>
        </is>
      </c>
      <c r="E742" s="18" t="inlineStr">
        <is>
          <t>2015-2018</t>
        </is>
      </c>
      <c r="F742" s="18" t="inlineStr"/>
      <c r="G742" s="18" t="inlineStr">
        <is>
          <t>Coupe</t>
        </is>
      </c>
      <c r="H742" s="18" t="inlineStr">
        <is>
          <t>3L-0</t>
        </is>
      </c>
      <c r="I742" s="19">
        <f t="array" ref="I742">TRIM(_xlfn.XLOOKUP(非皮卡压缩表[[#This Row],[BACKSIZE]],ALL尺码表[内部尺码],ALL尺码表[分类],""))</f>
        <v/>
      </c>
      <c r="J742" s="19">
        <f t="array" ref="J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2" s="20">
        <f>LEN(非皮卡压缩表[[#This Row],[LONG-TYPE]])</f>
        <v/>
      </c>
      <c r="L742" s="21">
        <f t="array" ref="L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2" s="22">
        <f>LEN(非皮卡压缩表[[#This Row],[TYPE]])</f>
        <v/>
      </c>
      <c r="N742" s="22">
        <f t="array" ref="N742">_xlfn.XLOOKUP(非皮卡压缩表[[#This Row],[MODEL]],MODEL缩写表[长MODEL],MODEL缩写表[短MODEL],非皮卡压缩表[[#This Row],[MODEL]])</f>
        <v/>
      </c>
      <c r="O742" s="22">
        <f>LEN(非皮卡压缩表[[#This Row],[SHORT-MODEL]])</f>
        <v/>
      </c>
      <c r="P742" s="11">
        <f t="array" ref="P742">TRIM(_xlfn.XLOOKUP(非皮卡压缩表[[#This Row],[BACKSIZE]],ALL尺码表[内部尺码],ALL尺码表[通用尺码]))</f>
        <v/>
      </c>
    </row>
    <row r="743">
      <c r="A743" s="17" t="inlineStr">
        <is>
          <t>ALL</t>
        </is>
      </c>
      <c r="B743" s="18" t="inlineStr">
        <is>
          <t>Lexus RC</t>
        </is>
      </c>
      <c r="C743" s="18" t="inlineStr">
        <is>
          <t>Lexus</t>
        </is>
      </c>
      <c r="D743" s="18" t="inlineStr">
        <is>
          <t>RC</t>
        </is>
      </c>
      <c r="E743" s="18" t="inlineStr">
        <is>
          <t>2015-2025</t>
        </is>
      </c>
      <c r="F743" s="18" t="inlineStr">
        <is>
          <t>RC F</t>
        </is>
      </c>
      <c r="G743" s="18" t="inlineStr">
        <is>
          <t>Coupe</t>
        </is>
      </c>
      <c r="H743" s="18" t="inlineStr">
        <is>
          <t>3XL-0</t>
        </is>
      </c>
      <c r="I743" s="19">
        <f t="array" ref="I743">TRIM(_xlfn.XLOOKUP(非皮卡压缩表[[#This Row],[BACKSIZE]],ALL尺码表[内部尺码],ALL尺码表[分类],""))</f>
        <v/>
      </c>
      <c r="J743" s="19">
        <f t="array" ref="J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3" s="20">
        <f>LEN(非皮卡压缩表[[#This Row],[LONG-TYPE]])</f>
        <v/>
      </c>
      <c r="L743" s="21">
        <f t="array" ref="L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3" s="22">
        <f>LEN(非皮卡压缩表[[#This Row],[TYPE]])</f>
        <v/>
      </c>
      <c r="N743" s="22">
        <f t="array" ref="N743">_xlfn.XLOOKUP(非皮卡压缩表[[#This Row],[MODEL]],MODEL缩写表[长MODEL],MODEL缩写表[短MODEL],非皮卡压缩表[[#This Row],[MODEL]])</f>
        <v/>
      </c>
      <c r="O743" s="22">
        <f>LEN(非皮卡压缩表[[#This Row],[SHORT-MODEL]])</f>
        <v/>
      </c>
      <c r="P743" s="11">
        <f t="array" ref="P743">TRIM(_xlfn.XLOOKUP(非皮卡压缩表[[#This Row],[BACKSIZE]],ALL尺码表[内部尺码],ALL尺码表[通用尺码]))</f>
        <v/>
      </c>
    </row>
    <row r="744">
      <c r="A744" s="17" t="inlineStr">
        <is>
          <t>ALL</t>
        </is>
      </c>
      <c r="B744" s="18" t="inlineStr">
        <is>
          <t>Lexus RC</t>
        </is>
      </c>
      <c r="C744" s="18" t="inlineStr">
        <is>
          <t>Lexus</t>
        </is>
      </c>
      <c r="D744" s="18" t="inlineStr">
        <is>
          <t>RC</t>
        </is>
      </c>
      <c r="E744" s="18" t="inlineStr">
        <is>
          <t>2019-2024</t>
        </is>
      </c>
      <c r="F744" s="18" t="inlineStr"/>
      <c r="G744" s="18" t="inlineStr">
        <is>
          <t>Coupe</t>
        </is>
      </c>
      <c r="H744" s="18" t="inlineStr">
        <is>
          <t>3XL-0</t>
        </is>
      </c>
      <c r="I744" s="19">
        <f t="array" ref="I744">TRIM(_xlfn.XLOOKUP(非皮卡压缩表[[#This Row],[BACKSIZE]],ALL尺码表[内部尺码],ALL尺码表[分类],""))</f>
        <v/>
      </c>
      <c r="J744" s="19">
        <f t="array" ref="J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4" s="20">
        <f>LEN(非皮卡压缩表[[#This Row],[LONG-TYPE]])</f>
        <v/>
      </c>
      <c r="L744" s="21">
        <f t="array" ref="L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4" s="22">
        <f>LEN(非皮卡压缩表[[#This Row],[TYPE]])</f>
        <v/>
      </c>
      <c r="N744" s="22">
        <f t="array" ref="N744">_xlfn.XLOOKUP(非皮卡压缩表[[#This Row],[MODEL]],MODEL缩写表[长MODEL],MODEL缩写表[短MODEL],非皮卡压缩表[[#This Row],[MODEL]])</f>
        <v/>
      </c>
      <c r="O744" s="22">
        <f>LEN(非皮卡压缩表[[#This Row],[SHORT-MODEL]])</f>
        <v/>
      </c>
      <c r="P744" s="11">
        <f t="array" ref="P744">TRIM(_xlfn.XLOOKUP(非皮卡压缩表[[#This Row],[BACKSIZE]],ALL尺码表[内部尺码],ALL尺码表[通用尺码]))</f>
        <v/>
      </c>
    </row>
    <row r="745">
      <c r="A745" s="17" t="inlineStr">
        <is>
          <t>ALL</t>
        </is>
      </c>
      <c r="B745" s="18" t="inlineStr">
        <is>
          <t>Lexus RC</t>
        </is>
      </c>
      <c r="C745" s="18" t="inlineStr">
        <is>
          <t>Lexus</t>
        </is>
      </c>
      <c r="D745" s="18" t="inlineStr">
        <is>
          <t>RC</t>
        </is>
      </c>
      <c r="E745" s="18" t="inlineStr">
        <is>
          <t>2025</t>
        </is>
      </c>
      <c r="F745" s="18" t="inlineStr"/>
      <c r="G745" s="18" t="inlineStr">
        <is>
          <t>Coupe</t>
        </is>
      </c>
      <c r="H745" s="18" t="inlineStr">
        <is>
          <t>3L-0</t>
        </is>
      </c>
      <c r="I745" s="19">
        <f t="array" ref="I745">TRIM(_xlfn.XLOOKUP(非皮卡压缩表[[#This Row],[BACKSIZE]],ALL尺码表[内部尺码],ALL尺码表[分类],""))</f>
        <v/>
      </c>
      <c r="J745" s="19">
        <f t="array" ref="J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5" s="20">
        <f>LEN(非皮卡压缩表[[#This Row],[LONG-TYPE]])</f>
        <v/>
      </c>
      <c r="L745" s="21">
        <f t="array" ref="L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5" s="22">
        <f>LEN(非皮卡压缩表[[#This Row],[TYPE]])</f>
        <v/>
      </c>
      <c r="N745" s="22">
        <f t="array" ref="N745">_xlfn.XLOOKUP(非皮卡压缩表[[#This Row],[MODEL]],MODEL缩写表[长MODEL],MODEL缩写表[短MODEL],非皮卡压缩表[[#This Row],[MODEL]])</f>
        <v/>
      </c>
      <c r="O745" s="22">
        <f>LEN(非皮卡压缩表[[#This Row],[SHORT-MODEL]])</f>
        <v/>
      </c>
      <c r="P745" s="11">
        <f t="array" ref="P745">TRIM(_xlfn.XLOOKUP(非皮卡压缩表[[#This Row],[BACKSIZE]],ALL尺码表[内部尺码],ALL尺码表[通用尺码]))</f>
        <v/>
      </c>
    </row>
    <row r="746">
      <c r="A746" s="17" t="inlineStr">
        <is>
          <t>ALL</t>
        </is>
      </c>
      <c r="B746" s="18" t="inlineStr">
        <is>
          <t>Lexus RX</t>
        </is>
      </c>
      <c r="C746" s="18" t="inlineStr">
        <is>
          <t>Lexus</t>
        </is>
      </c>
      <c r="D746" s="18" t="inlineStr">
        <is>
          <t>RX</t>
        </is>
      </c>
      <c r="E746" s="18" t="inlineStr">
        <is>
          <t>1999-2003</t>
        </is>
      </c>
      <c r="F746" s="18" t="inlineStr"/>
      <c r="G746" s="18" t="inlineStr">
        <is>
          <t>SUV</t>
        </is>
      </c>
      <c r="H746" s="18" t="inlineStr">
        <is>
          <t>YM+</t>
        </is>
      </c>
      <c r="I746" s="19">
        <f t="array" ref="I746">TRIM(_xlfn.XLOOKUP(非皮卡压缩表[[#This Row],[BACKSIZE]],ALL尺码表[内部尺码],ALL尺码表[分类],""))</f>
        <v/>
      </c>
      <c r="J746" s="19">
        <f t="array" ref="J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6" s="20">
        <f>LEN(非皮卡压缩表[[#This Row],[LONG-TYPE]])</f>
        <v/>
      </c>
      <c r="L746" s="21">
        <f t="array" ref="L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6" s="22">
        <f>LEN(非皮卡压缩表[[#This Row],[TYPE]])</f>
        <v/>
      </c>
      <c r="N746" s="22">
        <f t="array" ref="N746">_xlfn.XLOOKUP(非皮卡压缩表[[#This Row],[MODEL]],MODEL缩写表[长MODEL],MODEL缩写表[短MODEL],非皮卡压缩表[[#This Row],[MODEL]])</f>
        <v/>
      </c>
      <c r="O746" s="22">
        <f>LEN(非皮卡压缩表[[#This Row],[SHORT-MODEL]])</f>
        <v/>
      </c>
      <c r="P746" s="11">
        <f t="array" ref="P746">TRIM(_xlfn.XLOOKUP(非皮卡压缩表[[#This Row],[BACKSIZE]],ALL尺码表[内部尺码],ALL尺码表[通用尺码]))</f>
        <v/>
      </c>
    </row>
    <row r="747">
      <c r="A747" s="17" t="inlineStr">
        <is>
          <t>ALL</t>
        </is>
      </c>
      <c r="B747" s="18" t="inlineStr">
        <is>
          <t>Lexus RX</t>
        </is>
      </c>
      <c r="C747" s="18" t="inlineStr">
        <is>
          <t>Lexus</t>
        </is>
      </c>
      <c r="D747" s="18" t="inlineStr">
        <is>
          <t>RX</t>
        </is>
      </c>
      <c r="E747" s="18" t="inlineStr">
        <is>
          <t>2004-2015</t>
        </is>
      </c>
      <c r="F747" s="18" t="inlineStr"/>
      <c r="G747" s="18" t="inlineStr">
        <is>
          <t>SUV</t>
        </is>
      </c>
      <c r="H747" s="18" t="inlineStr">
        <is>
          <t>YL</t>
        </is>
      </c>
      <c r="I747" s="19">
        <f t="array" ref="I747">TRIM(_xlfn.XLOOKUP(非皮卡压缩表[[#This Row],[BACKSIZE]],ALL尺码表[内部尺码],ALL尺码表[分类],""))</f>
        <v/>
      </c>
      <c r="J747" s="19">
        <f t="array" ref="J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7" s="20">
        <f>LEN(非皮卡压缩表[[#This Row],[LONG-TYPE]])</f>
        <v/>
      </c>
      <c r="L747" s="21">
        <f t="array" ref="L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7" s="22">
        <f>LEN(非皮卡压缩表[[#This Row],[TYPE]])</f>
        <v/>
      </c>
      <c r="N747" s="22">
        <f t="array" ref="N747">_xlfn.XLOOKUP(非皮卡压缩表[[#This Row],[MODEL]],MODEL缩写表[长MODEL],MODEL缩写表[短MODEL],非皮卡压缩表[[#This Row],[MODEL]])</f>
        <v/>
      </c>
      <c r="O747" s="22">
        <f>LEN(非皮卡压缩表[[#This Row],[SHORT-MODEL]])</f>
        <v/>
      </c>
      <c r="P747" s="11">
        <f t="array" ref="P747">TRIM(_xlfn.XLOOKUP(非皮卡压缩表[[#This Row],[BACKSIZE]],ALL尺码表[内部尺码],ALL尺码表[通用尺码]))</f>
        <v/>
      </c>
    </row>
    <row r="748">
      <c r="A748" s="17" t="inlineStr">
        <is>
          <t>ALL</t>
        </is>
      </c>
      <c r="B748" s="18" t="inlineStr">
        <is>
          <t>Lexus RX</t>
        </is>
      </c>
      <c r="C748" s="18" t="inlineStr">
        <is>
          <t>Lexus</t>
        </is>
      </c>
      <c r="D748" s="18" t="inlineStr">
        <is>
          <t>RX</t>
        </is>
      </c>
      <c r="E748" s="18" t="inlineStr">
        <is>
          <t>2016-2026</t>
        </is>
      </c>
      <c r="F748" s="18" t="inlineStr">
        <is>
          <t>Incl: RX L</t>
        </is>
      </c>
      <c r="G748" s="18" t="inlineStr">
        <is>
          <t>SUV</t>
        </is>
      </c>
      <c r="H748" s="18" t="inlineStr">
        <is>
          <t>YXL</t>
        </is>
      </c>
      <c r="I748" s="19">
        <f t="array" ref="I748">TRIM(_xlfn.XLOOKUP(非皮卡压缩表[[#This Row],[BACKSIZE]],ALL尺码表[内部尺码],ALL尺码表[分类],""))</f>
        <v/>
      </c>
      <c r="J748" s="19">
        <f t="array" ref="J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8" s="20">
        <f>LEN(非皮卡压缩表[[#This Row],[LONG-TYPE]])</f>
        <v/>
      </c>
      <c r="L748" s="21">
        <f t="array" ref="L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8" s="22">
        <f>LEN(非皮卡压缩表[[#This Row],[TYPE]])</f>
        <v/>
      </c>
      <c r="N748" s="22">
        <f t="array" ref="N748">_xlfn.XLOOKUP(非皮卡压缩表[[#This Row],[MODEL]],MODEL缩写表[长MODEL],MODEL缩写表[短MODEL],非皮卡压缩表[[#This Row],[MODEL]])</f>
        <v/>
      </c>
      <c r="O748" s="22">
        <f>LEN(非皮卡压缩表[[#This Row],[SHORT-MODEL]])</f>
        <v/>
      </c>
      <c r="P748" s="11">
        <f t="array" ref="P748">TRIM(_xlfn.XLOOKUP(非皮卡压缩表[[#This Row],[BACKSIZE]],ALL尺码表[内部尺码],ALL尺码表[通用尺码]))</f>
        <v/>
      </c>
    </row>
    <row r="749">
      <c r="A749" s="17" t="inlineStr">
        <is>
          <t>ALL</t>
        </is>
      </c>
      <c r="B749" s="18" t="inlineStr">
        <is>
          <t>Lexus RZ</t>
        </is>
      </c>
      <c r="C749" s="18" t="inlineStr">
        <is>
          <t>Lexus</t>
        </is>
      </c>
      <c r="D749" s="18" t="inlineStr">
        <is>
          <t>RZ</t>
        </is>
      </c>
      <c r="E749" s="18" t="inlineStr">
        <is>
          <t>2023-2026</t>
        </is>
      </c>
      <c r="F749" s="18" t="inlineStr"/>
      <c r="G749" s="18" t="inlineStr">
        <is>
          <t>SUV</t>
        </is>
      </c>
      <c r="H749" s="18" t="inlineStr">
        <is>
          <t>YL</t>
        </is>
      </c>
      <c r="I749" s="19">
        <f t="array" ref="I749">TRIM(_xlfn.XLOOKUP(非皮卡压缩表[[#This Row],[BACKSIZE]],ALL尺码表[内部尺码],ALL尺码表[分类],""))</f>
        <v/>
      </c>
      <c r="J749" s="19">
        <f t="array" ref="J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9" s="20">
        <f>LEN(非皮卡压缩表[[#This Row],[LONG-TYPE]])</f>
        <v/>
      </c>
      <c r="L749" s="21">
        <f t="array" ref="L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9" s="22">
        <f>LEN(非皮卡压缩表[[#This Row],[TYPE]])</f>
        <v/>
      </c>
      <c r="N749" s="22">
        <f t="array" ref="N749">_xlfn.XLOOKUP(非皮卡压缩表[[#This Row],[MODEL]],MODEL缩写表[长MODEL],MODEL缩写表[短MODEL],非皮卡压缩表[[#This Row],[MODEL]])</f>
        <v/>
      </c>
      <c r="O749" s="22">
        <f>LEN(非皮卡压缩表[[#This Row],[SHORT-MODEL]])</f>
        <v/>
      </c>
      <c r="P749" s="11">
        <f t="array" ref="P749">TRIM(_xlfn.XLOOKUP(非皮卡压缩表[[#This Row],[BACKSIZE]],ALL尺码表[内部尺码],ALL尺码表[通用尺码]))</f>
        <v/>
      </c>
    </row>
    <row r="750">
      <c r="A750" s="17" t="inlineStr">
        <is>
          <t>ALL</t>
        </is>
      </c>
      <c r="B750" s="18" t="inlineStr">
        <is>
          <t>Lexus SC</t>
        </is>
      </c>
      <c r="C750" s="18" t="inlineStr">
        <is>
          <t>Lexus</t>
        </is>
      </c>
      <c r="D750" s="18" t="inlineStr">
        <is>
          <t>SC</t>
        </is>
      </c>
      <c r="E750" s="18" t="inlineStr">
        <is>
          <t>1992-2000</t>
        </is>
      </c>
      <c r="F750" s="18" t="inlineStr"/>
      <c r="G750" s="18" t="inlineStr">
        <is>
          <t>Coupe</t>
        </is>
      </c>
      <c r="H750" s="18" t="inlineStr">
        <is>
          <t>3XL-0</t>
        </is>
      </c>
      <c r="I750" s="19">
        <f t="array" ref="I750">TRIM(_xlfn.XLOOKUP(非皮卡压缩表[[#This Row],[BACKSIZE]],ALL尺码表[内部尺码],ALL尺码表[分类],""))</f>
        <v/>
      </c>
      <c r="J750" s="19">
        <f t="array" ref="J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0" s="20">
        <f>LEN(非皮卡压缩表[[#This Row],[LONG-TYPE]])</f>
        <v/>
      </c>
      <c r="L750" s="21">
        <f t="array" ref="L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0" s="22">
        <f>LEN(非皮卡压缩表[[#This Row],[TYPE]])</f>
        <v/>
      </c>
      <c r="N750" s="22">
        <f t="array" ref="N750">_xlfn.XLOOKUP(非皮卡压缩表[[#This Row],[MODEL]],MODEL缩写表[长MODEL],MODEL缩写表[短MODEL],非皮卡压缩表[[#This Row],[MODEL]])</f>
        <v/>
      </c>
      <c r="O750" s="22">
        <f>LEN(非皮卡压缩表[[#This Row],[SHORT-MODEL]])</f>
        <v/>
      </c>
      <c r="P750" s="11">
        <f t="array" ref="P750">TRIM(_xlfn.XLOOKUP(非皮卡压缩表[[#This Row],[BACKSIZE]],ALL尺码表[内部尺码],ALL尺码表[通用尺码]))</f>
        <v/>
      </c>
    </row>
    <row r="751">
      <c r="A751" s="17" t="inlineStr">
        <is>
          <t>ALL</t>
        </is>
      </c>
      <c r="B751" s="18" t="inlineStr">
        <is>
          <t>Lexus SC</t>
        </is>
      </c>
      <c r="C751" s="18" t="inlineStr">
        <is>
          <t>Lexus</t>
        </is>
      </c>
      <c r="D751" s="18" t="inlineStr">
        <is>
          <t>SC</t>
        </is>
      </c>
      <c r="E751" s="18" t="inlineStr">
        <is>
          <t>2002-2010</t>
        </is>
      </c>
      <c r="F751" s="18" t="inlineStr"/>
      <c r="G751" s="18" t="inlineStr">
        <is>
          <t>Convertible</t>
        </is>
      </c>
      <c r="H751" s="18" t="inlineStr">
        <is>
          <t>3L-0</t>
        </is>
      </c>
      <c r="I751" s="19">
        <f t="array" ref="I751">TRIM(_xlfn.XLOOKUP(非皮卡压缩表[[#This Row],[BACKSIZE]],ALL尺码表[内部尺码],ALL尺码表[分类],""))</f>
        <v/>
      </c>
      <c r="J751" s="19">
        <f t="array" ref="J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1" s="20">
        <f>LEN(非皮卡压缩表[[#This Row],[LONG-TYPE]])</f>
        <v/>
      </c>
      <c r="L751" s="21">
        <f t="array" ref="L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1" s="22">
        <f>LEN(非皮卡压缩表[[#This Row],[TYPE]])</f>
        <v/>
      </c>
      <c r="N751" s="22">
        <f t="array" ref="N751">_xlfn.XLOOKUP(非皮卡压缩表[[#This Row],[MODEL]],MODEL缩写表[长MODEL],MODEL缩写表[短MODEL],非皮卡压缩表[[#This Row],[MODEL]])</f>
        <v/>
      </c>
      <c r="O751" s="22">
        <f>LEN(非皮卡压缩表[[#This Row],[SHORT-MODEL]])</f>
        <v/>
      </c>
      <c r="P751" s="11">
        <f t="array" ref="P751">TRIM(_xlfn.XLOOKUP(非皮卡压缩表[[#This Row],[BACKSIZE]],ALL尺码表[内部尺码],ALL尺码表[通用尺码]))</f>
        <v/>
      </c>
    </row>
    <row r="752">
      <c r="A752" s="17" t="inlineStr">
        <is>
          <t>ALL</t>
        </is>
      </c>
      <c r="B752" s="18" t="inlineStr">
        <is>
          <t>Lexus TX</t>
        </is>
      </c>
      <c r="C752" s="18" t="inlineStr">
        <is>
          <t>Lexus</t>
        </is>
      </c>
      <c r="D752" s="18" t="inlineStr">
        <is>
          <t>TX</t>
        </is>
      </c>
      <c r="E752" s="18" t="inlineStr">
        <is>
          <t>2024-2026</t>
        </is>
      </c>
      <c r="F752" s="18" t="inlineStr"/>
      <c r="G752" s="18" t="inlineStr">
        <is>
          <t>SUV</t>
        </is>
      </c>
      <c r="H752" s="18" t="inlineStr">
        <is>
          <t>YXXL</t>
        </is>
      </c>
      <c r="I752" s="19">
        <f t="array" ref="I752">TRIM(_xlfn.XLOOKUP(非皮卡压缩表[[#This Row],[BACKSIZE]],ALL尺码表[内部尺码],ALL尺码表[分类],""))</f>
        <v/>
      </c>
      <c r="J752" s="19">
        <f t="array" ref="J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2" s="20">
        <f>LEN(非皮卡压缩表[[#This Row],[LONG-TYPE]])</f>
        <v/>
      </c>
      <c r="L752" s="21">
        <f t="array" ref="L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2" s="22">
        <f>LEN(非皮卡压缩表[[#This Row],[TYPE]])</f>
        <v/>
      </c>
      <c r="N752" s="22">
        <f t="array" ref="N752">_xlfn.XLOOKUP(非皮卡压缩表[[#This Row],[MODEL]],MODEL缩写表[长MODEL],MODEL缩写表[短MODEL],非皮卡压缩表[[#This Row],[MODEL]])</f>
        <v/>
      </c>
      <c r="O752" s="22">
        <f>LEN(非皮卡压缩表[[#This Row],[SHORT-MODEL]])</f>
        <v/>
      </c>
      <c r="P752" s="11">
        <f t="array" ref="P752">TRIM(_xlfn.XLOOKUP(非皮卡压缩表[[#This Row],[BACKSIZE]],ALL尺码表[内部尺码],ALL尺码表[通用尺码]))</f>
        <v/>
      </c>
    </row>
    <row r="753">
      <c r="A753" s="17" t="inlineStr">
        <is>
          <t>ALL</t>
        </is>
      </c>
      <c r="B753" s="18" t="inlineStr">
        <is>
          <t>Lexus UX</t>
        </is>
      </c>
      <c r="C753" s="18" t="inlineStr">
        <is>
          <t>Lexus</t>
        </is>
      </c>
      <c r="D753" s="18" t="inlineStr">
        <is>
          <t>UX</t>
        </is>
      </c>
      <c r="E753" s="18" t="inlineStr">
        <is>
          <t>2019-2026</t>
        </is>
      </c>
      <c r="F753" s="18" t="inlineStr"/>
      <c r="G753" s="18" t="inlineStr">
        <is>
          <t>SUV</t>
        </is>
      </c>
      <c r="H753" s="18" t="inlineStr">
        <is>
          <t>YM+</t>
        </is>
      </c>
      <c r="I753" s="19">
        <f t="array" ref="I753">TRIM(_xlfn.XLOOKUP(非皮卡压缩表[[#This Row],[BACKSIZE]],ALL尺码表[内部尺码],ALL尺码表[分类],""))</f>
        <v/>
      </c>
      <c r="J753" s="19">
        <f t="array" ref="J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3" s="20">
        <f>LEN(非皮卡压缩表[[#This Row],[LONG-TYPE]])</f>
        <v/>
      </c>
      <c r="L753" s="21">
        <f t="array" ref="L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3" s="22">
        <f>LEN(非皮卡压缩表[[#This Row],[TYPE]])</f>
        <v/>
      </c>
      <c r="N753" s="22">
        <f t="array" ref="N753">_xlfn.XLOOKUP(非皮卡压缩表[[#This Row],[MODEL]],MODEL缩写表[长MODEL],MODEL缩写表[短MODEL],非皮卡压缩表[[#This Row],[MODEL]])</f>
        <v/>
      </c>
      <c r="O753" s="22">
        <f>LEN(非皮卡压缩表[[#This Row],[SHORT-MODEL]])</f>
        <v/>
      </c>
      <c r="P753" s="11">
        <f t="array" ref="P753">TRIM(_xlfn.XLOOKUP(非皮卡压缩表[[#This Row],[BACKSIZE]],ALL尺码表[内部尺码],ALL尺码表[通用尺码]))</f>
        <v/>
      </c>
    </row>
    <row r="754">
      <c r="A754" s="17" t="inlineStr">
        <is>
          <t>ALL</t>
        </is>
      </c>
      <c r="B754" s="18" t="inlineStr">
        <is>
          <t>Lincoln Aviator</t>
        </is>
      </c>
      <c r="C754" s="18" t="inlineStr">
        <is>
          <t>Lincoln</t>
        </is>
      </c>
      <c r="D754" s="18" t="inlineStr">
        <is>
          <t>Aviator</t>
        </is>
      </c>
      <c r="E754" s="18" t="inlineStr">
        <is>
          <t>2003-2026</t>
        </is>
      </c>
      <c r="F754" s="18" t="inlineStr"/>
      <c r="G754" s="18" t="inlineStr">
        <is>
          <t>SUV</t>
        </is>
      </c>
      <c r="H754" s="18" t="inlineStr">
        <is>
          <t>YXL</t>
        </is>
      </c>
      <c r="I754" s="19">
        <f t="array" ref="I754">TRIM(_xlfn.XLOOKUP(非皮卡压缩表[[#This Row],[BACKSIZE]],ALL尺码表[内部尺码],ALL尺码表[分类],""))</f>
        <v/>
      </c>
      <c r="J754" s="19">
        <f t="array" ref="J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4" s="20">
        <f>LEN(非皮卡压缩表[[#This Row],[LONG-TYPE]])</f>
        <v/>
      </c>
      <c r="L754" s="21">
        <f t="array" ref="L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4" s="22">
        <f>LEN(非皮卡压缩表[[#This Row],[TYPE]])</f>
        <v/>
      </c>
      <c r="N754" s="22">
        <f t="array" ref="N754">_xlfn.XLOOKUP(非皮卡压缩表[[#This Row],[MODEL]],MODEL缩写表[长MODEL],MODEL缩写表[短MODEL],非皮卡压缩表[[#This Row],[MODEL]])</f>
        <v/>
      </c>
      <c r="O754" s="22">
        <f>LEN(非皮卡压缩表[[#This Row],[SHORT-MODEL]])</f>
        <v/>
      </c>
      <c r="P754" s="11">
        <f t="array" ref="P754">TRIM(_xlfn.XLOOKUP(非皮卡压缩表[[#This Row],[BACKSIZE]],ALL尺码表[内部尺码],ALL尺码表[通用尺码]))</f>
        <v/>
      </c>
    </row>
    <row r="755">
      <c r="A755" s="17" t="inlineStr">
        <is>
          <t>ALL</t>
        </is>
      </c>
      <c r="B755" s="18" t="inlineStr">
        <is>
          <t>Lincoln Continental</t>
        </is>
      </c>
      <c r="C755" s="18" t="inlineStr">
        <is>
          <t>Lincoln</t>
        </is>
      </c>
      <c r="D755" s="18" t="inlineStr">
        <is>
          <t>Continental</t>
        </is>
      </c>
      <c r="E755" s="18" t="inlineStr">
        <is>
          <t>1940-1948</t>
        </is>
      </c>
      <c r="F755" s="18" t="inlineStr"/>
      <c r="G755" s="18" t="inlineStr">
        <is>
          <t>Convertible</t>
        </is>
      </c>
      <c r="H755" s="18" t="inlineStr">
        <is>
          <t>3XXXL-0</t>
        </is>
      </c>
      <c r="I755" s="19">
        <f t="array" ref="I755">TRIM(_xlfn.XLOOKUP(非皮卡压缩表[[#This Row],[BACKSIZE]],ALL尺码表[内部尺码],ALL尺码表[分类],""))</f>
        <v/>
      </c>
      <c r="J755" s="19">
        <f t="array" ref="J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5" s="20">
        <f>LEN(非皮卡压缩表[[#This Row],[LONG-TYPE]])</f>
        <v/>
      </c>
      <c r="L755" s="21">
        <f t="array" ref="L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5" s="22">
        <f>LEN(非皮卡压缩表[[#This Row],[TYPE]])</f>
        <v/>
      </c>
      <c r="N755" s="22">
        <f t="array" ref="N755">_xlfn.XLOOKUP(非皮卡压缩表[[#This Row],[MODEL]],MODEL缩写表[长MODEL],MODEL缩写表[短MODEL],非皮卡压缩表[[#This Row],[MODEL]])</f>
        <v/>
      </c>
      <c r="O755" s="22">
        <f>LEN(非皮卡压缩表[[#This Row],[SHORT-MODEL]])</f>
        <v/>
      </c>
      <c r="P755" s="11">
        <f t="array" ref="P755">TRIM(_xlfn.XLOOKUP(非皮卡压缩表[[#This Row],[BACKSIZE]],ALL尺码表[内部尺码],ALL尺码表[通用尺码]))</f>
        <v/>
      </c>
    </row>
    <row r="756">
      <c r="A756" s="17" t="inlineStr">
        <is>
          <t>ALL</t>
        </is>
      </c>
      <c r="B756" s="18" t="inlineStr">
        <is>
          <t>Lincoln Continental</t>
        </is>
      </c>
      <c r="C756" s="18" t="inlineStr">
        <is>
          <t>Lincoln</t>
        </is>
      </c>
      <c r="D756" s="18" t="inlineStr">
        <is>
          <t>Continental</t>
        </is>
      </c>
      <c r="E756" s="18" t="inlineStr">
        <is>
          <t>1940-1973</t>
        </is>
      </c>
      <c r="F756" s="18" t="inlineStr"/>
      <c r="G756" s="18" t="inlineStr">
        <is>
          <t>Coupe</t>
        </is>
      </c>
      <c r="H756" s="18" t="inlineStr">
        <is>
          <t>3XXXXL-0</t>
        </is>
      </c>
      <c r="I756" s="19">
        <f t="array" ref="I756">TRIM(_xlfn.XLOOKUP(非皮卡压缩表[[#This Row],[BACKSIZE]],ALL尺码表[内部尺码],ALL尺码表[分类],""))</f>
        <v/>
      </c>
      <c r="J756" s="19">
        <f t="array" ref="J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6" s="20">
        <f>LEN(非皮卡压缩表[[#This Row],[LONG-TYPE]])</f>
        <v/>
      </c>
      <c r="L756" s="21">
        <f t="array" ref="L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6" s="22">
        <f>LEN(非皮卡压缩表[[#This Row],[TYPE]])</f>
        <v/>
      </c>
      <c r="N756" s="22">
        <f t="array" ref="N756">_xlfn.XLOOKUP(非皮卡压缩表[[#This Row],[MODEL]],MODEL缩写表[长MODEL],MODEL缩写表[短MODEL],非皮卡压缩表[[#This Row],[MODEL]])</f>
        <v/>
      </c>
      <c r="O756" s="22">
        <f>LEN(非皮卡压缩表[[#This Row],[SHORT-MODEL]])</f>
        <v/>
      </c>
      <c r="P756" s="11">
        <f t="array" ref="P756">TRIM(_xlfn.XLOOKUP(非皮卡压缩表[[#This Row],[BACKSIZE]],ALL尺码表[内部尺码],ALL尺码表[通用尺码]))</f>
        <v/>
      </c>
    </row>
    <row r="757">
      <c r="A757" s="17" t="inlineStr">
        <is>
          <t>ALL</t>
        </is>
      </c>
      <c r="B757" s="18" t="inlineStr">
        <is>
          <t>Lincoln Continental</t>
        </is>
      </c>
      <c r="C757" s="18" t="inlineStr">
        <is>
          <t>Lincoln</t>
        </is>
      </c>
      <c r="D757" s="18" t="inlineStr">
        <is>
          <t>Continental</t>
        </is>
      </c>
      <c r="E757" s="18" t="inlineStr">
        <is>
          <t>1958-1960</t>
        </is>
      </c>
      <c r="F757" s="18" t="inlineStr"/>
      <c r="G757" s="18" t="inlineStr">
        <is>
          <t>Convertible</t>
        </is>
      </c>
      <c r="H757" s="18" t="inlineStr">
        <is>
          <t>3XXXXL-0</t>
        </is>
      </c>
      <c r="I757" s="19">
        <f t="array" ref="I757">TRIM(_xlfn.XLOOKUP(非皮卡压缩表[[#This Row],[BACKSIZE]],ALL尺码表[内部尺码],ALL尺码表[分类],""))</f>
        <v/>
      </c>
      <c r="J757" s="19">
        <f t="array" ref="J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7" s="20">
        <f>LEN(非皮卡压缩表[[#This Row],[LONG-TYPE]])</f>
        <v/>
      </c>
      <c r="L757" s="21">
        <f t="array" ref="L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7" s="22">
        <f>LEN(非皮卡压缩表[[#This Row],[TYPE]])</f>
        <v/>
      </c>
      <c r="N757" s="22">
        <f t="array" ref="N757">_xlfn.XLOOKUP(非皮卡压缩表[[#This Row],[MODEL]],MODEL缩写表[长MODEL],MODEL缩写表[短MODEL],非皮卡压缩表[[#This Row],[MODEL]])</f>
        <v/>
      </c>
      <c r="O757" s="22">
        <f>LEN(非皮卡压缩表[[#This Row],[SHORT-MODEL]])</f>
        <v/>
      </c>
      <c r="P757" s="11">
        <f t="array" ref="P757">TRIM(_xlfn.XLOOKUP(非皮卡压缩表[[#This Row],[BACKSIZE]],ALL尺码表[内部尺码],ALL尺码表[通用尺码]))</f>
        <v/>
      </c>
    </row>
    <row r="758">
      <c r="A758" s="17" t="inlineStr">
        <is>
          <t>ALL</t>
        </is>
      </c>
      <c r="B758" s="18" t="inlineStr">
        <is>
          <t>Lincoln Continental</t>
        </is>
      </c>
      <c r="C758" s="18" t="inlineStr">
        <is>
          <t>Lincoln</t>
        </is>
      </c>
      <c r="D758" s="18" t="inlineStr">
        <is>
          <t>Continental</t>
        </is>
      </c>
      <c r="E758" s="18" t="inlineStr">
        <is>
          <t>1958-1960</t>
        </is>
      </c>
      <c r="F758" s="18" t="inlineStr"/>
      <c r="G758" s="18" t="inlineStr">
        <is>
          <t>Sedan</t>
        </is>
      </c>
      <c r="H758" s="18" t="inlineStr">
        <is>
          <t>无可用尺码</t>
        </is>
      </c>
      <c r="I758" s="19">
        <f t="array" ref="I758">TRIM(_xlfn.XLOOKUP(非皮卡压缩表[[#This Row],[BACKSIZE]],ALL尺码表[内部尺码],ALL尺码表[分类],""))</f>
        <v/>
      </c>
      <c r="J758" s="19">
        <f t="array" ref="J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8" s="20">
        <f>LEN(非皮卡压缩表[[#This Row],[LONG-TYPE]])</f>
        <v/>
      </c>
      <c r="L758" s="21">
        <f t="array" ref="L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8" s="22">
        <f>LEN(非皮卡压缩表[[#This Row],[TYPE]])</f>
        <v/>
      </c>
      <c r="N758" s="22">
        <f t="array" ref="N758">_xlfn.XLOOKUP(非皮卡压缩表[[#This Row],[MODEL]],MODEL缩写表[长MODEL],MODEL缩写表[短MODEL],非皮卡压缩表[[#This Row],[MODEL]])</f>
        <v/>
      </c>
      <c r="O758" s="22">
        <f>LEN(非皮卡压缩表[[#This Row],[SHORT-MODEL]])</f>
        <v/>
      </c>
      <c r="P758" s="11">
        <f t="array" ref="P758">TRIM(_xlfn.XLOOKUP(非皮卡压缩表[[#This Row],[BACKSIZE]],ALL尺码表[内部尺码],ALL尺码表[通用尺码]))</f>
        <v/>
      </c>
    </row>
    <row r="759">
      <c r="A759" s="17" t="inlineStr">
        <is>
          <t>ALL</t>
        </is>
      </c>
      <c r="B759" s="18" t="inlineStr">
        <is>
          <t>Lincoln Continental</t>
        </is>
      </c>
      <c r="C759" s="18" t="inlineStr">
        <is>
          <t>Lincoln</t>
        </is>
      </c>
      <c r="D759" s="18" t="inlineStr">
        <is>
          <t>Continental</t>
        </is>
      </c>
      <c r="E759" s="18" t="inlineStr">
        <is>
          <t>1961-1965</t>
        </is>
      </c>
      <c r="F759" s="18" t="inlineStr"/>
      <c r="G759" s="18" t="inlineStr">
        <is>
          <t>Sedan</t>
        </is>
      </c>
      <c r="H759" s="18" t="inlineStr">
        <is>
          <t>3XXXL</t>
        </is>
      </c>
      <c r="I759" s="19">
        <f t="array" ref="I759">TRIM(_xlfn.XLOOKUP(非皮卡压缩表[[#This Row],[BACKSIZE]],ALL尺码表[内部尺码],ALL尺码表[分类],""))</f>
        <v/>
      </c>
      <c r="J759" s="19">
        <f t="array" ref="J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9" s="20">
        <f>LEN(非皮卡压缩表[[#This Row],[LONG-TYPE]])</f>
        <v/>
      </c>
      <c r="L759" s="21">
        <f t="array" ref="L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9" s="22">
        <f>LEN(非皮卡压缩表[[#This Row],[TYPE]])</f>
        <v/>
      </c>
      <c r="N759" s="22">
        <f t="array" ref="N759">_xlfn.XLOOKUP(非皮卡压缩表[[#This Row],[MODEL]],MODEL缩写表[长MODEL],MODEL缩写表[短MODEL],非皮卡压缩表[[#This Row],[MODEL]])</f>
        <v/>
      </c>
      <c r="O759" s="22">
        <f>LEN(非皮卡压缩表[[#This Row],[SHORT-MODEL]])</f>
        <v/>
      </c>
      <c r="P759" s="11">
        <f t="array" ref="P759">TRIM(_xlfn.XLOOKUP(非皮卡压缩表[[#This Row],[BACKSIZE]],ALL尺码表[内部尺码],ALL尺码表[通用尺码]))</f>
        <v/>
      </c>
    </row>
    <row r="760">
      <c r="A760" s="17" t="inlineStr">
        <is>
          <t>ALL</t>
        </is>
      </c>
      <c r="B760" s="18" t="inlineStr">
        <is>
          <t>Lincoln Continental</t>
        </is>
      </c>
      <c r="C760" s="18" t="inlineStr">
        <is>
          <t>Lincoln</t>
        </is>
      </c>
      <c r="D760" s="18" t="inlineStr">
        <is>
          <t>Continental</t>
        </is>
      </c>
      <c r="E760" s="18" t="inlineStr">
        <is>
          <t>1961-1965</t>
        </is>
      </c>
      <c r="F760" s="18" t="inlineStr"/>
      <c r="G760" s="18" t="inlineStr">
        <is>
          <t>Convertible</t>
        </is>
      </c>
      <c r="H760" s="18" t="inlineStr">
        <is>
          <t>3XXXL-0</t>
        </is>
      </c>
      <c r="I760" s="19">
        <f t="array" ref="I760">TRIM(_xlfn.XLOOKUP(非皮卡压缩表[[#This Row],[BACKSIZE]],ALL尺码表[内部尺码],ALL尺码表[分类],""))</f>
        <v/>
      </c>
      <c r="J760" s="19">
        <f t="array" ref="J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0" s="20">
        <f>LEN(非皮卡压缩表[[#This Row],[LONG-TYPE]])</f>
        <v/>
      </c>
      <c r="L760" s="21">
        <f t="array" ref="L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0" s="22">
        <f>LEN(非皮卡压缩表[[#This Row],[TYPE]])</f>
        <v/>
      </c>
      <c r="N760" s="22">
        <f t="array" ref="N760">_xlfn.XLOOKUP(非皮卡压缩表[[#This Row],[MODEL]],MODEL缩写表[长MODEL],MODEL缩写表[短MODEL],非皮卡压缩表[[#This Row],[MODEL]])</f>
        <v/>
      </c>
      <c r="O760" s="22">
        <f>LEN(非皮卡压缩表[[#This Row],[SHORT-MODEL]])</f>
        <v/>
      </c>
      <c r="P760" s="11">
        <f t="array" ref="P760">TRIM(_xlfn.XLOOKUP(非皮卡压缩表[[#This Row],[BACKSIZE]],ALL尺码表[内部尺码],ALL尺码表[通用尺码]))</f>
        <v/>
      </c>
    </row>
    <row r="761">
      <c r="A761" s="17" t="inlineStr">
        <is>
          <t>ALL</t>
        </is>
      </c>
      <c r="B761" s="18" t="inlineStr">
        <is>
          <t>Lincoln Continental</t>
        </is>
      </c>
      <c r="C761" s="18" t="inlineStr">
        <is>
          <t>Lincoln</t>
        </is>
      </c>
      <c r="D761" s="18" t="inlineStr">
        <is>
          <t>Continental</t>
        </is>
      </c>
      <c r="E761" s="18" t="inlineStr">
        <is>
          <t>1966-1967</t>
        </is>
      </c>
      <c r="F761" s="18" t="inlineStr"/>
      <c r="G761" s="18" t="inlineStr">
        <is>
          <t>Convertible</t>
        </is>
      </c>
      <c r="H761" s="18" t="inlineStr">
        <is>
          <t>3XXXXL-0</t>
        </is>
      </c>
      <c r="I761" s="19">
        <f t="array" ref="I761">TRIM(_xlfn.XLOOKUP(非皮卡压缩表[[#This Row],[BACKSIZE]],ALL尺码表[内部尺码],ALL尺码表[分类],""))</f>
        <v/>
      </c>
      <c r="J761" s="19">
        <f t="array" ref="J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1" s="20">
        <f>LEN(非皮卡压缩表[[#This Row],[LONG-TYPE]])</f>
        <v/>
      </c>
      <c r="L761" s="21">
        <f t="array" ref="L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1" s="22">
        <f>LEN(非皮卡压缩表[[#This Row],[TYPE]])</f>
        <v/>
      </c>
      <c r="N761" s="22">
        <f t="array" ref="N761">_xlfn.XLOOKUP(非皮卡压缩表[[#This Row],[MODEL]],MODEL缩写表[长MODEL],MODEL缩写表[短MODEL],非皮卡压缩表[[#This Row],[MODEL]])</f>
        <v/>
      </c>
      <c r="O761" s="22">
        <f>LEN(非皮卡压缩表[[#This Row],[SHORT-MODEL]])</f>
        <v/>
      </c>
      <c r="P761" s="11">
        <f t="array" ref="P761">TRIM(_xlfn.XLOOKUP(非皮卡压缩表[[#This Row],[BACKSIZE]],ALL尺码表[内部尺码],ALL尺码表[通用尺码]))</f>
        <v/>
      </c>
    </row>
    <row r="762">
      <c r="A762" s="17" t="inlineStr">
        <is>
          <t>ALL</t>
        </is>
      </c>
      <c r="B762" s="18" t="inlineStr">
        <is>
          <t>Lincoln Continental</t>
        </is>
      </c>
      <c r="C762" s="18" t="inlineStr">
        <is>
          <t>Lincoln</t>
        </is>
      </c>
      <c r="D762" s="18" t="inlineStr">
        <is>
          <t>Continental</t>
        </is>
      </c>
      <c r="E762" s="18" t="inlineStr">
        <is>
          <t>1966-1980</t>
        </is>
      </c>
      <c r="F762" s="18" t="inlineStr"/>
      <c r="G762" s="18" t="inlineStr">
        <is>
          <t>Sedan</t>
        </is>
      </c>
      <c r="H762" s="18" t="inlineStr">
        <is>
          <t>无可用尺码</t>
        </is>
      </c>
      <c r="I762" s="19">
        <f t="array" ref="I762">TRIM(_xlfn.XLOOKUP(非皮卡压缩表[[#This Row],[BACKSIZE]],ALL尺码表[内部尺码],ALL尺码表[分类],""))</f>
        <v/>
      </c>
      <c r="J762" s="19">
        <f t="array" ref="J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2" s="20">
        <f>LEN(非皮卡压缩表[[#This Row],[LONG-TYPE]])</f>
        <v/>
      </c>
      <c r="L762" s="21">
        <f t="array" ref="L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2" s="22">
        <f>LEN(非皮卡压缩表[[#This Row],[TYPE]])</f>
        <v/>
      </c>
      <c r="N762" s="22">
        <f t="array" ref="N762">_xlfn.XLOOKUP(非皮卡压缩表[[#This Row],[MODEL]],MODEL缩写表[长MODEL],MODEL缩写表[短MODEL],非皮卡压缩表[[#This Row],[MODEL]])</f>
        <v/>
      </c>
      <c r="O762" s="22">
        <f>LEN(非皮卡压缩表[[#This Row],[SHORT-MODEL]])</f>
        <v/>
      </c>
      <c r="P762" s="11">
        <f t="array" ref="P762">TRIM(_xlfn.XLOOKUP(非皮卡压缩表[[#This Row],[BACKSIZE]],ALL尺码表[内部尺码],ALL尺码表[通用尺码]))</f>
        <v/>
      </c>
    </row>
    <row r="763">
      <c r="A763" s="17" t="inlineStr">
        <is>
          <t>ALL</t>
        </is>
      </c>
      <c r="B763" s="18" t="inlineStr">
        <is>
          <t>Lincoln Continental</t>
        </is>
      </c>
      <c r="C763" s="18" t="inlineStr">
        <is>
          <t>Lincoln</t>
        </is>
      </c>
      <c r="D763" s="18" t="inlineStr">
        <is>
          <t>Continental</t>
        </is>
      </c>
      <c r="E763" s="18" t="inlineStr">
        <is>
          <t>1974-1979</t>
        </is>
      </c>
      <c r="F763" s="18" t="inlineStr"/>
      <c r="G763" s="18" t="inlineStr">
        <is>
          <t>Coupe</t>
        </is>
      </c>
      <c r="H763" s="18" t="inlineStr">
        <is>
          <t>无可用尺码</t>
        </is>
      </c>
      <c r="I763" s="19">
        <f t="array" ref="I763">TRIM(_xlfn.XLOOKUP(非皮卡压缩表[[#This Row],[BACKSIZE]],ALL尺码表[内部尺码],ALL尺码表[分类],""))</f>
        <v/>
      </c>
      <c r="J763" s="19">
        <f t="array" ref="J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3" s="20">
        <f>LEN(非皮卡压缩表[[#This Row],[LONG-TYPE]])</f>
        <v/>
      </c>
      <c r="L763" s="21">
        <f t="array" ref="L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3" s="22">
        <f>LEN(非皮卡压缩表[[#This Row],[TYPE]])</f>
        <v/>
      </c>
      <c r="N763" s="22">
        <f t="array" ref="N763">_xlfn.XLOOKUP(非皮卡压缩表[[#This Row],[MODEL]],MODEL缩写表[长MODEL],MODEL缩写表[短MODEL],非皮卡压缩表[[#This Row],[MODEL]])</f>
        <v/>
      </c>
      <c r="O763" s="22">
        <f>LEN(非皮卡压缩表[[#This Row],[SHORT-MODEL]])</f>
        <v/>
      </c>
      <c r="P763" s="11">
        <f t="array" ref="P763">TRIM(_xlfn.XLOOKUP(非皮卡压缩表[[#This Row],[BACKSIZE]],ALL尺码表[内部尺码],ALL尺码表[通用尺码]))</f>
        <v/>
      </c>
    </row>
    <row r="764">
      <c r="A764" s="17" t="inlineStr">
        <is>
          <t>ALL</t>
        </is>
      </c>
      <c r="B764" s="18" t="inlineStr">
        <is>
          <t>Lincoln Continental</t>
        </is>
      </c>
      <c r="C764" s="18" t="inlineStr">
        <is>
          <t>Lincoln</t>
        </is>
      </c>
      <c r="D764" s="18" t="inlineStr">
        <is>
          <t>Continental</t>
        </is>
      </c>
      <c r="E764" s="18" t="inlineStr">
        <is>
          <t>1980</t>
        </is>
      </c>
      <c r="F764" s="18" t="inlineStr"/>
      <c r="G764" s="18" t="inlineStr">
        <is>
          <t>Coupe</t>
        </is>
      </c>
      <c r="H764" s="18" t="inlineStr">
        <is>
          <t>3XXXL-0</t>
        </is>
      </c>
      <c r="I764" s="19">
        <f t="array" ref="I764">TRIM(_xlfn.XLOOKUP(非皮卡压缩表[[#This Row],[BACKSIZE]],ALL尺码表[内部尺码],ALL尺码表[分类],""))</f>
        <v/>
      </c>
      <c r="J764" s="19">
        <f t="array" ref="J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4" s="20">
        <f>LEN(非皮卡压缩表[[#This Row],[LONG-TYPE]])</f>
        <v/>
      </c>
      <c r="L764" s="21">
        <f t="array" ref="L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4" s="22">
        <f>LEN(非皮卡压缩表[[#This Row],[TYPE]])</f>
        <v/>
      </c>
      <c r="N764" s="22">
        <f t="array" ref="N764">_xlfn.XLOOKUP(非皮卡压缩表[[#This Row],[MODEL]],MODEL缩写表[长MODEL],MODEL缩写表[短MODEL],非皮卡压缩表[[#This Row],[MODEL]])</f>
        <v/>
      </c>
      <c r="O764" s="22">
        <f>LEN(非皮卡压缩表[[#This Row],[SHORT-MODEL]])</f>
        <v/>
      </c>
      <c r="P764" s="11">
        <f t="array" ref="P764">TRIM(_xlfn.XLOOKUP(非皮卡压缩表[[#This Row],[BACKSIZE]],ALL尺码表[内部尺码],ALL尺码表[通用尺码]))</f>
        <v/>
      </c>
    </row>
    <row r="765">
      <c r="A765" s="17" t="inlineStr">
        <is>
          <t>ALL</t>
        </is>
      </c>
      <c r="B765" s="18" t="inlineStr">
        <is>
          <t>Lincoln Continental</t>
        </is>
      </c>
      <c r="C765" s="18" t="inlineStr">
        <is>
          <t>Lincoln</t>
        </is>
      </c>
      <c r="D765" s="18" t="inlineStr">
        <is>
          <t>Continental</t>
        </is>
      </c>
      <c r="E765" s="18" t="inlineStr">
        <is>
          <t>1982-1998</t>
        </is>
      </c>
      <c r="F765" s="18" t="inlineStr"/>
      <c r="G765" s="18" t="inlineStr">
        <is>
          <t>Sedan</t>
        </is>
      </c>
      <c r="H765" s="18" t="inlineStr">
        <is>
          <t>3XXL</t>
        </is>
      </c>
      <c r="I765" s="19">
        <f t="array" ref="I765">TRIM(_xlfn.XLOOKUP(非皮卡压缩表[[#This Row],[BACKSIZE]],ALL尺码表[内部尺码],ALL尺码表[分类],""))</f>
        <v/>
      </c>
      <c r="J765" s="19">
        <f t="array" ref="J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5" s="20">
        <f>LEN(非皮卡压缩表[[#This Row],[LONG-TYPE]])</f>
        <v/>
      </c>
      <c r="L765" s="21">
        <f t="array" ref="L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5" s="22">
        <f>LEN(非皮卡压缩表[[#This Row],[TYPE]])</f>
        <v/>
      </c>
      <c r="N765" s="22">
        <f t="array" ref="N765">_xlfn.XLOOKUP(非皮卡压缩表[[#This Row],[MODEL]],MODEL缩写表[长MODEL],MODEL缩写表[短MODEL],非皮卡压缩表[[#This Row],[MODEL]])</f>
        <v/>
      </c>
      <c r="O765" s="22">
        <f>LEN(非皮卡压缩表[[#This Row],[SHORT-MODEL]])</f>
        <v/>
      </c>
      <c r="P765" s="11">
        <f t="array" ref="P765">TRIM(_xlfn.XLOOKUP(非皮卡压缩表[[#This Row],[BACKSIZE]],ALL尺码表[内部尺码],ALL尺码表[通用尺码]))</f>
        <v/>
      </c>
    </row>
    <row r="766">
      <c r="A766" s="17" t="inlineStr">
        <is>
          <t>ALL</t>
        </is>
      </c>
      <c r="B766" s="18" t="inlineStr">
        <is>
          <t>Lincoln Continental</t>
        </is>
      </c>
      <c r="C766" s="18" t="inlineStr">
        <is>
          <t>Lincoln</t>
        </is>
      </c>
      <c r="D766" s="18" t="inlineStr">
        <is>
          <t>Continental</t>
        </is>
      </c>
      <c r="E766" s="18" t="inlineStr">
        <is>
          <t>1999-2001</t>
        </is>
      </c>
      <c r="F766" s="18" t="inlineStr"/>
      <c r="G766" s="18" t="inlineStr">
        <is>
          <t>Sedan</t>
        </is>
      </c>
      <c r="H766" s="18" t="inlineStr">
        <is>
          <t>3XXXL</t>
        </is>
      </c>
      <c r="I766" s="19">
        <f t="array" ref="I766">TRIM(_xlfn.XLOOKUP(非皮卡压缩表[[#This Row],[BACKSIZE]],ALL尺码表[内部尺码],ALL尺码表[分类],""))</f>
        <v/>
      </c>
      <c r="J766" s="19">
        <f t="array" ref="J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6" s="20">
        <f>LEN(非皮卡压缩表[[#This Row],[LONG-TYPE]])</f>
        <v/>
      </c>
      <c r="L766" s="21">
        <f t="array" ref="L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6" s="22">
        <f>LEN(非皮卡压缩表[[#This Row],[TYPE]])</f>
        <v/>
      </c>
      <c r="N766" s="22">
        <f t="array" ref="N766">_xlfn.XLOOKUP(非皮卡压缩表[[#This Row],[MODEL]],MODEL缩写表[长MODEL],MODEL缩写表[短MODEL],非皮卡压缩表[[#This Row],[MODEL]])</f>
        <v/>
      </c>
      <c r="O766" s="22">
        <f>LEN(非皮卡压缩表[[#This Row],[SHORT-MODEL]])</f>
        <v/>
      </c>
      <c r="P766" s="11">
        <f t="array" ref="P766">TRIM(_xlfn.XLOOKUP(非皮卡压缩表[[#This Row],[BACKSIZE]],ALL尺码表[内部尺码],ALL尺码表[通用尺码]))</f>
        <v/>
      </c>
    </row>
    <row r="767">
      <c r="A767" s="17" t="inlineStr">
        <is>
          <t>ALL</t>
        </is>
      </c>
      <c r="B767" s="18" t="inlineStr">
        <is>
          <t>Lincoln Continental</t>
        </is>
      </c>
      <c r="C767" s="18" t="inlineStr">
        <is>
          <t>Lincoln</t>
        </is>
      </c>
      <c r="D767" s="18" t="inlineStr">
        <is>
          <t>Continental</t>
        </is>
      </c>
      <c r="E767" s="18" t="inlineStr">
        <is>
          <t>2002-2020</t>
        </is>
      </c>
      <c r="F767" s="18" t="inlineStr"/>
      <c r="G767" s="18" t="inlineStr">
        <is>
          <t>Sedan</t>
        </is>
      </c>
      <c r="H767" s="18" t="inlineStr">
        <is>
          <t>3XXL</t>
        </is>
      </c>
      <c r="I767" s="19">
        <f t="array" ref="I767">TRIM(_xlfn.XLOOKUP(非皮卡压缩表[[#This Row],[BACKSIZE]],ALL尺码表[内部尺码],ALL尺码表[分类],""))</f>
        <v/>
      </c>
      <c r="J767" s="19">
        <f t="array" ref="J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7" s="20">
        <f>LEN(非皮卡压缩表[[#This Row],[LONG-TYPE]])</f>
        <v/>
      </c>
      <c r="L767" s="21">
        <f t="array" ref="L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7" s="22">
        <f>LEN(非皮卡压缩表[[#This Row],[TYPE]])</f>
        <v/>
      </c>
      <c r="N767" s="22">
        <f t="array" ref="N767">_xlfn.XLOOKUP(非皮卡压缩表[[#This Row],[MODEL]],MODEL缩写表[长MODEL],MODEL缩写表[短MODEL],非皮卡压缩表[[#This Row],[MODEL]])</f>
        <v/>
      </c>
      <c r="O767" s="22">
        <f>LEN(非皮卡压缩表[[#This Row],[SHORT-MODEL]])</f>
        <v/>
      </c>
      <c r="P767" s="11">
        <f t="array" ref="P767">TRIM(_xlfn.XLOOKUP(非皮卡压缩表[[#This Row],[BACKSIZE]],ALL尺码表[内部尺码],ALL尺码表[通用尺码]))</f>
        <v/>
      </c>
    </row>
    <row r="768">
      <c r="A768" s="17" t="inlineStr">
        <is>
          <t>ALL</t>
        </is>
      </c>
      <c r="B768" s="18" t="inlineStr">
        <is>
          <t>Lincoln Corsair</t>
        </is>
      </c>
      <c r="C768" s="18" t="inlineStr">
        <is>
          <t>Lincoln</t>
        </is>
      </c>
      <c r="D768" s="18" t="inlineStr">
        <is>
          <t>Corsair</t>
        </is>
      </c>
      <c r="E768" s="18" t="inlineStr">
        <is>
          <t>2020-2026</t>
        </is>
      </c>
      <c r="F768" s="18" t="inlineStr"/>
      <c r="G768" s="18" t="inlineStr">
        <is>
          <t>SUV</t>
        </is>
      </c>
      <c r="H768" s="18" t="inlineStr">
        <is>
          <t>YL</t>
        </is>
      </c>
      <c r="I768" s="19">
        <f t="array" ref="I768">TRIM(_xlfn.XLOOKUP(非皮卡压缩表[[#This Row],[BACKSIZE]],ALL尺码表[内部尺码],ALL尺码表[分类],""))</f>
        <v/>
      </c>
      <c r="J768" s="19">
        <f t="array" ref="J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8" s="20">
        <f>LEN(非皮卡压缩表[[#This Row],[LONG-TYPE]])</f>
        <v/>
      </c>
      <c r="L768" s="21">
        <f t="array" ref="L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8" s="22">
        <f>LEN(非皮卡压缩表[[#This Row],[TYPE]])</f>
        <v/>
      </c>
      <c r="N768" s="22">
        <f t="array" ref="N768">_xlfn.XLOOKUP(非皮卡压缩表[[#This Row],[MODEL]],MODEL缩写表[长MODEL],MODEL缩写表[短MODEL],非皮卡压缩表[[#This Row],[MODEL]])</f>
        <v/>
      </c>
      <c r="O768" s="22">
        <f>LEN(非皮卡压缩表[[#This Row],[SHORT-MODEL]])</f>
        <v/>
      </c>
      <c r="P768" s="11">
        <f t="array" ref="P768">TRIM(_xlfn.XLOOKUP(非皮卡压缩表[[#This Row],[BACKSIZE]],ALL尺码表[内部尺码],ALL尺码表[通用尺码]))</f>
        <v/>
      </c>
    </row>
    <row r="769">
      <c r="A769" s="17" t="inlineStr">
        <is>
          <t>ALL</t>
        </is>
      </c>
      <c r="B769" s="18" t="inlineStr">
        <is>
          <t>Lincoln Corsair</t>
        </is>
      </c>
      <c r="C769" s="18" t="inlineStr">
        <is>
          <t>Lincoln</t>
        </is>
      </c>
      <c r="D769" s="18" t="inlineStr">
        <is>
          <t>Corsair</t>
        </is>
      </c>
      <c r="E769" s="18" t="inlineStr">
        <is>
          <t>2020-2021</t>
        </is>
      </c>
      <c r="F769" s="18" t="inlineStr">
        <is>
          <t>PHEV</t>
        </is>
      </c>
      <c r="G769" s="18" t="inlineStr">
        <is>
          <t>SUV</t>
        </is>
      </c>
      <c r="H769" s="18" t="inlineStr">
        <is>
          <t>YM+</t>
        </is>
      </c>
      <c r="I769" s="19">
        <f t="array" ref="I769">TRIM(_xlfn.XLOOKUP(非皮卡压缩表[[#This Row],[BACKSIZE]],ALL尺码表[内部尺码],ALL尺码表[分类],""))</f>
        <v/>
      </c>
      <c r="J769" s="19">
        <f t="array" ref="J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9" s="20">
        <f>LEN(非皮卡压缩表[[#This Row],[LONG-TYPE]])</f>
        <v/>
      </c>
      <c r="L769" s="21">
        <f t="array" ref="L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9" s="22">
        <f>LEN(非皮卡压缩表[[#This Row],[TYPE]])</f>
        <v/>
      </c>
      <c r="N769" s="22">
        <f t="array" ref="N769">_xlfn.XLOOKUP(非皮卡压缩表[[#This Row],[MODEL]],MODEL缩写表[长MODEL],MODEL缩写表[短MODEL],非皮卡压缩表[[#This Row],[MODEL]])</f>
        <v/>
      </c>
      <c r="O769" s="22">
        <f>LEN(非皮卡压缩表[[#This Row],[SHORT-MODEL]])</f>
        <v/>
      </c>
      <c r="P769" s="11">
        <f t="array" ref="P769">TRIM(_xlfn.XLOOKUP(非皮卡压缩表[[#This Row],[BACKSIZE]],ALL尺码表[内部尺码],ALL尺码表[通用尺码]))</f>
        <v/>
      </c>
    </row>
    <row r="770">
      <c r="A770" s="17" t="inlineStr">
        <is>
          <t>ALL</t>
        </is>
      </c>
      <c r="B770" s="18" t="inlineStr">
        <is>
          <t>Lincoln LS</t>
        </is>
      </c>
      <c r="C770" s="18" t="inlineStr">
        <is>
          <t>Lincoln</t>
        </is>
      </c>
      <c r="D770" s="18" t="inlineStr">
        <is>
          <t>LS</t>
        </is>
      </c>
      <c r="E770" s="18" t="inlineStr">
        <is>
          <t>2000-2006</t>
        </is>
      </c>
      <c r="F770" s="18" t="inlineStr"/>
      <c r="G770" s="18" t="inlineStr">
        <is>
          <t>Sedan</t>
        </is>
      </c>
      <c r="H770" s="18" t="inlineStr">
        <is>
          <t>3XXL</t>
        </is>
      </c>
      <c r="I770" s="19">
        <f t="array" ref="I770">TRIM(_xlfn.XLOOKUP(非皮卡压缩表[[#This Row],[BACKSIZE]],ALL尺码表[内部尺码],ALL尺码表[分类],""))</f>
        <v/>
      </c>
      <c r="J770" s="19">
        <f t="array" ref="J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0" s="20">
        <f>LEN(非皮卡压缩表[[#This Row],[LONG-TYPE]])</f>
        <v/>
      </c>
      <c r="L770" s="21">
        <f t="array" ref="L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0" s="22">
        <f>LEN(非皮卡压缩表[[#This Row],[TYPE]])</f>
        <v/>
      </c>
      <c r="N770" s="22">
        <f t="array" ref="N770">_xlfn.XLOOKUP(非皮卡压缩表[[#This Row],[MODEL]],MODEL缩写表[长MODEL],MODEL缩写表[短MODEL],非皮卡压缩表[[#This Row],[MODEL]])</f>
        <v/>
      </c>
      <c r="O770" s="22">
        <f>LEN(非皮卡压缩表[[#This Row],[SHORT-MODEL]])</f>
        <v/>
      </c>
      <c r="P770" s="11">
        <f t="array" ref="P770">TRIM(_xlfn.XLOOKUP(非皮卡压缩表[[#This Row],[BACKSIZE]],ALL尺码表[内部尺码],ALL尺码表[通用尺码]))</f>
        <v/>
      </c>
    </row>
    <row r="771">
      <c r="A771" s="17" t="inlineStr">
        <is>
          <t>ALL</t>
        </is>
      </c>
      <c r="B771" s="18" t="inlineStr">
        <is>
          <t>Lincoln MKC</t>
        </is>
      </c>
      <c r="C771" s="18" t="inlineStr">
        <is>
          <t>Lincoln</t>
        </is>
      </c>
      <c r="D771" s="18" t="inlineStr">
        <is>
          <t>MKC</t>
        </is>
      </c>
      <c r="E771" s="18" t="inlineStr">
        <is>
          <t>2015-2019</t>
        </is>
      </c>
      <c r="F771" s="18" t="inlineStr"/>
      <c r="G771" s="18" t="inlineStr">
        <is>
          <t>SUV</t>
        </is>
      </c>
      <c r="H771" s="18" t="inlineStr">
        <is>
          <t>YM+</t>
        </is>
      </c>
      <c r="I771" s="19">
        <f t="array" ref="I771">TRIM(_xlfn.XLOOKUP(非皮卡压缩表[[#This Row],[BACKSIZE]],ALL尺码表[内部尺码],ALL尺码表[分类],""))</f>
        <v/>
      </c>
      <c r="J771" s="19">
        <f t="array" ref="J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1" s="20">
        <f>LEN(非皮卡压缩表[[#This Row],[LONG-TYPE]])</f>
        <v/>
      </c>
      <c r="L771" s="21">
        <f t="array" ref="L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1" s="22">
        <f>LEN(非皮卡压缩表[[#This Row],[TYPE]])</f>
        <v/>
      </c>
      <c r="N771" s="22">
        <f t="array" ref="N771">_xlfn.XLOOKUP(非皮卡压缩表[[#This Row],[MODEL]],MODEL缩写表[长MODEL],MODEL缩写表[短MODEL],非皮卡压缩表[[#This Row],[MODEL]])</f>
        <v/>
      </c>
      <c r="O771" s="22">
        <f>LEN(非皮卡压缩表[[#This Row],[SHORT-MODEL]])</f>
        <v/>
      </c>
      <c r="P771" s="11">
        <f t="array" ref="P771">TRIM(_xlfn.XLOOKUP(非皮卡压缩表[[#This Row],[BACKSIZE]],ALL尺码表[内部尺码],ALL尺码表[通用尺码]))</f>
        <v/>
      </c>
    </row>
    <row r="772">
      <c r="A772" s="17" t="inlineStr">
        <is>
          <t>ALL</t>
        </is>
      </c>
      <c r="B772" s="18" t="inlineStr">
        <is>
          <t>Lincoln MKS</t>
        </is>
      </c>
      <c r="C772" s="18" t="inlineStr">
        <is>
          <t>Lincoln</t>
        </is>
      </c>
      <c r="D772" s="18" t="inlineStr">
        <is>
          <t>MKS</t>
        </is>
      </c>
      <c r="E772" s="18" t="inlineStr">
        <is>
          <t>2009-2016</t>
        </is>
      </c>
      <c r="F772" s="18" t="inlineStr"/>
      <c r="G772" s="18" t="inlineStr">
        <is>
          <t>Sedan</t>
        </is>
      </c>
      <c r="H772" s="18" t="inlineStr">
        <is>
          <t>3XXL</t>
        </is>
      </c>
      <c r="I772" s="19">
        <f t="array" ref="I772">TRIM(_xlfn.XLOOKUP(非皮卡压缩表[[#This Row],[BACKSIZE]],ALL尺码表[内部尺码],ALL尺码表[分类],""))</f>
        <v/>
      </c>
      <c r="J772" s="19">
        <f t="array" ref="J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2" s="20">
        <f>LEN(非皮卡压缩表[[#This Row],[LONG-TYPE]])</f>
        <v/>
      </c>
      <c r="L772" s="21">
        <f t="array" ref="L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2" s="22">
        <f>LEN(非皮卡压缩表[[#This Row],[TYPE]])</f>
        <v/>
      </c>
      <c r="N772" s="22">
        <f t="array" ref="N772">_xlfn.XLOOKUP(非皮卡压缩表[[#This Row],[MODEL]],MODEL缩写表[长MODEL],MODEL缩写表[短MODEL],非皮卡压缩表[[#This Row],[MODEL]])</f>
        <v/>
      </c>
      <c r="O772" s="22">
        <f>LEN(非皮卡压缩表[[#This Row],[SHORT-MODEL]])</f>
        <v/>
      </c>
      <c r="P772" s="11">
        <f t="array" ref="P772">TRIM(_xlfn.XLOOKUP(非皮卡压缩表[[#This Row],[BACKSIZE]],ALL尺码表[内部尺码],ALL尺码表[通用尺码]))</f>
        <v/>
      </c>
    </row>
    <row r="773">
      <c r="A773" s="17" t="inlineStr">
        <is>
          <t>ALL</t>
        </is>
      </c>
      <c r="B773" s="18" t="inlineStr">
        <is>
          <t>Lincoln MKT</t>
        </is>
      </c>
      <c r="C773" s="18" t="inlineStr">
        <is>
          <t>Lincoln</t>
        </is>
      </c>
      <c r="D773" s="18" t="inlineStr">
        <is>
          <t>MKT</t>
        </is>
      </c>
      <c r="E773" s="18" t="inlineStr">
        <is>
          <t>2010-2019</t>
        </is>
      </c>
      <c r="F773" s="18" t="inlineStr"/>
      <c r="G773" s="18" t="inlineStr">
        <is>
          <t>Wagon</t>
        </is>
      </c>
      <c r="H773" s="18" t="inlineStr">
        <is>
          <t>无可用尺码</t>
        </is>
      </c>
      <c r="I773" s="19">
        <f t="array" ref="I773">TRIM(_xlfn.XLOOKUP(非皮卡压缩表[[#This Row],[BACKSIZE]],ALL尺码表[内部尺码],ALL尺码表[分类],""))</f>
        <v/>
      </c>
      <c r="J773" s="19">
        <f t="array" ref="J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3" s="20">
        <f>LEN(非皮卡压缩表[[#This Row],[LONG-TYPE]])</f>
        <v/>
      </c>
      <c r="L773" s="21">
        <f t="array" ref="L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3" s="22">
        <f>LEN(非皮卡压缩表[[#This Row],[TYPE]])</f>
        <v/>
      </c>
      <c r="N773" s="22">
        <f t="array" ref="N773">_xlfn.XLOOKUP(非皮卡压缩表[[#This Row],[MODEL]],MODEL缩写表[长MODEL],MODEL缩写表[短MODEL],非皮卡压缩表[[#This Row],[MODEL]])</f>
        <v/>
      </c>
      <c r="O773" s="22">
        <f>LEN(非皮卡压缩表[[#This Row],[SHORT-MODEL]])</f>
        <v/>
      </c>
      <c r="P773" s="11">
        <f t="array" ref="P773">TRIM(_xlfn.XLOOKUP(非皮卡压缩表[[#This Row],[BACKSIZE]],ALL尺码表[内部尺码],ALL尺码表[通用尺码]))</f>
        <v/>
      </c>
    </row>
    <row r="774">
      <c r="A774" s="17" t="inlineStr">
        <is>
          <t>ALL</t>
        </is>
      </c>
      <c r="B774" s="18" t="inlineStr">
        <is>
          <t>Lincoln MKX</t>
        </is>
      </c>
      <c r="C774" s="18" t="inlineStr">
        <is>
          <t>Lincoln</t>
        </is>
      </c>
      <c r="D774" s="18" t="inlineStr">
        <is>
          <t>MKX</t>
        </is>
      </c>
      <c r="E774" s="18" t="inlineStr">
        <is>
          <t>2007-2018</t>
        </is>
      </c>
      <c r="F774" s="18" t="inlineStr"/>
      <c r="G774" s="18" t="inlineStr">
        <is>
          <t>SUV</t>
        </is>
      </c>
      <c r="H774" s="18" t="inlineStr">
        <is>
          <t>YL</t>
        </is>
      </c>
      <c r="I774" s="19">
        <f t="array" ref="I774">TRIM(_xlfn.XLOOKUP(非皮卡压缩表[[#This Row],[BACKSIZE]],ALL尺码表[内部尺码],ALL尺码表[分类],""))</f>
        <v/>
      </c>
      <c r="J774" s="19">
        <f t="array" ref="J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4" s="20">
        <f>LEN(非皮卡压缩表[[#This Row],[LONG-TYPE]])</f>
        <v/>
      </c>
      <c r="L774" s="21">
        <f t="array" ref="L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4" s="22">
        <f>LEN(非皮卡压缩表[[#This Row],[TYPE]])</f>
        <v/>
      </c>
      <c r="N774" s="22">
        <f t="array" ref="N774">_xlfn.XLOOKUP(非皮卡压缩表[[#This Row],[MODEL]],MODEL缩写表[长MODEL],MODEL缩写表[短MODEL],非皮卡压缩表[[#This Row],[MODEL]])</f>
        <v/>
      </c>
      <c r="O774" s="22">
        <f>LEN(非皮卡压缩表[[#This Row],[SHORT-MODEL]])</f>
        <v/>
      </c>
      <c r="P774" s="11">
        <f t="array" ref="P774">TRIM(_xlfn.XLOOKUP(非皮卡压缩表[[#This Row],[BACKSIZE]],ALL尺码表[内部尺码],ALL尺码表[通用尺码]))</f>
        <v/>
      </c>
    </row>
    <row r="775">
      <c r="A775" s="17" t="inlineStr">
        <is>
          <t>ALL</t>
        </is>
      </c>
      <c r="B775" s="18" t="inlineStr">
        <is>
          <t>Lincoln MKZ</t>
        </is>
      </c>
      <c r="C775" s="18" t="inlineStr">
        <is>
          <t>Lincoln</t>
        </is>
      </c>
      <c r="D775" s="18" t="inlineStr">
        <is>
          <t>MKZ</t>
        </is>
      </c>
      <c r="E775" s="18" t="inlineStr">
        <is>
          <t>2008-2012</t>
        </is>
      </c>
      <c r="F775" s="18" t="inlineStr"/>
      <c r="G775" s="18" t="inlineStr">
        <is>
          <t>Sedan</t>
        </is>
      </c>
      <c r="H775" s="18" t="inlineStr">
        <is>
          <t>3XL</t>
        </is>
      </c>
      <c r="I775" s="19">
        <f t="array" ref="I775">TRIM(_xlfn.XLOOKUP(非皮卡压缩表[[#This Row],[BACKSIZE]],ALL尺码表[内部尺码],ALL尺码表[分类],""))</f>
        <v/>
      </c>
      <c r="J775" s="19">
        <f t="array" ref="J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5" s="20">
        <f>LEN(非皮卡压缩表[[#This Row],[LONG-TYPE]])</f>
        <v/>
      </c>
      <c r="L775" s="21">
        <f t="array" ref="L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5" s="22">
        <f>LEN(非皮卡压缩表[[#This Row],[TYPE]])</f>
        <v/>
      </c>
      <c r="N775" s="22">
        <f t="array" ref="N775">_xlfn.XLOOKUP(非皮卡压缩表[[#This Row],[MODEL]],MODEL缩写表[长MODEL],MODEL缩写表[短MODEL],非皮卡压缩表[[#This Row],[MODEL]])</f>
        <v/>
      </c>
      <c r="O775" s="22">
        <f>LEN(非皮卡压缩表[[#This Row],[SHORT-MODEL]])</f>
        <v/>
      </c>
      <c r="P775" s="11">
        <f t="array" ref="P775">TRIM(_xlfn.XLOOKUP(非皮卡压缩表[[#This Row],[BACKSIZE]],ALL尺码表[内部尺码],ALL尺码表[通用尺码]))</f>
        <v/>
      </c>
    </row>
    <row r="776">
      <c r="A776" s="17" t="inlineStr">
        <is>
          <t>ALL</t>
        </is>
      </c>
      <c r="B776" s="18" t="inlineStr">
        <is>
          <t>Lincoln MKZ</t>
        </is>
      </c>
      <c r="C776" s="18" t="inlineStr">
        <is>
          <t>Lincoln</t>
        </is>
      </c>
      <c r="D776" s="18" t="inlineStr">
        <is>
          <t>MKZ</t>
        </is>
      </c>
      <c r="E776" s="18" t="inlineStr">
        <is>
          <t>2013-2020</t>
        </is>
      </c>
      <c r="F776" s="18" t="inlineStr"/>
      <c r="G776" s="18" t="inlineStr">
        <is>
          <t>Sedan</t>
        </is>
      </c>
      <c r="H776" s="18" t="inlineStr">
        <is>
          <t>3XXL</t>
        </is>
      </c>
      <c r="I776" s="19">
        <f t="array" ref="I776">TRIM(_xlfn.XLOOKUP(非皮卡压缩表[[#This Row],[BACKSIZE]],ALL尺码表[内部尺码],ALL尺码表[分类],""))</f>
        <v/>
      </c>
      <c r="J776" s="19">
        <f t="array" ref="J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6" s="20">
        <f>LEN(非皮卡压缩表[[#This Row],[LONG-TYPE]])</f>
        <v/>
      </c>
      <c r="L776" s="21">
        <f t="array" ref="L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6" s="22">
        <f>LEN(非皮卡压缩表[[#This Row],[TYPE]])</f>
        <v/>
      </c>
      <c r="N776" s="22">
        <f t="array" ref="N776">_xlfn.XLOOKUP(非皮卡压缩表[[#This Row],[MODEL]],MODEL缩写表[长MODEL],MODEL缩写表[短MODEL],非皮卡压缩表[[#This Row],[MODEL]])</f>
        <v/>
      </c>
      <c r="O776" s="22">
        <f>LEN(非皮卡压缩表[[#This Row],[SHORT-MODEL]])</f>
        <v/>
      </c>
      <c r="P776" s="11">
        <f t="array" ref="P776">TRIM(_xlfn.XLOOKUP(非皮卡压缩表[[#This Row],[BACKSIZE]],ALL尺码表[内部尺码],ALL尺码表[通用尺码]))</f>
        <v/>
      </c>
    </row>
    <row r="777">
      <c r="A777" s="17" t="inlineStr">
        <is>
          <t>ALL</t>
        </is>
      </c>
      <c r="B777" s="18" t="inlineStr">
        <is>
          <t>Lincoln Mark VII</t>
        </is>
      </c>
      <c r="C777" s="18" t="inlineStr">
        <is>
          <t>Lincoln</t>
        </is>
      </c>
      <c r="D777" s="18" t="inlineStr">
        <is>
          <t>Mark VII</t>
        </is>
      </c>
      <c r="E777" s="18" t="inlineStr">
        <is>
          <t>1984-1992</t>
        </is>
      </c>
      <c r="F777" s="18" t="inlineStr"/>
      <c r="G777" s="18" t="inlineStr">
        <is>
          <t>Coupe</t>
        </is>
      </c>
      <c r="H777" s="18" t="inlineStr">
        <is>
          <t>3XL+0</t>
        </is>
      </c>
      <c r="I777" s="19">
        <f t="array" ref="I777">TRIM(_xlfn.XLOOKUP(非皮卡压缩表[[#This Row],[BACKSIZE]],ALL尺码表[内部尺码],ALL尺码表[分类],""))</f>
        <v/>
      </c>
      <c r="J777" s="19">
        <f t="array" ref="J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7" s="20">
        <f>LEN(非皮卡压缩表[[#This Row],[LONG-TYPE]])</f>
        <v/>
      </c>
      <c r="L777" s="21">
        <f t="array" ref="L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7" s="22">
        <f>LEN(非皮卡压缩表[[#This Row],[TYPE]])</f>
        <v/>
      </c>
      <c r="N777" s="22">
        <f t="array" ref="N777">_xlfn.XLOOKUP(非皮卡压缩表[[#This Row],[MODEL]],MODEL缩写表[长MODEL],MODEL缩写表[短MODEL],非皮卡压缩表[[#This Row],[MODEL]])</f>
        <v/>
      </c>
      <c r="O777" s="22">
        <f>LEN(非皮卡压缩表[[#This Row],[SHORT-MODEL]])</f>
        <v/>
      </c>
      <c r="P777" s="11">
        <f t="array" ref="P777">TRIM(_xlfn.XLOOKUP(非皮卡压缩表[[#This Row],[BACKSIZE]],ALL尺码表[内部尺码],ALL尺码表[通用尺码]))</f>
        <v/>
      </c>
    </row>
    <row r="778">
      <c r="A778" s="17" t="inlineStr">
        <is>
          <t>ALL</t>
        </is>
      </c>
      <c r="B778" s="18" t="inlineStr">
        <is>
          <t>Lincoln Mark VIII</t>
        </is>
      </c>
      <c r="C778" s="18" t="inlineStr">
        <is>
          <t>Lincoln</t>
        </is>
      </c>
      <c r="D778" s="18" t="inlineStr">
        <is>
          <t>Mark VIII</t>
        </is>
      </c>
      <c r="E778" s="18" t="inlineStr">
        <is>
          <t>1993-1998</t>
        </is>
      </c>
      <c r="F778" s="18" t="inlineStr"/>
      <c r="G778" s="18" t="inlineStr">
        <is>
          <t>Coupe</t>
        </is>
      </c>
      <c r="H778" s="18" t="inlineStr">
        <is>
          <t>3XXL-0</t>
        </is>
      </c>
      <c r="I778" s="19">
        <f t="array" ref="I778">TRIM(_xlfn.XLOOKUP(非皮卡压缩表[[#This Row],[BACKSIZE]],ALL尺码表[内部尺码],ALL尺码表[分类],""))</f>
        <v/>
      </c>
      <c r="J778" s="19">
        <f t="array" ref="J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8" s="20">
        <f>LEN(非皮卡压缩表[[#This Row],[LONG-TYPE]])</f>
        <v/>
      </c>
      <c r="L778" s="21">
        <f t="array" ref="L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8" s="22">
        <f>LEN(非皮卡压缩表[[#This Row],[TYPE]])</f>
        <v/>
      </c>
      <c r="N778" s="22">
        <f t="array" ref="N778">_xlfn.XLOOKUP(非皮卡压缩表[[#This Row],[MODEL]],MODEL缩写表[长MODEL],MODEL缩写表[短MODEL],非皮卡压缩表[[#This Row],[MODEL]])</f>
        <v/>
      </c>
      <c r="O778" s="22">
        <f>LEN(非皮卡压缩表[[#This Row],[SHORT-MODEL]])</f>
        <v/>
      </c>
      <c r="P778" s="11">
        <f t="array" ref="P778">TRIM(_xlfn.XLOOKUP(非皮卡压缩表[[#This Row],[BACKSIZE]],ALL尺码表[内部尺码],ALL尺码表[通用尺码]))</f>
        <v/>
      </c>
    </row>
    <row r="779">
      <c r="A779" s="17" t="inlineStr">
        <is>
          <t>ALL</t>
        </is>
      </c>
      <c r="B779" s="18" t="inlineStr">
        <is>
          <t>Lincoln Nautilus</t>
        </is>
      </c>
      <c r="C779" s="18" t="inlineStr">
        <is>
          <t>Lincoln</t>
        </is>
      </c>
      <c r="D779" s="18" t="inlineStr">
        <is>
          <t>Nautilus</t>
        </is>
      </c>
      <c r="E779" s="18" t="inlineStr">
        <is>
          <t>2019-2023</t>
        </is>
      </c>
      <c r="F779" s="18" t="inlineStr"/>
      <c r="G779" s="18" t="inlineStr">
        <is>
          <t>SUV</t>
        </is>
      </c>
      <c r="H779" s="18" t="inlineStr">
        <is>
          <t>YL</t>
        </is>
      </c>
      <c r="I779" s="19">
        <f t="array" ref="I779">TRIM(_xlfn.XLOOKUP(非皮卡压缩表[[#This Row],[BACKSIZE]],ALL尺码表[内部尺码],ALL尺码表[分类],""))</f>
        <v/>
      </c>
      <c r="J779" s="19">
        <f t="array" ref="J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9" s="20">
        <f>LEN(非皮卡压缩表[[#This Row],[LONG-TYPE]])</f>
        <v/>
      </c>
      <c r="L779" s="21">
        <f t="array" ref="L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9" s="22">
        <f>LEN(非皮卡压缩表[[#This Row],[TYPE]])</f>
        <v/>
      </c>
      <c r="N779" s="22">
        <f t="array" ref="N779">_xlfn.XLOOKUP(非皮卡压缩表[[#This Row],[MODEL]],MODEL缩写表[长MODEL],MODEL缩写表[短MODEL],非皮卡压缩表[[#This Row],[MODEL]])</f>
        <v/>
      </c>
      <c r="O779" s="22">
        <f>LEN(非皮卡压缩表[[#This Row],[SHORT-MODEL]])</f>
        <v/>
      </c>
      <c r="P779" s="11">
        <f t="array" ref="P779">TRIM(_xlfn.XLOOKUP(非皮卡压缩表[[#This Row],[BACKSIZE]],ALL尺码表[内部尺码],ALL尺码表[通用尺码]))</f>
        <v/>
      </c>
    </row>
    <row r="780">
      <c r="A780" s="17" t="inlineStr">
        <is>
          <t>ALL</t>
        </is>
      </c>
      <c r="B780" s="18" t="inlineStr">
        <is>
          <t>Lincoln Nautilus</t>
        </is>
      </c>
      <c r="C780" s="18" t="inlineStr">
        <is>
          <t>Lincoln</t>
        </is>
      </c>
      <c r="D780" s="18" t="inlineStr">
        <is>
          <t>Nautilus</t>
        </is>
      </c>
      <c r="E780" s="18" t="inlineStr">
        <is>
          <t>2024-2026</t>
        </is>
      </c>
      <c r="F780" s="18" t="inlineStr"/>
      <c r="G780" s="18" t="inlineStr">
        <is>
          <t>SUV</t>
        </is>
      </c>
      <c r="H780" s="18" t="inlineStr">
        <is>
          <t>YXL</t>
        </is>
      </c>
      <c r="I780" s="19">
        <f t="array" ref="I780">TRIM(_xlfn.XLOOKUP(非皮卡压缩表[[#This Row],[BACKSIZE]],ALL尺码表[内部尺码],ALL尺码表[分类],""))</f>
        <v/>
      </c>
      <c r="J780" s="19">
        <f t="array" ref="J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0" s="20">
        <f>LEN(非皮卡压缩表[[#This Row],[LONG-TYPE]])</f>
        <v/>
      </c>
      <c r="L780" s="21">
        <f t="array" ref="L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0" s="22">
        <f>LEN(非皮卡压缩表[[#This Row],[TYPE]])</f>
        <v/>
      </c>
      <c r="N780" s="22">
        <f t="array" ref="N780">_xlfn.XLOOKUP(非皮卡压缩表[[#This Row],[MODEL]],MODEL缩写表[长MODEL],MODEL缩写表[短MODEL],非皮卡压缩表[[#This Row],[MODEL]])</f>
        <v/>
      </c>
      <c r="O780" s="22">
        <f>LEN(非皮卡压缩表[[#This Row],[SHORT-MODEL]])</f>
        <v/>
      </c>
      <c r="P780" s="11">
        <f t="array" ref="P780">TRIM(_xlfn.XLOOKUP(非皮卡压缩表[[#This Row],[BACKSIZE]],ALL尺码表[内部尺码],ALL尺码表[通用尺码]))</f>
        <v/>
      </c>
    </row>
    <row r="781">
      <c r="A781" s="17" t="inlineStr">
        <is>
          <t>ALL</t>
        </is>
      </c>
      <c r="B781" s="18" t="inlineStr">
        <is>
          <t>Lincoln Navigator</t>
        </is>
      </c>
      <c r="C781" s="18" t="inlineStr">
        <is>
          <t>Lincoln</t>
        </is>
      </c>
      <c r="D781" s="18" t="inlineStr">
        <is>
          <t>Navigator</t>
        </is>
      </c>
      <c r="E781" s="18" t="inlineStr">
        <is>
          <t>1998-2002</t>
        </is>
      </c>
      <c r="F781" s="18" t="inlineStr"/>
      <c r="G781" s="18" t="inlineStr">
        <is>
          <t>SUV</t>
        </is>
      </c>
      <c r="H781" s="18" t="inlineStr">
        <is>
          <t>YXXL</t>
        </is>
      </c>
      <c r="I781" s="19">
        <f t="array" ref="I781">TRIM(_xlfn.XLOOKUP(非皮卡压缩表[[#This Row],[BACKSIZE]],ALL尺码表[内部尺码],ALL尺码表[分类],""))</f>
        <v/>
      </c>
      <c r="J781" s="19">
        <f t="array" ref="J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1" s="20">
        <f>LEN(非皮卡压缩表[[#This Row],[LONG-TYPE]])</f>
        <v/>
      </c>
      <c r="L781" s="21">
        <f t="array" ref="L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1" s="22">
        <f>LEN(非皮卡压缩表[[#This Row],[TYPE]])</f>
        <v/>
      </c>
      <c r="N781" s="22">
        <f t="array" ref="N781">_xlfn.XLOOKUP(非皮卡压缩表[[#This Row],[MODEL]],MODEL缩写表[长MODEL],MODEL缩写表[短MODEL],非皮卡压缩表[[#This Row],[MODEL]])</f>
        <v/>
      </c>
      <c r="O781" s="22">
        <f>LEN(非皮卡压缩表[[#This Row],[SHORT-MODEL]])</f>
        <v/>
      </c>
      <c r="P781" s="11">
        <f t="array" ref="P781">TRIM(_xlfn.XLOOKUP(非皮卡压缩表[[#This Row],[BACKSIZE]],ALL尺码表[内部尺码],ALL尺码表[通用尺码]))</f>
        <v/>
      </c>
    </row>
    <row r="782">
      <c r="A782" s="17" t="inlineStr">
        <is>
          <t>ALL</t>
        </is>
      </c>
      <c r="B782" s="18" t="inlineStr">
        <is>
          <t>Lincoln Navigator</t>
        </is>
      </c>
      <c r="C782" s="18" t="inlineStr">
        <is>
          <t>Lincoln</t>
        </is>
      </c>
      <c r="D782" s="18" t="inlineStr">
        <is>
          <t>Navigator</t>
        </is>
      </c>
      <c r="E782" s="18" t="inlineStr">
        <is>
          <t>2003-2026</t>
        </is>
      </c>
      <c r="F782" s="18" t="inlineStr"/>
      <c r="G782" s="18" t="inlineStr">
        <is>
          <t>SUV</t>
        </is>
      </c>
      <c r="H782" s="18" t="inlineStr">
        <is>
          <t>YXXL-545</t>
        </is>
      </c>
      <c r="I782" s="19">
        <f t="array" ref="I782">TRIM(_xlfn.XLOOKUP(非皮卡压缩表[[#This Row],[BACKSIZE]],ALL尺码表[内部尺码],ALL尺码表[分类],""))</f>
        <v/>
      </c>
      <c r="J782" s="19">
        <f t="array" ref="J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2" s="20">
        <f>LEN(非皮卡压缩表[[#This Row],[LONG-TYPE]])</f>
        <v/>
      </c>
      <c r="L782" s="21">
        <f t="array" ref="L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2" s="22">
        <f>LEN(非皮卡压缩表[[#This Row],[TYPE]])</f>
        <v/>
      </c>
      <c r="N782" s="22">
        <f t="array" ref="N782">_xlfn.XLOOKUP(非皮卡压缩表[[#This Row],[MODEL]],MODEL缩写表[长MODEL],MODEL缩写表[短MODEL],非皮卡压缩表[[#This Row],[MODEL]])</f>
        <v/>
      </c>
      <c r="O782" s="22">
        <f>LEN(非皮卡压缩表[[#This Row],[SHORT-MODEL]])</f>
        <v/>
      </c>
      <c r="P782" s="11">
        <f t="array" ref="P782">TRIM(_xlfn.XLOOKUP(非皮卡压缩表[[#This Row],[BACKSIZE]],ALL尺码表[内部尺码],ALL尺码表[通用尺码]))</f>
        <v/>
      </c>
    </row>
    <row r="783">
      <c r="A783" s="17" t="inlineStr">
        <is>
          <t>ALL</t>
        </is>
      </c>
      <c r="B783" s="18" t="inlineStr">
        <is>
          <t>Lincoln Navigator</t>
        </is>
      </c>
      <c r="C783" s="18" t="inlineStr">
        <is>
          <t>Lincoln</t>
        </is>
      </c>
      <c r="D783" s="18" t="inlineStr">
        <is>
          <t>Navigator</t>
        </is>
      </c>
      <c r="E783" s="18" t="inlineStr">
        <is>
          <t>2007-2026</t>
        </is>
      </c>
      <c r="F783" s="18" t="inlineStr">
        <is>
          <t>L</t>
        </is>
      </c>
      <c r="G783" s="18" t="inlineStr">
        <is>
          <t>SUV</t>
        </is>
      </c>
      <c r="H783" s="18" t="inlineStr">
        <is>
          <t>YXXL-585</t>
        </is>
      </c>
      <c r="I783" s="19">
        <f t="array" ref="I783">TRIM(_xlfn.XLOOKUP(非皮卡压缩表[[#This Row],[BACKSIZE]],ALL尺码表[内部尺码],ALL尺码表[分类],""))</f>
        <v/>
      </c>
      <c r="J783" s="19">
        <f t="array" ref="J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3" s="20">
        <f>LEN(非皮卡压缩表[[#This Row],[LONG-TYPE]])</f>
        <v/>
      </c>
      <c r="L783" s="21">
        <f t="array" ref="L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3" s="22">
        <f>LEN(非皮卡压缩表[[#This Row],[TYPE]])</f>
        <v/>
      </c>
      <c r="N783" s="22">
        <f t="array" ref="N783">_xlfn.XLOOKUP(非皮卡压缩表[[#This Row],[MODEL]],MODEL缩写表[长MODEL],MODEL缩写表[短MODEL],非皮卡压缩表[[#This Row],[MODEL]])</f>
        <v/>
      </c>
      <c r="O783" s="22">
        <f>LEN(非皮卡压缩表[[#This Row],[SHORT-MODEL]])</f>
        <v/>
      </c>
      <c r="P783" s="11">
        <f t="array" ref="P783">TRIM(_xlfn.XLOOKUP(非皮卡压缩表[[#This Row],[BACKSIZE]],ALL尺码表[内部尺码],ALL尺码表[通用尺码]))</f>
        <v/>
      </c>
    </row>
    <row r="784">
      <c r="A784" s="17" t="inlineStr">
        <is>
          <t>ALL</t>
        </is>
      </c>
      <c r="B784" s="18" t="inlineStr">
        <is>
          <t>Lincoln Town Car</t>
        </is>
      </c>
      <c r="C784" s="18" t="inlineStr">
        <is>
          <t>Lincoln</t>
        </is>
      </c>
      <c r="D784" s="18" t="inlineStr">
        <is>
          <t>Town Car</t>
        </is>
      </c>
      <c r="E784" s="18" t="inlineStr">
        <is>
          <t>1981-1997</t>
        </is>
      </c>
      <c r="F784" s="18" t="inlineStr"/>
      <c r="G784" s="18" t="inlineStr">
        <is>
          <t>Sedan</t>
        </is>
      </c>
      <c r="H784" s="18" t="inlineStr">
        <is>
          <t>无可用尺码</t>
        </is>
      </c>
      <c r="I784" s="19">
        <f t="array" ref="I784">TRIM(_xlfn.XLOOKUP(非皮卡压缩表[[#This Row],[BACKSIZE]],ALL尺码表[内部尺码],ALL尺码表[分类],""))</f>
        <v/>
      </c>
      <c r="J784" s="19">
        <f t="array" ref="J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4" s="20">
        <f>LEN(非皮卡压缩表[[#This Row],[LONG-TYPE]])</f>
        <v/>
      </c>
      <c r="L784" s="21">
        <f t="array" ref="L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4" s="22">
        <f>LEN(非皮卡压缩表[[#This Row],[TYPE]])</f>
        <v/>
      </c>
      <c r="N784" s="22">
        <f t="array" ref="N784">_xlfn.XLOOKUP(非皮卡压缩表[[#This Row],[MODEL]],MODEL缩写表[长MODEL],MODEL缩写表[短MODEL],非皮卡压缩表[[#This Row],[MODEL]])</f>
        <v/>
      </c>
      <c r="O784" s="22">
        <f>LEN(非皮卡压缩表[[#This Row],[SHORT-MODEL]])</f>
        <v/>
      </c>
      <c r="P784" s="11">
        <f t="array" ref="P784">TRIM(_xlfn.XLOOKUP(非皮卡压缩表[[#This Row],[BACKSIZE]],ALL尺码表[内部尺码],ALL尺码表[通用尺码]))</f>
        <v/>
      </c>
    </row>
    <row r="785">
      <c r="A785" s="17" t="inlineStr">
        <is>
          <t>ALL</t>
        </is>
      </c>
      <c r="B785" s="18" t="inlineStr">
        <is>
          <t>Lincoln Town Car</t>
        </is>
      </c>
      <c r="C785" s="18" t="inlineStr">
        <is>
          <t>Lincoln</t>
        </is>
      </c>
      <c r="D785" s="18" t="inlineStr">
        <is>
          <t>Town Car</t>
        </is>
      </c>
      <c r="E785" s="18" t="inlineStr">
        <is>
          <t>1998-2011</t>
        </is>
      </c>
      <c r="F785" s="18" t="inlineStr"/>
      <c r="G785" s="18" t="inlineStr">
        <is>
          <t>Sedan</t>
        </is>
      </c>
      <c r="H785" s="18" t="inlineStr">
        <is>
          <t>3XXXL</t>
        </is>
      </c>
      <c r="I785" s="19">
        <f t="array" ref="I785">TRIM(_xlfn.XLOOKUP(非皮卡压缩表[[#This Row],[BACKSIZE]],ALL尺码表[内部尺码],ALL尺码表[分类],""))</f>
        <v/>
      </c>
      <c r="J785" s="19">
        <f t="array" ref="J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5" s="20">
        <f>LEN(非皮卡压缩表[[#This Row],[LONG-TYPE]])</f>
        <v/>
      </c>
      <c r="L785" s="21">
        <f t="array" ref="L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5" s="22">
        <f>LEN(非皮卡压缩表[[#This Row],[TYPE]])</f>
        <v/>
      </c>
      <c r="N785" s="22">
        <f t="array" ref="N785">_xlfn.XLOOKUP(非皮卡压缩表[[#This Row],[MODEL]],MODEL缩写表[长MODEL],MODEL缩写表[短MODEL],非皮卡压缩表[[#This Row],[MODEL]])</f>
        <v/>
      </c>
      <c r="O785" s="22">
        <f>LEN(非皮卡压缩表[[#This Row],[SHORT-MODEL]])</f>
        <v/>
      </c>
      <c r="P785" s="11">
        <f t="array" ref="P785">TRIM(_xlfn.XLOOKUP(非皮卡压缩表[[#This Row],[BACKSIZE]],ALL尺码表[内部尺码],ALL尺码表[通用尺码]))</f>
        <v/>
      </c>
    </row>
    <row r="786">
      <c r="A786" s="17" t="inlineStr">
        <is>
          <t>ALL</t>
        </is>
      </c>
      <c r="B786" s="18" t="inlineStr">
        <is>
          <t>Lincoln Town Car</t>
        </is>
      </c>
      <c r="C786" s="18" t="inlineStr">
        <is>
          <t>Lincoln</t>
        </is>
      </c>
      <c r="D786" s="18" t="inlineStr">
        <is>
          <t>Town Car</t>
        </is>
      </c>
      <c r="E786" s="18" t="inlineStr">
        <is>
          <t>2000-2011</t>
        </is>
      </c>
      <c r="F786" s="18" t="inlineStr">
        <is>
          <t>L</t>
        </is>
      </c>
      <c r="G786" s="18" t="inlineStr">
        <is>
          <t>Sedan</t>
        </is>
      </c>
      <c r="H786" s="18" t="inlineStr">
        <is>
          <t>无可用尺码</t>
        </is>
      </c>
      <c r="I786" s="19">
        <f t="array" ref="I786">TRIM(_xlfn.XLOOKUP(非皮卡压缩表[[#This Row],[BACKSIZE]],ALL尺码表[内部尺码],ALL尺码表[分类],""))</f>
        <v/>
      </c>
      <c r="J786" s="19">
        <f t="array" ref="J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6" s="20">
        <f>LEN(非皮卡压缩表[[#This Row],[LONG-TYPE]])</f>
        <v/>
      </c>
      <c r="L786" s="21">
        <f t="array" ref="L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6" s="22">
        <f>LEN(非皮卡压缩表[[#This Row],[TYPE]])</f>
        <v/>
      </c>
      <c r="N786" s="22">
        <f t="array" ref="N786">_xlfn.XLOOKUP(非皮卡压缩表[[#This Row],[MODEL]],MODEL缩写表[长MODEL],MODEL缩写表[短MODEL],非皮卡压缩表[[#This Row],[MODEL]])</f>
        <v/>
      </c>
      <c r="O786" s="22">
        <f>LEN(非皮卡压缩表[[#This Row],[SHORT-MODEL]])</f>
        <v/>
      </c>
      <c r="P786" s="11">
        <f t="array" ref="P786">TRIM(_xlfn.XLOOKUP(非皮卡压缩表[[#This Row],[BACKSIZE]],ALL尺码表[内部尺码],ALL尺码表[通用尺码]))</f>
        <v/>
      </c>
    </row>
    <row r="787">
      <c r="A787" s="17" t="inlineStr">
        <is>
          <t>ALL</t>
        </is>
      </c>
      <c r="B787" s="18" t="inlineStr">
        <is>
          <t>Lincoln Zephyr</t>
        </is>
      </c>
      <c r="C787" s="18" t="inlineStr">
        <is>
          <t>Lincoln</t>
        </is>
      </c>
      <c r="D787" s="18" t="inlineStr">
        <is>
          <t>Zephyr</t>
        </is>
      </c>
      <c r="E787" s="18" t="inlineStr">
        <is>
          <t>2006</t>
        </is>
      </c>
      <c r="F787" s="18" t="inlineStr"/>
      <c r="G787" s="18" t="inlineStr">
        <is>
          <t>Sedan</t>
        </is>
      </c>
      <c r="H787" s="18" t="inlineStr">
        <is>
          <t>3XL</t>
        </is>
      </c>
      <c r="I787" s="19">
        <f t="array" ref="I787">TRIM(_xlfn.XLOOKUP(非皮卡压缩表[[#This Row],[BACKSIZE]],ALL尺码表[内部尺码],ALL尺码表[分类],""))</f>
        <v/>
      </c>
      <c r="J787" s="19">
        <f t="array" ref="J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7" s="20">
        <f>LEN(非皮卡压缩表[[#This Row],[LONG-TYPE]])</f>
        <v/>
      </c>
      <c r="L787" s="21">
        <f t="array" ref="L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7" s="22">
        <f>LEN(非皮卡压缩表[[#This Row],[TYPE]])</f>
        <v/>
      </c>
      <c r="N787" s="22">
        <f t="array" ref="N787">_xlfn.XLOOKUP(非皮卡压缩表[[#This Row],[MODEL]],MODEL缩写表[长MODEL],MODEL缩写表[短MODEL],非皮卡压缩表[[#This Row],[MODEL]])</f>
        <v/>
      </c>
      <c r="O787" s="22">
        <f>LEN(非皮卡压缩表[[#This Row],[SHORT-MODEL]])</f>
        <v/>
      </c>
      <c r="P787" s="11">
        <f t="array" ref="P787">TRIM(_xlfn.XLOOKUP(非皮卡压缩表[[#This Row],[BACKSIZE]],ALL尺码表[内部尺码],ALL尺码表[通用尺码]))</f>
        <v/>
      </c>
    </row>
    <row r="788">
      <c r="A788" s="17" t="inlineStr">
        <is>
          <t>ALL</t>
        </is>
      </c>
      <c r="B788" s="18" t="inlineStr">
        <is>
          <t>Lucid Motors Gravity</t>
        </is>
      </c>
      <c r="C788" s="18" t="inlineStr">
        <is>
          <t>Lucid Motors</t>
        </is>
      </c>
      <c r="D788" s="18" t="inlineStr">
        <is>
          <t>Gravity</t>
        </is>
      </c>
      <c r="E788" s="18" t="inlineStr">
        <is>
          <t>2025-2026</t>
        </is>
      </c>
      <c r="F788" s="18" t="inlineStr"/>
      <c r="G788" s="18" t="inlineStr">
        <is>
          <t>SUV</t>
        </is>
      </c>
      <c r="H788" s="18" t="inlineStr">
        <is>
          <t>YXL</t>
        </is>
      </c>
      <c r="I788" s="19">
        <f t="array" ref="I788">TRIM(_xlfn.XLOOKUP(非皮卡压缩表[[#This Row],[BACKSIZE]],ALL尺码表[内部尺码],ALL尺码表[分类],""))</f>
        <v/>
      </c>
      <c r="J788" s="19">
        <f t="array" ref="J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8" s="20">
        <f>LEN(非皮卡压缩表[[#This Row],[LONG-TYPE]])</f>
        <v/>
      </c>
      <c r="L788" s="21">
        <f t="array" ref="L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8" s="22">
        <f>LEN(非皮卡压缩表[[#This Row],[TYPE]])</f>
        <v/>
      </c>
      <c r="N788" s="22">
        <f t="array" ref="N788">_xlfn.XLOOKUP(非皮卡压缩表[[#This Row],[MODEL]],MODEL缩写表[长MODEL],MODEL缩写表[短MODEL],非皮卡压缩表[[#This Row],[MODEL]])</f>
        <v/>
      </c>
      <c r="O788" s="22">
        <f>LEN(非皮卡压缩表[[#This Row],[SHORT-MODEL]])</f>
        <v/>
      </c>
      <c r="P788" s="11">
        <f t="array" ref="P788">TRIM(_xlfn.XLOOKUP(非皮卡压缩表[[#This Row],[BACKSIZE]],ALL尺码表[内部尺码],ALL尺码表[通用尺码]))</f>
        <v/>
      </c>
    </row>
    <row r="789">
      <c r="A789" s="17" t="inlineStr">
        <is>
          <t>ALL</t>
        </is>
      </c>
      <c r="B789" s="18" t="inlineStr">
        <is>
          <t>Lucid Motors Lucid Air</t>
        </is>
      </c>
      <c r="C789" s="18" t="inlineStr">
        <is>
          <t>Lucid Motors</t>
        </is>
      </c>
      <c r="D789" s="18" t="inlineStr">
        <is>
          <t>Lucid Air</t>
        </is>
      </c>
      <c r="E789" s="18" t="inlineStr">
        <is>
          <t>2022-2026</t>
        </is>
      </c>
      <c r="F789" s="18" t="inlineStr"/>
      <c r="G789" s="18" t="inlineStr">
        <is>
          <t>Sedan</t>
        </is>
      </c>
      <c r="H789" s="18" t="inlineStr">
        <is>
          <t>3XXL</t>
        </is>
      </c>
      <c r="I789" s="19">
        <f t="array" ref="I789">TRIM(_xlfn.XLOOKUP(非皮卡压缩表[[#This Row],[BACKSIZE]],ALL尺码表[内部尺码],ALL尺码表[分类],""))</f>
        <v/>
      </c>
      <c r="J789" s="19">
        <f t="array" ref="J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9" s="20">
        <f>LEN(非皮卡压缩表[[#This Row],[LONG-TYPE]])</f>
        <v/>
      </c>
      <c r="L789" s="21">
        <f t="array" ref="L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9" s="22">
        <f>LEN(非皮卡压缩表[[#This Row],[TYPE]])</f>
        <v/>
      </c>
      <c r="N789" s="22">
        <f t="array" ref="N789">_xlfn.XLOOKUP(非皮卡压缩表[[#This Row],[MODEL]],MODEL缩写表[长MODEL],MODEL缩写表[短MODEL],非皮卡压缩表[[#This Row],[MODEL]])</f>
        <v/>
      </c>
      <c r="O789" s="22">
        <f>LEN(非皮卡压缩表[[#This Row],[SHORT-MODEL]])</f>
        <v/>
      </c>
      <c r="P789" s="11">
        <f t="array" ref="P789">TRIM(_xlfn.XLOOKUP(非皮卡压缩表[[#This Row],[BACKSIZE]],ALL尺码表[内部尺码],ALL尺码表[通用尺码]))</f>
        <v/>
      </c>
    </row>
    <row r="790">
      <c r="A790" s="17" t="inlineStr">
        <is>
          <t>ALL</t>
        </is>
      </c>
      <c r="B790" s="18" t="inlineStr">
        <is>
          <t>MINI Clubman</t>
        </is>
      </c>
      <c r="C790" s="18" t="inlineStr">
        <is>
          <t>MINI</t>
        </is>
      </c>
      <c r="D790" s="18" t="inlineStr">
        <is>
          <t>Clubman</t>
        </is>
      </c>
      <c r="E790" s="18" t="inlineStr">
        <is>
          <t>2008-2014</t>
        </is>
      </c>
      <c r="F790" s="18" t="inlineStr"/>
      <c r="G790" s="18" t="inlineStr">
        <is>
          <t>Wagon</t>
        </is>
      </c>
      <c r="H790" s="18" t="inlineStr">
        <is>
          <t>2M</t>
        </is>
      </c>
      <c r="I790" s="19">
        <f t="array" ref="I790">TRIM(_xlfn.XLOOKUP(非皮卡压缩表[[#This Row],[BACKSIZE]],ALL尺码表[内部尺码],ALL尺码表[分类],""))</f>
        <v/>
      </c>
      <c r="J790" s="19">
        <f t="array" ref="J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0" s="20">
        <f>LEN(非皮卡压缩表[[#This Row],[LONG-TYPE]])</f>
        <v/>
      </c>
      <c r="L790" s="21">
        <f t="array" ref="L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0" s="22">
        <f>LEN(非皮卡压缩表[[#This Row],[TYPE]])</f>
        <v/>
      </c>
      <c r="N790" s="22">
        <f t="array" ref="N790">_xlfn.XLOOKUP(非皮卡压缩表[[#This Row],[MODEL]],MODEL缩写表[长MODEL],MODEL缩写表[短MODEL],非皮卡压缩表[[#This Row],[MODEL]])</f>
        <v/>
      </c>
      <c r="O790" s="22">
        <f>LEN(非皮卡压缩表[[#This Row],[SHORT-MODEL]])</f>
        <v/>
      </c>
      <c r="P790" s="11">
        <f t="array" ref="P790">TRIM(_xlfn.XLOOKUP(非皮卡压缩表[[#This Row],[BACKSIZE]],ALL尺码表[内部尺码],ALL尺码表[通用尺码]))</f>
        <v/>
      </c>
    </row>
    <row r="791">
      <c r="A791" s="17" t="inlineStr">
        <is>
          <t>ALL</t>
        </is>
      </c>
      <c r="B791" s="18" t="inlineStr">
        <is>
          <t>MINI Clubman</t>
        </is>
      </c>
      <c r="C791" s="18" t="inlineStr">
        <is>
          <t>MINI</t>
        </is>
      </c>
      <c r="D791" s="18" t="inlineStr">
        <is>
          <t>Clubman</t>
        </is>
      </c>
      <c r="E791" s="18" t="inlineStr">
        <is>
          <t>2016-2024</t>
        </is>
      </c>
      <c r="F791" s="18" t="inlineStr"/>
      <c r="G791" s="18" t="inlineStr">
        <is>
          <t>Wagon</t>
        </is>
      </c>
      <c r="H791" s="18" t="inlineStr">
        <is>
          <t>2L+</t>
        </is>
      </c>
      <c r="I791" s="19">
        <f t="array" ref="I791">TRIM(_xlfn.XLOOKUP(非皮卡压缩表[[#This Row],[BACKSIZE]],ALL尺码表[内部尺码],ALL尺码表[分类],""))</f>
        <v/>
      </c>
      <c r="J791" s="19">
        <f t="array" ref="J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1" s="20">
        <f>LEN(非皮卡压缩表[[#This Row],[LONG-TYPE]])</f>
        <v/>
      </c>
      <c r="L791" s="21">
        <f t="array" ref="L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1" s="22">
        <f>LEN(非皮卡压缩表[[#This Row],[TYPE]])</f>
        <v/>
      </c>
      <c r="N791" s="22">
        <f t="array" ref="N791">_xlfn.XLOOKUP(非皮卡压缩表[[#This Row],[MODEL]],MODEL缩写表[长MODEL],MODEL缩写表[短MODEL],非皮卡压缩表[[#This Row],[MODEL]])</f>
        <v/>
      </c>
      <c r="O791" s="22">
        <f>LEN(非皮卡压缩表[[#This Row],[SHORT-MODEL]])</f>
        <v/>
      </c>
      <c r="P791" s="11">
        <f t="array" ref="P791">TRIM(_xlfn.XLOOKUP(非皮卡压缩表[[#This Row],[BACKSIZE]],ALL尺码表[内部尺码],ALL尺码表[通用尺码]))</f>
        <v/>
      </c>
    </row>
    <row r="792">
      <c r="A792" s="17" t="inlineStr">
        <is>
          <t>ALL</t>
        </is>
      </c>
      <c r="B792" s="18" t="inlineStr">
        <is>
          <t>MINI Convertible</t>
        </is>
      </c>
      <c r="C792" s="18" t="inlineStr">
        <is>
          <t>MINI</t>
        </is>
      </c>
      <c r="D792" s="18" t="inlineStr">
        <is>
          <t>Convertible</t>
        </is>
      </c>
      <c r="E792" s="18" t="inlineStr">
        <is>
          <t>2005-2026</t>
        </is>
      </c>
      <c r="F792" s="18" t="inlineStr">
        <is>
          <t>Incl: JCW</t>
        </is>
      </c>
      <c r="G792" s="18" t="inlineStr">
        <is>
          <t>Convertible</t>
        </is>
      </c>
      <c r="H792" s="18" t="inlineStr">
        <is>
          <t>3S-0</t>
        </is>
      </c>
      <c r="I792" s="19">
        <f t="array" ref="I792">TRIM(_xlfn.XLOOKUP(非皮卡压缩表[[#This Row],[BACKSIZE]],ALL尺码表[内部尺码],ALL尺码表[分类],""))</f>
        <v/>
      </c>
      <c r="J792" s="19">
        <f t="array" ref="J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2" s="20">
        <f>LEN(非皮卡压缩表[[#This Row],[LONG-TYPE]])</f>
        <v/>
      </c>
      <c r="L792" s="21">
        <f t="array" ref="L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2" s="22">
        <f>LEN(非皮卡压缩表[[#This Row],[TYPE]])</f>
        <v/>
      </c>
      <c r="N792" s="22">
        <f t="array" ref="N792">_xlfn.XLOOKUP(非皮卡压缩表[[#This Row],[MODEL]],MODEL缩写表[长MODEL],MODEL缩写表[短MODEL],非皮卡压缩表[[#This Row],[MODEL]])</f>
        <v/>
      </c>
      <c r="O792" s="22">
        <f>LEN(非皮卡压缩表[[#This Row],[SHORT-MODEL]])</f>
        <v/>
      </c>
      <c r="P792" s="11">
        <f t="array" ref="P792">TRIM(_xlfn.XLOOKUP(非皮卡压缩表[[#This Row],[BACKSIZE]],ALL尺码表[内部尺码],ALL尺码表[通用尺码]))</f>
        <v/>
      </c>
    </row>
    <row r="793">
      <c r="A793" s="17" t="inlineStr">
        <is>
          <t>ALL</t>
        </is>
      </c>
      <c r="B793" s="18" t="inlineStr">
        <is>
          <t>MINI Cooper</t>
        </is>
      </c>
      <c r="C793" s="18" t="inlineStr">
        <is>
          <t>MINI</t>
        </is>
      </c>
      <c r="D793" s="18" t="inlineStr">
        <is>
          <t>Cooper</t>
        </is>
      </c>
      <c r="E793" s="18" t="inlineStr">
        <is>
          <t>2002-2026</t>
        </is>
      </c>
      <c r="F793" s="18" t="inlineStr"/>
      <c r="G793" s="18" t="inlineStr">
        <is>
          <t>Hatchback</t>
        </is>
      </c>
      <c r="H793" s="18" t="inlineStr">
        <is>
          <t>2M</t>
        </is>
      </c>
      <c r="I793" s="19">
        <f t="array" ref="I793">TRIM(_xlfn.XLOOKUP(非皮卡压缩表[[#This Row],[BACKSIZE]],ALL尺码表[内部尺码],ALL尺码表[分类],""))</f>
        <v/>
      </c>
      <c r="J793" s="19">
        <f t="array" ref="J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3" s="20">
        <f>LEN(非皮卡压缩表[[#This Row],[LONG-TYPE]])</f>
        <v/>
      </c>
      <c r="L793" s="21">
        <f t="array" ref="L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3" s="22">
        <f>LEN(非皮卡压缩表[[#This Row],[TYPE]])</f>
        <v/>
      </c>
      <c r="N793" s="22">
        <f t="array" ref="N793">_xlfn.XLOOKUP(非皮卡压缩表[[#This Row],[MODEL]],MODEL缩写表[长MODEL],MODEL缩写表[短MODEL],非皮卡压缩表[[#This Row],[MODEL]])</f>
        <v/>
      </c>
      <c r="O793" s="22">
        <f>LEN(非皮卡压缩表[[#This Row],[SHORT-MODEL]])</f>
        <v/>
      </c>
      <c r="P793" s="11">
        <f t="array" ref="P793">TRIM(_xlfn.XLOOKUP(非皮卡压缩表[[#This Row],[BACKSIZE]],ALL尺码表[内部尺码],ALL尺码表[通用尺码]))</f>
        <v/>
      </c>
    </row>
    <row r="794">
      <c r="A794" s="17" t="inlineStr">
        <is>
          <t>ALL</t>
        </is>
      </c>
      <c r="B794" s="18" t="inlineStr">
        <is>
          <t>MINI Cooper SE</t>
        </is>
      </c>
      <c r="C794" s="18" t="inlineStr">
        <is>
          <t>MINI</t>
        </is>
      </c>
      <c r="D794" s="18" t="inlineStr">
        <is>
          <t>Cooper SE</t>
        </is>
      </c>
      <c r="E794" s="18" t="inlineStr">
        <is>
          <t>2020-2024</t>
        </is>
      </c>
      <c r="F794" s="18" t="inlineStr"/>
      <c r="G794" s="18" t="inlineStr">
        <is>
          <t>Hatchback</t>
        </is>
      </c>
      <c r="H794" s="18" t="inlineStr">
        <is>
          <t>2M</t>
        </is>
      </c>
      <c r="I794" s="19">
        <f t="array" ref="I794">TRIM(_xlfn.XLOOKUP(非皮卡压缩表[[#This Row],[BACKSIZE]],ALL尺码表[内部尺码],ALL尺码表[分类],""))</f>
        <v/>
      </c>
      <c r="J794" s="19">
        <f t="array" ref="J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4" s="20">
        <f>LEN(非皮卡压缩表[[#This Row],[LONG-TYPE]])</f>
        <v/>
      </c>
      <c r="L794" s="21">
        <f t="array" ref="L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4" s="22">
        <f>LEN(非皮卡压缩表[[#This Row],[TYPE]])</f>
        <v/>
      </c>
      <c r="N794" s="22">
        <f t="array" ref="N794">_xlfn.XLOOKUP(非皮卡压缩表[[#This Row],[MODEL]],MODEL缩写表[长MODEL],MODEL缩写表[短MODEL],非皮卡压缩表[[#This Row],[MODEL]])</f>
        <v/>
      </c>
      <c r="O794" s="22">
        <f>LEN(非皮卡压缩表[[#This Row],[SHORT-MODEL]])</f>
        <v/>
      </c>
      <c r="P794" s="11">
        <f t="array" ref="P794">TRIM(_xlfn.XLOOKUP(非皮卡压缩表[[#This Row],[BACKSIZE]],ALL尺码表[内部尺码],ALL尺码表[通用尺码]))</f>
        <v/>
      </c>
    </row>
    <row r="795">
      <c r="A795" s="17" t="inlineStr">
        <is>
          <t>ALL</t>
        </is>
      </c>
      <c r="B795" s="18" t="inlineStr">
        <is>
          <t>MINI Countryman</t>
        </is>
      </c>
      <c r="C795" s="18" t="inlineStr">
        <is>
          <t>MINI</t>
        </is>
      </c>
      <c r="D795" s="18" t="inlineStr">
        <is>
          <t>Countryman</t>
        </is>
      </c>
      <c r="E795" s="18" t="inlineStr">
        <is>
          <t>2011-2026</t>
        </is>
      </c>
      <c r="F795" s="18" t="inlineStr">
        <is>
          <t>Incl: JCW</t>
        </is>
      </c>
      <c r="G795" s="18" t="inlineStr">
        <is>
          <t>SUV</t>
        </is>
      </c>
      <c r="H795" s="18" t="inlineStr">
        <is>
          <t>YM+</t>
        </is>
      </c>
      <c r="I795" s="19">
        <f t="array" ref="I795">TRIM(_xlfn.XLOOKUP(非皮卡压缩表[[#This Row],[BACKSIZE]],ALL尺码表[内部尺码],ALL尺码表[分类],""))</f>
        <v/>
      </c>
      <c r="J795" s="19">
        <f t="array" ref="J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5" s="20">
        <f>LEN(非皮卡压缩表[[#This Row],[LONG-TYPE]])</f>
        <v/>
      </c>
      <c r="L795" s="21">
        <f t="array" ref="L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5" s="22">
        <f>LEN(非皮卡压缩表[[#This Row],[TYPE]])</f>
        <v/>
      </c>
      <c r="N795" s="22">
        <f t="array" ref="N795">_xlfn.XLOOKUP(非皮卡压缩表[[#This Row],[MODEL]],MODEL缩写表[长MODEL],MODEL缩写表[短MODEL],非皮卡压缩表[[#This Row],[MODEL]])</f>
        <v/>
      </c>
      <c r="O795" s="22">
        <f>LEN(非皮卡压缩表[[#This Row],[SHORT-MODEL]])</f>
        <v/>
      </c>
      <c r="P795" s="11">
        <f t="array" ref="P795">TRIM(_xlfn.XLOOKUP(非皮卡压缩表[[#This Row],[BACKSIZE]],ALL尺码表[内部尺码],ALL尺码表[通用尺码]))</f>
        <v/>
      </c>
    </row>
    <row r="796">
      <c r="A796" s="17" t="inlineStr">
        <is>
          <t>ALL</t>
        </is>
      </c>
      <c r="B796" s="18" t="inlineStr">
        <is>
          <t>MINI Coupe</t>
        </is>
      </c>
      <c r="C796" s="18" t="inlineStr">
        <is>
          <t>MINI</t>
        </is>
      </c>
      <c r="D796" s="18" t="inlineStr">
        <is>
          <t>Coupe</t>
        </is>
      </c>
      <c r="E796" s="18" t="inlineStr">
        <is>
          <t>2012-2015</t>
        </is>
      </c>
      <c r="F796" s="18" t="inlineStr"/>
      <c r="G796" s="18" t="inlineStr">
        <is>
          <t>Coupe</t>
        </is>
      </c>
      <c r="H796" s="18" t="inlineStr">
        <is>
          <t>3S-0</t>
        </is>
      </c>
      <c r="I796" s="19">
        <f t="array" ref="I796">TRIM(_xlfn.XLOOKUP(非皮卡压缩表[[#This Row],[BACKSIZE]],ALL尺码表[内部尺码],ALL尺码表[分类],""))</f>
        <v/>
      </c>
      <c r="J796" s="19">
        <f t="array" ref="J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6" s="20">
        <f>LEN(非皮卡压缩表[[#This Row],[LONG-TYPE]])</f>
        <v/>
      </c>
      <c r="L796" s="21">
        <f t="array" ref="L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6" s="22">
        <f>LEN(非皮卡压缩表[[#This Row],[TYPE]])</f>
        <v/>
      </c>
      <c r="N796" s="22">
        <f t="array" ref="N796">_xlfn.XLOOKUP(非皮卡压缩表[[#This Row],[MODEL]],MODEL缩写表[长MODEL],MODEL缩写表[短MODEL],非皮卡压缩表[[#This Row],[MODEL]])</f>
        <v/>
      </c>
      <c r="O796" s="22">
        <f>LEN(非皮卡压缩表[[#This Row],[SHORT-MODEL]])</f>
        <v/>
      </c>
      <c r="P796" s="11">
        <f t="array" ref="P796">TRIM(_xlfn.XLOOKUP(非皮卡压缩表[[#This Row],[BACKSIZE]],ALL尺码表[内部尺码],ALL尺码表[通用尺码]))</f>
        <v/>
      </c>
    </row>
    <row r="797">
      <c r="A797" s="17" t="inlineStr">
        <is>
          <t>ALL</t>
        </is>
      </c>
      <c r="B797" s="18" t="inlineStr">
        <is>
          <t>MINI Hardtop</t>
        </is>
      </c>
      <c r="C797" s="18" t="inlineStr">
        <is>
          <t>MINI</t>
        </is>
      </c>
      <c r="D797" s="18" t="inlineStr">
        <is>
          <t>Hardtop</t>
        </is>
      </c>
      <c r="E797" s="18" t="inlineStr">
        <is>
          <t>2002-2024</t>
        </is>
      </c>
      <c r="F797" s="18" t="inlineStr"/>
      <c r="G797" s="18" t="inlineStr">
        <is>
          <t>2dr Hatchback/4dr Hatchback</t>
        </is>
      </c>
      <c r="H797" s="18" t="inlineStr">
        <is>
          <t>2M</t>
        </is>
      </c>
      <c r="I797" s="19">
        <f t="array" ref="I797">TRIM(_xlfn.XLOOKUP(非皮卡压缩表[[#This Row],[BACKSIZE]],ALL尺码表[内部尺码],ALL尺码表[分类],""))</f>
        <v/>
      </c>
      <c r="J797" s="19">
        <f t="array" ref="J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7" s="20">
        <f>LEN(非皮卡压缩表[[#This Row],[LONG-TYPE]])</f>
        <v/>
      </c>
      <c r="L797" s="21">
        <f t="array" ref="L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7" s="22">
        <f>LEN(非皮卡压缩表[[#This Row],[TYPE]])</f>
        <v/>
      </c>
      <c r="N797" s="22">
        <f t="array" ref="N797">_xlfn.XLOOKUP(非皮卡压缩表[[#This Row],[MODEL]],MODEL缩写表[长MODEL],MODEL缩写表[短MODEL],非皮卡压缩表[[#This Row],[MODEL]])</f>
        <v/>
      </c>
      <c r="O797" s="22">
        <f>LEN(非皮卡压缩表[[#This Row],[SHORT-MODEL]])</f>
        <v/>
      </c>
      <c r="P797" s="11">
        <f t="array" ref="P797">TRIM(_xlfn.XLOOKUP(非皮卡压缩表[[#This Row],[BACKSIZE]],ALL尺码表[内部尺码],ALL尺码表[通用尺码]))</f>
        <v/>
      </c>
    </row>
    <row r="798">
      <c r="A798" s="17" t="inlineStr">
        <is>
          <t>ALL</t>
        </is>
      </c>
      <c r="B798" s="18" t="inlineStr">
        <is>
          <t>MINI Hatchback</t>
        </is>
      </c>
      <c r="C798" s="18" t="inlineStr">
        <is>
          <t>MINI</t>
        </is>
      </c>
      <c r="D798" s="18" t="inlineStr">
        <is>
          <t>Hatchback</t>
        </is>
      </c>
      <c r="E798" s="18" t="inlineStr">
        <is>
          <t>2002-2024</t>
        </is>
      </c>
      <c r="F798" s="18" t="inlineStr">
        <is>
          <t>Incl: Cooper SE</t>
        </is>
      </c>
      <c r="G798" s="18" t="inlineStr">
        <is>
          <t>2dr Hatchback/4dr Hatchback</t>
        </is>
      </c>
      <c r="H798" s="18" t="inlineStr">
        <is>
          <t>2M</t>
        </is>
      </c>
      <c r="I798" s="19">
        <f t="array" ref="I798">TRIM(_xlfn.XLOOKUP(非皮卡压缩表[[#This Row],[BACKSIZE]],ALL尺码表[内部尺码],ALL尺码表[分类],""))</f>
        <v/>
      </c>
      <c r="J798" s="19">
        <f t="array" ref="J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8" s="20">
        <f>LEN(非皮卡压缩表[[#This Row],[LONG-TYPE]])</f>
        <v/>
      </c>
      <c r="L798" s="21">
        <f t="array" ref="L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8" s="22">
        <f>LEN(非皮卡压缩表[[#This Row],[TYPE]])</f>
        <v/>
      </c>
      <c r="N798" s="22">
        <f t="array" ref="N798">_xlfn.XLOOKUP(非皮卡压缩表[[#This Row],[MODEL]],MODEL缩写表[长MODEL],MODEL缩写表[短MODEL],非皮卡压缩表[[#This Row],[MODEL]])</f>
        <v/>
      </c>
      <c r="O798" s="22">
        <f>LEN(非皮卡压缩表[[#This Row],[SHORT-MODEL]])</f>
        <v/>
      </c>
      <c r="P798" s="11">
        <f t="array" ref="P798">TRIM(_xlfn.XLOOKUP(非皮卡压缩表[[#This Row],[BACKSIZE]],ALL尺码表[内部尺码],ALL尺码表[通用尺码]))</f>
        <v/>
      </c>
    </row>
    <row r="799">
      <c r="A799" s="17" t="inlineStr">
        <is>
          <t>ALL</t>
        </is>
      </c>
      <c r="B799" s="18" t="inlineStr">
        <is>
          <t>MINI Paceman</t>
        </is>
      </c>
      <c r="C799" s="18" t="inlineStr">
        <is>
          <t>MINI</t>
        </is>
      </c>
      <c r="D799" s="18" t="inlineStr">
        <is>
          <t>Paceman</t>
        </is>
      </c>
      <c r="E799" s="18" t="inlineStr">
        <is>
          <t>2013-2016</t>
        </is>
      </c>
      <c r="F799" s="18" t="inlineStr">
        <is>
          <t>Incl: JCW ALL4</t>
        </is>
      </c>
      <c r="G799" s="18" t="inlineStr">
        <is>
          <t>Coupe SUV/CUV</t>
        </is>
      </c>
      <c r="H799" s="18" t="inlineStr">
        <is>
          <t>YM+</t>
        </is>
      </c>
      <c r="I799" s="19">
        <f t="array" ref="I799">TRIM(_xlfn.XLOOKUP(非皮卡压缩表[[#This Row],[BACKSIZE]],ALL尺码表[内部尺码],ALL尺码表[分类],""))</f>
        <v/>
      </c>
      <c r="J799" s="19">
        <f t="array" ref="J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9" s="20">
        <f>LEN(非皮卡压缩表[[#This Row],[LONG-TYPE]])</f>
        <v/>
      </c>
      <c r="L799" s="21">
        <f t="array" ref="L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9" s="22">
        <f>LEN(非皮卡压缩表[[#This Row],[TYPE]])</f>
        <v/>
      </c>
      <c r="N799" s="22">
        <f t="array" ref="N799">_xlfn.XLOOKUP(非皮卡压缩表[[#This Row],[MODEL]],MODEL缩写表[长MODEL],MODEL缩写表[短MODEL],非皮卡压缩表[[#This Row],[MODEL]])</f>
        <v/>
      </c>
      <c r="O799" s="22">
        <f>LEN(非皮卡压缩表[[#This Row],[SHORT-MODEL]])</f>
        <v/>
      </c>
      <c r="P799" s="11">
        <f t="array" ref="P799">TRIM(_xlfn.XLOOKUP(非皮卡压缩表[[#This Row],[BACKSIZE]],ALL尺码表[内部尺码],ALL尺码表[通用尺码]))</f>
        <v/>
      </c>
    </row>
    <row r="800">
      <c r="A800" s="17" t="inlineStr">
        <is>
          <t>ALL</t>
        </is>
      </c>
      <c r="B800" s="18" t="inlineStr">
        <is>
          <t>MINI Roadster</t>
        </is>
      </c>
      <c r="C800" s="18" t="inlineStr">
        <is>
          <t>MINI</t>
        </is>
      </c>
      <c r="D800" s="18" t="inlineStr">
        <is>
          <t>Roadster</t>
        </is>
      </c>
      <c r="E800" s="18" t="inlineStr">
        <is>
          <t>2012-2015</t>
        </is>
      </c>
      <c r="F800" s="18" t="inlineStr">
        <is>
          <t>Incl: JCW</t>
        </is>
      </c>
      <c r="G800" s="18" t="inlineStr">
        <is>
          <t>Convertible/Roadster</t>
        </is>
      </c>
      <c r="H800" s="18" t="inlineStr">
        <is>
          <t>3S-0</t>
        </is>
      </c>
      <c r="I800" s="19">
        <f t="array" ref="I800">TRIM(_xlfn.XLOOKUP(非皮卡压缩表[[#This Row],[BACKSIZE]],ALL尺码表[内部尺码],ALL尺码表[分类],""))</f>
        <v/>
      </c>
      <c r="J800" s="19">
        <f t="array" ref="J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0" s="20">
        <f>LEN(非皮卡压缩表[[#This Row],[LONG-TYPE]])</f>
        <v/>
      </c>
      <c r="L800" s="21">
        <f t="array" ref="L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0" s="22">
        <f>LEN(非皮卡压缩表[[#This Row],[TYPE]])</f>
        <v/>
      </c>
      <c r="N800" s="22">
        <f t="array" ref="N800">_xlfn.XLOOKUP(非皮卡压缩表[[#This Row],[MODEL]],MODEL缩写表[长MODEL],MODEL缩写表[短MODEL],非皮卡压缩表[[#This Row],[MODEL]])</f>
        <v/>
      </c>
      <c r="O800" s="22">
        <f>LEN(非皮卡压缩表[[#This Row],[SHORT-MODEL]])</f>
        <v/>
      </c>
      <c r="P800" s="11">
        <f t="array" ref="P800">TRIM(_xlfn.XLOOKUP(非皮卡压缩表[[#This Row],[BACKSIZE]],ALL尺码表[内部尺码],ALL尺码表[通用尺码]))</f>
        <v/>
      </c>
    </row>
    <row r="801">
      <c r="A801" s="17" t="inlineStr">
        <is>
          <t>ALL</t>
        </is>
      </c>
      <c r="B801" s="18" t="inlineStr">
        <is>
          <t>Maserati Ghibli</t>
        </is>
      </c>
      <c r="C801" s="18" t="inlineStr">
        <is>
          <t>Maserati</t>
        </is>
      </c>
      <c r="D801" s="18" t="inlineStr">
        <is>
          <t>Ghibli</t>
        </is>
      </c>
      <c r="E801" s="18" t="inlineStr">
        <is>
          <t>2014-2024</t>
        </is>
      </c>
      <c r="F801" s="18" t="inlineStr"/>
      <c r="G801" s="18" t="inlineStr">
        <is>
          <t>Sedan</t>
        </is>
      </c>
      <c r="H801" s="18" t="inlineStr">
        <is>
          <t>3XXL</t>
        </is>
      </c>
      <c r="I801" s="19">
        <f t="array" ref="I801">TRIM(_xlfn.XLOOKUP(非皮卡压缩表[[#This Row],[BACKSIZE]],ALL尺码表[内部尺码],ALL尺码表[分类],""))</f>
        <v/>
      </c>
      <c r="J801" s="19">
        <f t="array" ref="J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1" s="20">
        <f>LEN(非皮卡压缩表[[#This Row],[LONG-TYPE]])</f>
        <v/>
      </c>
      <c r="L801" s="21">
        <f t="array" ref="L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1" s="22">
        <f>LEN(非皮卡压缩表[[#This Row],[TYPE]])</f>
        <v/>
      </c>
      <c r="N801" s="22">
        <f t="array" ref="N801">_xlfn.XLOOKUP(非皮卡压缩表[[#This Row],[MODEL]],MODEL缩写表[长MODEL],MODEL缩写表[短MODEL],非皮卡压缩表[[#This Row],[MODEL]])</f>
        <v/>
      </c>
      <c r="O801" s="22">
        <f>LEN(非皮卡压缩表[[#This Row],[SHORT-MODEL]])</f>
        <v/>
      </c>
      <c r="P801" s="11">
        <f t="array" ref="P801">TRIM(_xlfn.XLOOKUP(非皮卡压缩表[[#This Row],[BACKSIZE]],ALL尺码表[内部尺码],ALL尺码表[通用尺码]))</f>
        <v/>
      </c>
    </row>
    <row r="802">
      <c r="A802" s="17" t="inlineStr">
        <is>
          <t>ALL</t>
        </is>
      </c>
      <c r="B802" s="18" t="inlineStr">
        <is>
          <t>Maserati GranTurismo</t>
        </is>
      </c>
      <c r="C802" s="18" t="inlineStr">
        <is>
          <t>Maserati</t>
        </is>
      </c>
      <c r="D802" s="18" t="inlineStr">
        <is>
          <t>GranTurismo</t>
        </is>
      </c>
      <c r="E802" s="18" t="inlineStr">
        <is>
          <t>2008-2014</t>
        </is>
      </c>
      <c r="F802" s="18" t="inlineStr"/>
      <c r="G802" s="18" t="inlineStr">
        <is>
          <t>Coupe</t>
        </is>
      </c>
      <c r="H802" s="18" t="inlineStr">
        <is>
          <t>3XL-0</t>
        </is>
      </c>
      <c r="I802" s="19">
        <f t="array" ref="I802">TRIM(_xlfn.XLOOKUP(非皮卡压缩表[[#This Row],[BACKSIZE]],ALL尺码表[内部尺码],ALL尺码表[分类],""))</f>
        <v/>
      </c>
      <c r="J802" s="19">
        <f t="array" ref="J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2" s="20">
        <f>LEN(非皮卡压缩表[[#This Row],[LONG-TYPE]])</f>
        <v/>
      </c>
      <c r="L802" s="21">
        <f t="array" ref="L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2" s="22">
        <f>LEN(非皮卡压缩表[[#This Row],[TYPE]])</f>
        <v/>
      </c>
      <c r="N802" s="22">
        <f t="array" ref="N802">_xlfn.XLOOKUP(非皮卡压缩表[[#This Row],[MODEL]],MODEL缩写表[长MODEL],MODEL缩写表[短MODEL],非皮卡压缩表[[#This Row],[MODEL]])</f>
        <v/>
      </c>
      <c r="O802" s="22">
        <f>LEN(非皮卡压缩表[[#This Row],[SHORT-MODEL]])</f>
        <v/>
      </c>
      <c r="P802" s="11">
        <f t="array" ref="P802">TRIM(_xlfn.XLOOKUP(非皮卡压缩表[[#This Row],[BACKSIZE]],ALL尺码表[内部尺码],ALL尺码表[通用尺码]))</f>
        <v/>
      </c>
    </row>
    <row r="803">
      <c r="A803" s="17" t="inlineStr">
        <is>
          <t>ALL</t>
        </is>
      </c>
      <c r="B803" s="18" t="inlineStr">
        <is>
          <t>Maserati GranTurismo</t>
        </is>
      </c>
      <c r="C803" s="18" t="inlineStr">
        <is>
          <t>Maserati</t>
        </is>
      </c>
      <c r="D803" s="18" t="inlineStr">
        <is>
          <t>GranTurismo</t>
        </is>
      </c>
      <c r="E803" s="18" t="inlineStr">
        <is>
          <t>2015-2026</t>
        </is>
      </c>
      <c r="F803" s="18" t="inlineStr"/>
      <c r="G803" s="18" t="inlineStr">
        <is>
          <t>Convertible/Coupe</t>
        </is>
      </c>
      <c r="H803" s="18" t="inlineStr">
        <is>
          <t>3XL+0</t>
        </is>
      </c>
      <c r="I803" s="19">
        <f t="array" ref="I803">TRIM(_xlfn.XLOOKUP(非皮卡压缩表[[#This Row],[BACKSIZE]],ALL尺码表[内部尺码],ALL尺码表[分类],""))</f>
        <v/>
      </c>
      <c r="J803" s="19">
        <f t="array" ref="J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3" s="20">
        <f>LEN(非皮卡压缩表[[#This Row],[LONG-TYPE]])</f>
        <v/>
      </c>
      <c r="L803" s="21">
        <f t="array" ref="L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3" s="22">
        <f>LEN(非皮卡压缩表[[#This Row],[TYPE]])</f>
        <v/>
      </c>
      <c r="N803" s="22">
        <f t="array" ref="N803">_xlfn.XLOOKUP(非皮卡压缩表[[#This Row],[MODEL]],MODEL缩写表[长MODEL],MODEL缩写表[短MODEL],非皮卡压缩表[[#This Row],[MODEL]])</f>
        <v/>
      </c>
      <c r="O803" s="22">
        <f>LEN(非皮卡压缩表[[#This Row],[SHORT-MODEL]])</f>
        <v/>
      </c>
      <c r="P803" s="11">
        <f t="array" ref="P803">TRIM(_xlfn.XLOOKUP(非皮卡压缩表[[#This Row],[BACKSIZE]],ALL尺码表[内部尺码],ALL尺码表[通用尺码]))</f>
        <v/>
      </c>
    </row>
    <row r="804">
      <c r="A804" s="17" t="inlineStr">
        <is>
          <t>ALL</t>
        </is>
      </c>
      <c r="B804" s="18" t="inlineStr">
        <is>
          <t>Maserati Grecale</t>
        </is>
      </c>
      <c r="C804" s="18" t="inlineStr">
        <is>
          <t>Maserati</t>
        </is>
      </c>
      <c r="D804" s="18" t="inlineStr">
        <is>
          <t>Grecale</t>
        </is>
      </c>
      <c r="E804" s="18" t="inlineStr">
        <is>
          <t>2023-2026</t>
        </is>
      </c>
      <c r="F804" s="18" t="inlineStr"/>
      <c r="G804" s="18" t="inlineStr">
        <is>
          <t>SUV</t>
        </is>
      </c>
      <c r="H804" s="18" t="inlineStr">
        <is>
          <t>YXL</t>
        </is>
      </c>
      <c r="I804" s="19">
        <f t="array" ref="I804">TRIM(_xlfn.XLOOKUP(非皮卡压缩表[[#This Row],[BACKSIZE]],ALL尺码表[内部尺码],ALL尺码表[分类],""))</f>
        <v/>
      </c>
      <c r="J804" s="19">
        <f t="array" ref="J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4" s="20">
        <f>LEN(非皮卡压缩表[[#This Row],[LONG-TYPE]])</f>
        <v/>
      </c>
      <c r="L804" s="21">
        <f t="array" ref="L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4" s="22">
        <f>LEN(非皮卡压缩表[[#This Row],[TYPE]])</f>
        <v/>
      </c>
      <c r="N804" s="22">
        <f t="array" ref="N804">_xlfn.XLOOKUP(非皮卡压缩表[[#This Row],[MODEL]],MODEL缩写表[长MODEL],MODEL缩写表[短MODEL],非皮卡压缩表[[#This Row],[MODEL]])</f>
        <v/>
      </c>
      <c r="O804" s="22">
        <f>LEN(非皮卡压缩表[[#This Row],[SHORT-MODEL]])</f>
        <v/>
      </c>
      <c r="P804" s="11">
        <f t="array" ref="P804">TRIM(_xlfn.XLOOKUP(非皮卡压缩表[[#This Row],[BACKSIZE]],ALL尺码表[内部尺码],ALL尺码表[通用尺码]))</f>
        <v/>
      </c>
    </row>
    <row r="805">
      <c r="A805" s="17" t="inlineStr">
        <is>
          <t>ALL</t>
        </is>
      </c>
      <c r="B805" s="18" t="inlineStr">
        <is>
          <t>Maserati Levante</t>
        </is>
      </c>
      <c r="C805" s="18" t="inlineStr">
        <is>
          <t>Maserati</t>
        </is>
      </c>
      <c r="D805" s="18" t="inlineStr">
        <is>
          <t>Levante</t>
        </is>
      </c>
      <c r="E805" s="18" t="inlineStr">
        <is>
          <t>2017-2024</t>
        </is>
      </c>
      <c r="F805" s="18" t="inlineStr"/>
      <c r="G805" s="18" t="inlineStr">
        <is>
          <t>SUV</t>
        </is>
      </c>
      <c r="H805" s="18" t="inlineStr">
        <is>
          <t>YXL</t>
        </is>
      </c>
      <c r="I805" s="19">
        <f t="array" ref="I805">TRIM(_xlfn.XLOOKUP(非皮卡压缩表[[#This Row],[BACKSIZE]],ALL尺码表[内部尺码],ALL尺码表[分类],""))</f>
        <v/>
      </c>
      <c r="J805" s="19">
        <f t="array" ref="J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5" s="20">
        <f>LEN(非皮卡压缩表[[#This Row],[LONG-TYPE]])</f>
        <v/>
      </c>
      <c r="L805" s="21">
        <f t="array" ref="L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5" s="22">
        <f>LEN(非皮卡压缩表[[#This Row],[TYPE]])</f>
        <v/>
      </c>
      <c r="N805" s="22">
        <f t="array" ref="N805">_xlfn.XLOOKUP(非皮卡压缩表[[#This Row],[MODEL]],MODEL缩写表[长MODEL],MODEL缩写表[短MODEL],非皮卡压缩表[[#This Row],[MODEL]])</f>
        <v/>
      </c>
      <c r="O805" s="22">
        <f>LEN(非皮卡压缩表[[#This Row],[SHORT-MODEL]])</f>
        <v/>
      </c>
      <c r="P805" s="11">
        <f t="array" ref="P805">TRIM(_xlfn.XLOOKUP(非皮卡压缩表[[#This Row],[BACKSIZE]],ALL尺码表[内部尺码],ALL尺码表[通用尺码]))</f>
        <v/>
      </c>
    </row>
    <row r="806">
      <c r="A806" s="17" t="inlineStr">
        <is>
          <t>ALL</t>
        </is>
      </c>
      <c r="B806" s="18" t="inlineStr">
        <is>
          <t>Maserati MC20</t>
        </is>
      </c>
      <c r="C806" s="18" t="inlineStr">
        <is>
          <t>Maserati</t>
        </is>
      </c>
      <c r="D806" s="18" t="inlineStr">
        <is>
          <t>MC20</t>
        </is>
      </c>
      <c r="E806" s="18" t="inlineStr">
        <is>
          <t>2022-2025</t>
        </is>
      </c>
      <c r="F806" s="18" t="inlineStr">
        <is>
          <t>Incl: Cielo</t>
        </is>
      </c>
      <c r="G806" s="18" t="inlineStr">
        <is>
          <t>Convertible/Coupe</t>
        </is>
      </c>
      <c r="H806" s="18" t="inlineStr">
        <is>
          <t>3L-0</t>
        </is>
      </c>
      <c r="I806" s="19">
        <f t="array" ref="I806">TRIM(_xlfn.XLOOKUP(非皮卡压缩表[[#This Row],[BACKSIZE]],ALL尺码表[内部尺码],ALL尺码表[分类],""))</f>
        <v/>
      </c>
      <c r="J806" s="19">
        <f t="array" ref="J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6" s="20">
        <f>LEN(非皮卡压缩表[[#This Row],[LONG-TYPE]])</f>
        <v/>
      </c>
      <c r="L806" s="21">
        <f t="array" ref="L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6" s="22">
        <f>LEN(非皮卡压缩表[[#This Row],[TYPE]])</f>
        <v/>
      </c>
      <c r="N806" s="22">
        <f t="array" ref="N806">_xlfn.XLOOKUP(非皮卡压缩表[[#This Row],[MODEL]],MODEL缩写表[长MODEL],MODEL缩写表[短MODEL],非皮卡压缩表[[#This Row],[MODEL]])</f>
        <v/>
      </c>
      <c r="O806" s="22">
        <f>LEN(非皮卡压缩表[[#This Row],[SHORT-MODEL]])</f>
        <v/>
      </c>
      <c r="P806" s="11">
        <f t="array" ref="P806">TRIM(_xlfn.XLOOKUP(非皮卡压缩表[[#This Row],[BACKSIZE]],ALL尺码表[内部尺码],ALL尺码表[通用尺码]))</f>
        <v/>
      </c>
    </row>
    <row r="807">
      <c r="A807" s="17" t="inlineStr">
        <is>
          <t>ALL</t>
        </is>
      </c>
      <c r="B807" s="18" t="inlineStr">
        <is>
          <t>Maserati Quattroporte</t>
        </is>
      </c>
      <c r="C807" s="18" t="inlineStr">
        <is>
          <t>Maserati</t>
        </is>
      </c>
      <c r="D807" s="18" t="inlineStr">
        <is>
          <t>Quattroporte</t>
        </is>
      </c>
      <c r="E807" s="18" t="inlineStr">
        <is>
          <t>2005-2024</t>
        </is>
      </c>
      <c r="F807" s="18" t="inlineStr"/>
      <c r="G807" s="18" t="inlineStr">
        <is>
          <t>Sedan</t>
        </is>
      </c>
      <c r="H807" s="18" t="inlineStr">
        <is>
          <t>3XXL</t>
        </is>
      </c>
      <c r="I807" s="19">
        <f t="array" ref="I807">TRIM(_xlfn.XLOOKUP(非皮卡压缩表[[#This Row],[BACKSIZE]],ALL尺码表[内部尺码],ALL尺码表[分类],""))</f>
        <v/>
      </c>
      <c r="J807" s="19">
        <f t="array" ref="J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7" s="20">
        <f>LEN(非皮卡压缩表[[#This Row],[LONG-TYPE]])</f>
        <v/>
      </c>
      <c r="L807" s="21">
        <f t="array" ref="L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7" s="22">
        <f>LEN(非皮卡压缩表[[#This Row],[TYPE]])</f>
        <v/>
      </c>
      <c r="N807" s="22">
        <f t="array" ref="N807">_xlfn.XLOOKUP(非皮卡压缩表[[#This Row],[MODEL]],MODEL缩写表[长MODEL],MODEL缩写表[短MODEL],非皮卡压缩表[[#This Row],[MODEL]])</f>
        <v/>
      </c>
      <c r="O807" s="22">
        <f>LEN(非皮卡压缩表[[#This Row],[SHORT-MODEL]])</f>
        <v/>
      </c>
      <c r="P807" s="11">
        <f t="array" ref="P807">TRIM(_xlfn.XLOOKUP(非皮卡压缩表[[#This Row],[BACKSIZE]],ALL尺码表[内部尺码],ALL尺码表[通用尺码]))</f>
        <v/>
      </c>
    </row>
    <row r="808">
      <c r="A808" s="17" t="inlineStr">
        <is>
          <t>ALL</t>
        </is>
      </c>
      <c r="B808" s="18" t="inlineStr">
        <is>
          <t>Mazda 2</t>
        </is>
      </c>
      <c r="C808" s="18" t="inlineStr">
        <is>
          <t>Mazda</t>
        </is>
      </c>
      <c r="D808" s="18" t="inlineStr">
        <is>
          <t>2</t>
        </is>
      </c>
      <c r="E808" s="18" t="inlineStr">
        <is>
          <t>2011-2014</t>
        </is>
      </c>
      <c r="F808" s="18" t="inlineStr"/>
      <c r="G808" s="18" t="inlineStr">
        <is>
          <t>Hatchback</t>
        </is>
      </c>
      <c r="H808" s="18" t="inlineStr">
        <is>
          <t>2M</t>
        </is>
      </c>
      <c r="I808" s="19">
        <f t="array" ref="I808">TRIM(_xlfn.XLOOKUP(非皮卡压缩表[[#This Row],[BACKSIZE]],ALL尺码表[内部尺码],ALL尺码表[分类],""))</f>
        <v/>
      </c>
      <c r="J808" s="19">
        <f t="array" ref="J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8" s="20">
        <f>LEN(非皮卡压缩表[[#This Row],[LONG-TYPE]])</f>
        <v/>
      </c>
      <c r="L808" s="21">
        <f t="array" ref="L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8" s="22">
        <f>LEN(非皮卡压缩表[[#This Row],[TYPE]])</f>
        <v/>
      </c>
      <c r="N808" s="22">
        <f t="array" ref="N808">_xlfn.XLOOKUP(非皮卡压缩表[[#This Row],[MODEL]],MODEL缩写表[长MODEL],MODEL缩写表[短MODEL],非皮卡压缩表[[#This Row],[MODEL]])</f>
        <v/>
      </c>
      <c r="O808" s="22">
        <f>LEN(非皮卡压缩表[[#This Row],[SHORT-MODEL]])</f>
        <v/>
      </c>
      <c r="P808" s="11">
        <f t="array" ref="P808">TRIM(_xlfn.XLOOKUP(非皮卡压缩表[[#This Row],[BACKSIZE]],ALL尺码表[内部尺码],ALL尺码表[通用尺码]))</f>
        <v/>
      </c>
    </row>
    <row r="809">
      <c r="A809" s="17" t="inlineStr">
        <is>
          <t>ALL</t>
        </is>
      </c>
      <c r="B809" s="18" t="inlineStr">
        <is>
          <t>Mazda 3</t>
        </is>
      </c>
      <c r="C809" s="18" t="inlineStr">
        <is>
          <t>Mazda</t>
        </is>
      </c>
      <c r="D809" s="18" t="inlineStr">
        <is>
          <t>3</t>
        </is>
      </c>
      <c r="E809" s="18" t="inlineStr">
        <is>
          <t>2004-2006</t>
        </is>
      </c>
      <c r="F809" s="18" t="inlineStr"/>
      <c r="G809" s="18" t="inlineStr">
        <is>
          <t>Hatchback</t>
        </is>
      </c>
      <c r="H809" s="18" t="inlineStr">
        <is>
          <t>2L+</t>
        </is>
      </c>
      <c r="I809" s="19">
        <f t="array" ref="I809">TRIM(_xlfn.XLOOKUP(非皮卡压缩表[[#This Row],[BACKSIZE]],ALL尺码表[内部尺码],ALL尺码表[分类],""))</f>
        <v/>
      </c>
      <c r="J809" s="19">
        <f t="array" ref="J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9" s="20">
        <f>LEN(非皮卡压缩表[[#This Row],[LONG-TYPE]])</f>
        <v/>
      </c>
      <c r="L809" s="21">
        <f t="array" ref="L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9" s="22">
        <f>LEN(非皮卡压缩表[[#This Row],[TYPE]])</f>
        <v/>
      </c>
      <c r="N809" s="22">
        <f t="array" ref="N809">_xlfn.XLOOKUP(非皮卡压缩表[[#This Row],[MODEL]],MODEL缩写表[长MODEL],MODEL缩写表[短MODEL],非皮卡压缩表[[#This Row],[MODEL]])</f>
        <v/>
      </c>
      <c r="O809" s="22">
        <f>LEN(非皮卡压缩表[[#This Row],[SHORT-MODEL]])</f>
        <v/>
      </c>
      <c r="P809" s="11">
        <f t="array" ref="P809">TRIM(_xlfn.XLOOKUP(非皮卡压缩表[[#This Row],[BACKSIZE]],ALL尺码表[内部尺码],ALL尺码表[通用尺码]))</f>
        <v/>
      </c>
    </row>
    <row r="810">
      <c r="A810" s="17" t="inlineStr">
        <is>
          <t>ALL</t>
        </is>
      </c>
      <c r="B810" s="18" t="inlineStr">
        <is>
          <t>Mazda 3</t>
        </is>
      </c>
      <c r="C810" s="18" t="inlineStr">
        <is>
          <t>Mazda</t>
        </is>
      </c>
      <c r="D810" s="18" t="inlineStr">
        <is>
          <t>3</t>
        </is>
      </c>
      <c r="E810" s="18" t="inlineStr">
        <is>
          <t>2004-2026</t>
        </is>
      </c>
      <c r="F810" s="18" t="inlineStr"/>
      <c r="G810" s="18" t="inlineStr">
        <is>
          <t>Sedan</t>
        </is>
      </c>
      <c r="H810" s="18" t="inlineStr">
        <is>
          <t>3L</t>
        </is>
      </c>
      <c r="I810" s="19">
        <f t="array" ref="I810">TRIM(_xlfn.XLOOKUP(非皮卡压缩表[[#This Row],[BACKSIZE]],ALL尺码表[内部尺码],ALL尺码表[分类],""))</f>
        <v/>
      </c>
      <c r="J810" s="19">
        <f t="array" ref="J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0" s="20">
        <f>LEN(非皮卡压缩表[[#This Row],[LONG-TYPE]])</f>
        <v/>
      </c>
      <c r="L810" s="21">
        <f t="array" ref="L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0" s="22">
        <f>LEN(非皮卡压缩表[[#This Row],[TYPE]])</f>
        <v/>
      </c>
      <c r="N810" s="22">
        <f t="array" ref="N810">_xlfn.XLOOKUP(非皮卡压缩表[[#This Row],[MODEL]],MODEL缩写表[长MODEL],MODEL缩写表[短MODEL],非皮卡压缩表[[#This Row],[MODEL]])</f>
        <v/>
      </c>
      <c r="O810" s="22">
        <f>LEN(非皮卡压缩表[[#This Row],[SHORT-MODEL]])</f>
        <v/>
      </c>
      <c r="P810" s="11">
        <f t="array" ref="P810">TRIM(_xlfn.XLOOKUP(非皮卡压缩表[[#This Row],[BACKSIZE]],ALL尺码表[内部尺码],ALL尺码表[通用尺码]))</f>
        <v/>
      </c>
    </row>
    <row r="811">
      <c r="A811" s="17" t="inlineStr">
        <is>
          <t>ALL</t>
        </is>
      </c>
      <c r="B811" s="18" t="inlineStr">
        <is>
          <t>Mazda 3</t>
        </is>
      </c>
      <c r="C811" s="18" t="inlineStr">
        <is>
          <t>Mazda</t>
        </is>
      </c>
      <c r="D811" s="18" t="inlineStr">
        <is>
          <t>3</t>
        </is>
      </c>
      <c r="E811" s="18" t="inlineStr">
        <is>
          <t>2007-2009</t>
        </is>
      </c>
      <c r="F811" s="18" t="inlineStr"/>
      <c r="G811" s="18" t="inlineStr">
        <is>
          <t>Hatchback</t>
        </is>
      </c>
      <c r="H811" s="18" t="inlineStr">
        <is>
          <t>2XL</t>
        </is>
      </c>
      <c r="I811" s="19">
        <f t="array" ref="I811">TRIM(_xlfn.XLOOKUP(非皮卡压缩表[[#This Row],[BACKSIZE]],ALL尺码表[内部尺码],ALL尺码表[分类],""))</f>
        <v/>
      </c>
      <c r="J811" s="19">
        <f t="array" ref="J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1" s="20">
        <f>LEN(非皮卡压缩表[[#This Row],[LONG-TYPE]])</f>
        <v/>
      </c>
      <c r="L811" s="21">
        <f t="array" ref="L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1" s="22">
        <f>LEN(非皮卡压缩表[[#This Row],[TYPE]])</f>
        <v/>
      </c>
      <c r="N811" s="22">
        <f t="array" ref="N811">_xlfn.XLOOKUP(非皮卡压缩表[[#This Row],[MODEL]],MODEL缩写表[长MODEL],MODEL缩写表[短MODEL],非皮卡压缩表[[#This Row],[MODEL]])</f>
        <v/>
      </c>
      <c r="O811" s="22">
        <f>LEN(非皮卡压缩表[[#This Row],[SHORT-MODEL]])</f>
        <v/>
      </c>
      <c r="P811" s="11">
        <f t="array" ref="P811">TRIM(_xlfn.XLOOKUP(非皮卡压缩表[[#This Row],[BACKSIZE]],ALL尺码表[内部尺码],ALL尺码表[通用尺码]))</f>
        <v/>
      </c>
    </row>
    <row r="812">
      <c r="A812" s="17" t="inlineStr">
        <is>
          <t>ALL</t>
        </is>
      </c>
      <c r="B812" s="18" t="inlineStr">
        <is>
          <t>Mazda 3</t>
        </is>
      </c>
      <c r="C812" s="18" t="inlineStr">
        <is>
          <t>Mazda</t>
        </is>
      </c>
      <c r="D812" s="18" t="inlineStr">
        <is>
          <t>3</t>
        </is>
      </c>
      <c r="E812" s="18" t="inlineStr">
        <is>
          <t>2010-2026</t>
        </is>
      </c>
      <c r="F812" s="18" t="inlineStr"/>
      <c r="G812" s="18" t="inlineStr">
        <is>
          <t>Hatchback</t>
        </is>
      </c>
      <c r="H812" s="18" t="inlineStr">
        <is>
          <t>2L+</t>
        </is>
      </c>
      <c r="I812" s="19">
        <f t="array" ref="I812">TRIM(_xlfn.XLOOKUP(非皮卡压缩表[[#This Row],[BACKSIZE]],ALL尺码表[内部尺码],ALL尺码表[分类],""))</f>
        <v/>
      </c>
      <c r="J812" s="19">
        <f t="array" ref="J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2" s="20">
        <f>LEN(非皮卡压缩表[[#This Row],[LONG-TYPE]])</f>
        <v/>
      </c>
      <c r="L812" s="21">
        <f t="array" ref="L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2" s="22">
        <f>LEN(非皮卡压缩表[[#This Row],[TYPE]])</f>
        <v/>
      </c>
      <c r="N812" s="22">
        <f t="array" ref="N812">_xlfn.XLOOKUP(非皮卡压缩表[[#This Row],[MODEL]],MODEL缩写表[长MODEL],MODEL缩写表[短MODEL],非皮卡压缩表[[#This Row],[MODEL]])</f>
        <v/>
      </c>
      <c r="O812" s="22">
        <f>LEN(非皮卡压缩表[[#This Row],[SHORT-MODEL]])</f>
        <v/>
      </c>
      <c r="P812" s="11">
        <f t="array" ref="P812">TRIM(_xlfn.XLOOKUP(非皮卡压缩表[[#This Row],[BACKSIZE]],ALL尺码表[内部尺码],ALL尺码表[通用尺码]))</f>
        <v/>
      </c>
    </row>
    <row r="813">
      <c r="A813" s="17" t="inlineStr">
        <is>
          <t>ALL</t>
        </is>
      </c>
      <c r="B813" s="18" t="inlineStr">
        <is>
          <t>Mazda 5</t>
        </is>
      </c>
      <c r="C813" s="18" t="inlineStr">
        <is>
          <t>Mazda</t>
        </is>
      </c>
      <c r="D813" s="18" t="inlineStr">
        <is>
          <t>5</t>
        </is>
      </c>
      <c r="E813" s="18" t="inlineStr">
        <is>
          <t>2006-2011</t>
        </is>
      </c>
      <c r="F813" s="18" t="inlineStr"/>
      <c r="G813" s="18" t="inlineStr">
        <is>
          <t>SUV</t>
        </is>
      </c>
      <c r="H813" s="18" t="inlineStr">
        <is>
          <t>YL</t>
        </is>
      </c>
      <c r="I813" s="19">
        <f t="array" ref="I813">TRIM(_xlfn.XLOOKUP(非皮卡压缩表[[#This Row],[BACKSIZE]],ALL尺码表[内部尺码],ALL尺码表[分类],""))</f>
        <v/>
      </c>
      <c r="J813" s="19">
        <f t="array" ref="J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3" s="20">
        <f>LEN(非皮卡压缩表[[#This Row],[LONG-TYPE]])</f>
        <v/>
      </c>
      <c r="L813" s="21">
        <f t="array" ref="L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3" s="22">
        <f>LEN(非皮卡压缩表[[#This Row],[TYPE]])</f>
        <v/>
      </c>
      <c r="N813" s="22">
        <f t="array" ref="N813">_xlfn.XLOOKUP(非皮卡压缩表[[#This Row],[MODEL]],MODEL缩写表[长MODEL],MODEL缩写表[短MODEL],非皮卡压缩表[[#This Row],[MODEL]])</f>
        <v/>
      </c>
      <c r="O813" s="22">
        <f>LEN(非皮卡压缩表[[#This Row],[SHORT-MODEL]])</f>
        <v/>
      </c>
      <c r="P813" s="11">
        <f t="array" ref="P813">TRIM(_xlfn.XLOOKUP(非皮卡压缩表[[#This Row],[BACKSIZE]],ALL尺码表[内部尺码],ALL尺码表[通用尺码]))</f>
        <v/>
      </c>
    </row>
    <row r="814">
      <c r="A814" s="17" t="inlineStr">
        <is>
          <t>ALL</t>
        </is>
      </c>
      <c r="B814" s="18" t="inlineStr">
        <is>
          <t>Mazda 5</t>
        </is>
      </c>
      <c r="C814" s="18" t="inlineStr">
        <is>
          <t>Mazda</t>
        </is>
      </c>
      <c r="D814" s="18" t="inlineStr">
        <is>
          <t>5</t>
        </is>
      </c>
      <c r="E814" s="18" t="inlineStr">
        <is>
          <t>2012-2015</t>
        </is>
      </c>
      <c r="F814" s="18" t="inlineStr"/>
      <c r="G814" s="18" t="inlineStr">
        <is>
          <t>SUV</t>
        </is>
      </c>
      <c r="H814" s="18" t="inlineStr">
        <is>
          <t>YM+</t>
        </is>
      </c>
      <c r="I814" s="19">
        <f t="array" ref="I814">TRIM(_xlfn.XLOOKUP(非皮卡压缩表[[#This Row],[BACKSIZE]],ALL尺码表[内部尺码],ALL尺码表[分类],""))</f>
        <v/>
      </c>
      <c r="J814" s="19">
        <f t="array" ref="J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4" s="20">
        <f>LEN(非皮卡压缩表[[#This Row],[LONG-TYPE]])</f>
        <v/>
      </c>
      <c r="L814" s="21">
        <f t="array" ref="L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4" s="22">
        <f>LEN(非皮卡压缩表[[#This Row],[TYPE]])</f>
        <v/>
      </c>
      <c r="N814" s="22">
        <f t="array" ref="N814">_xlfn.XLOOKUP(非皮卡压缩表[[#This Row],[MODEL]],MODEL缩写表[长MODEL],MODEL缩写表[短MODEL],非皮卡压缩表[[#This Row],[MODEL]])</f>
        <v/>
      </c>
      <c r="O814" s="22">
        <f>LEN(非皮卡压缩表[[#This Row],[SHORT-MODEL]])</f>
        <v/>
      </c>
      <c r="P814" s="11">
        <f t="array" ref="P814">TRIM(_xlfn.XLOOKUP(非皮卡压缩表[[#This Row],[BACKSIZE]],ALL尺码表[内部尺码],ALL尺码表[通用尺码]))</f>
        <v/>
      </c>
    </row>
    <row r="815">
      <c r="A815" s="17" t="inlineStr">
        <is>
          <t>ALL</t>
        </is>
      </c>
      <c r="B815" s="18" t="inlineStr">
        <is>
          <t>Mazda 6</t>
        </is>
      </c>
      <c r="C815" s="18" t="inlineStr">
        <is>
          <t>Mazda</t>
        </is>
      </c>
      <c r="D815" s="18" t="inlineStr">
        <is>
          <t>6</t>
        </is>
      </c>
      <c r="E815" s="18" t="inlineStr">
        <is>
          <t>2003-2008</t>
        </is>
      </c>
      <c r="F815" s="18" t="inlineStr"/>
      <c r="G815" s="18" t="inlineStr">
        <is>
          <t>Hatchback/Wagon</t>
        </is>
      </c>
      <c r="H815" s="18" t="inlineStr">
        <is>
          <t>2XL</t>
        </is>
      </c>
      <c r="I815" s="19">
        <f t="array" ref="I815">TRIM(_xlfn.XLOOKUP(非皮卡压缩表[[#This Row],[BACKSIZE]],ALL尺码表[内部尺码],ALL尺码表[分类],""))</f>
        <v/>
      </c>
      <c r="J815" s="19">
        <f t="array" ref="J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5" s="20">
        <f>LEN(非皮卡压缩表[[#This Row],[LONG-TYPE]])</f>
        <v/>
      </c>
      <c r="L815" s="21">
        <f t="array" ref="L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5" s="22">
        <f>LEN(非皮卡压缩表[[#This Row],[TYPE]])</f>
        <v/>
      </c>
      <c r="N815" s="22">
        <f t="array" ref="N815">_xlfn.XLOOKUP(非皮卡压缩表[[#This Row],[MODEL]],MODEL缩写表[长MODEL],MODEL缩写表[短MODEL],非皮卡压缩表[[#This Row],[MODEL]])</f>
        <v/>
      </c>
      <c r="O815" s="22">
        <f>LEN(非皮卡压缩表[[#This Row],[SHORT-MODEL]])</f>
        <v/>
      </c>
      <c r="P815" s="11">
        <f t="array" ref="P815">TRIM(_xlfn.XLOOKUP(非皮卡压缩表[[#This Row],[BACKSIZE]],ALL尺码表[内部尺码],ALL尺码表[通用尺码]))</f>
        <v/>
      </c>
    </row>
    <row r="816">
      <c r="A816" s="17" t="inlineStr">
        <is>
          <t>ALL</t>
        </is>
      </c>
      <c r="B816" s="18" t="inlineStr">
        <is>
          <t>Mazda 6</t>
        </is>
      </c>
      <c r="C816" s="18" t="inlineStr">
        <is>
          <t>Mazda</t>
        </is>
      </c>
      <c r="D816" s="18" t="inlineStr">
        <is>
          <t>6</t>
        </is>
      </c>
      <c r="E816" s="18" t="inlineStr">
        <is>
          <t>2009-2013</t>
        </is>
      </c>
      <c r="F816" s="18" t="inlineStr"/>
      <c r="G816" s="18" t="inlineStr">
        <is>
          <t>Sedan</t>
        </is>
      </c>
      <c r="H816" s="18" t="inlineStr">
        <is>
          <t>3XXL</t>
        </is>
      </c>
      <c r="I816" s="19">
        <f t="array" ref="I816">TRIM(_xlfn.XLOOKUP(非皮卡压缩表[[#This Row],[BACKSIZE]],ALL尺码表[内部尺码],ALL尺码表[分类],""))</f>
        <v/>
      </c>
      <c r="J816" s="19">
        <f t="array" ref="J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6" s="20">
        <f>LEN(非皮卡压缩表[[#This Row],[LONG-TYPE]])</f>
        <v/>
      </c>
      <c r="L816" s="21">
        <f t="array" ref="L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6" s="22">
        <f>LEN(非皮卡压缩表[[#This Row],[TYPE]])</f>
        <v/>
      </c>
      <c r="N816" s="22">
        <f t="array" ref="N816">_xlfn.XLOOKUP(非皮卡压缩表[[#This Row],[MODEL]],MODEL缩写表[长MODEL],MODEL缩写表[短MODEL],非皮卡压缩表[[#This Row],[MODEL]])</f>
        <v/>
      </c>
      <c r="O816" s="22">
        <f>LEN(非皮卡压缩表[[#This Row],[SHORT-MODEL]])</f>
        <v/>
      </c>
      <c r="P816" s="11">
        <f t="array" ref="P816">TRIM(_xlfn.XLOOKUP(非皮卡压缩表[[#This Row],[BACKSIZE]],ALL尺码表[内部尺码],ALL尺码表[通用尺码]))</f>
        <v/>
      </c>
    </row>
    <row r="817">
      <c r="A817" s="17" t="inlineStr">
        <is>
          <t>ALL</t>
        </is>
      </c>
      <c r="B817" s="18" t="inlineStr">
        <is>
          <t>Mazda 6</t>
        </is>
      </c>
      <c r="C817" s="18" t="inlineStr">
        <is>
          <t>Mazda</t>
        </is>
      </c>
      <c r="D817" s="18" t="inlineStr">
        <is>
          <t>6</t>
        </is>
      </c>
      <c r="E817" s="18" t="inlineStr">
        <is>
          <t>2014-2017</t>
        </is>
      </c>
      <c r="F817" s="18" t="inlineStr"/>
      <c r="G817" s="18" t="inlineStr">
        <is>
          <t>Sedan</t>
        </is>
      </c>
      <c r="H817" s="18" t="inlineStr">
        <is>
          <t>3XL</t>
        </is>
      </c>
      <c r="I817" s="19">
        <f t="array" ref="I817">TRIM(_xlfn.XLOOKUP(非皮卡压缩表[[#This Row],[BACKSIZE]],ALL尺码表[内部尺码],ALL尺码表[分类],""))</f>
        <v/>
      </c>
      <c r="J817" s="19">
        <f t="array" ref="J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7" s="20">
        <f>LEN(非皮卡压缩表[[#This Row],[LONG-TYPE]])</f>
        <v/>
      </c>
      <c r="L817" s="21">
        <f t="array" ref="L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7" s="22">
        <f>LEN(非皮卡压缩表[[#This Row],[TYPE]])</f>
        <v/>
      </c>
      <c r="N817" s="22">
        <f t="array" ref="N817">_xlfn.XLOOKUP(非皮卡压缩表[[#This Row],[MODEL]],MODEL缩写表[长MODEL],MODEL缩写表[短MODEL],非皮卡压缩表[[#This Row],[MODEL]])</f>
        <v/>
      </c>
      <c r="O817" s="22">
        <f>LEN(非皮卡压缩表[[#This Row],[SHORT-MODEL]])</f>
        <v/>
      </c>
      <c r="P817" s="11">
        <f t="array" ref="P817">TRIM(_xlfn.XLOOKUP(非皮卡压缩表[[#This Row],[BACKSIZE]],ALL尺码表[内部尺码],ALL尺码表[通用尺码]))</f>
        <v/>
      </c>
    </row>
    <row r="818">
      <c r="A818" s="17" t="inlineStr">
        <is>
          <t>ALL</t>
        </is>
      </c>
      <c r="B818" s="18" t="inlineStr">
        <is>
          <t>Mazda 6</t>
        </is>
      </c>
      <c r="C818" s="18" t="inlineStr">
        <is>
          <t>Mazda</t>
        </is>
      </c>
      <c r="D818" s="18" t="inlineStr">
        <is>
          <t>6</t>
        </is>
      </c>
      <c r="E818" s="18" t="inlineStr">
        <is>
          <t>2018-2021</t>
        </is>
      </c>
      <c r="F818" s="18" t="inlineStr"/>
      <c r="G818" s="18" t="inlineStr">
        <is>
          <t>Sedan</t>
        </is>
      </c>
      <c r="H818" s="18" t="inlineStr">
        <is>
          <t>3XXL</t>
        </is>
      </c>
      <c r="I818" s="19">
        <f t="array" ref="I818">TRIM(_xlfn.XLOOKUP(非皮卡压缩表[[#This Row],[BACKSIZE]],ALL尺码表[内部尺码],ALL尺码表[分类],""))</f>
        <v/>
      </c>
      <c r="J818" s="19">
        <f t="array" ref="J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8" s="20">
        <f>LEN(非皮卡压缩表[[#This Row],[LONG-TYPE]])</f>
        <v/>
      </c>
      <c r="L818" s="21">
        <f t="array" ref="L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8" s="22">
        <f>LEN(非皮卡压缩表[[#This Row],[TYPE]])</f>
        <v/>
      </c>
      <c r="N818" s="22">
        <f t="array" ref="N818">_xlfn.XLOOKUP(非皮卡压缩表[[#This Row],[MODEL]],MODEL缩写表[长MODEL],MODEL缩写表[短MODEL],非皮卡压缩表[[#This Row],[MODEL]])</f>
        <v/>
      </c>
      <c r="O818" s="22">
        <f>LEN(非皮卡压缩表[[#This Row],[SHORT-MODEL]])</f>
        <v/>
      </c>
      <c r="P818" s="11">
        <f t="array" ref="P818">TRIM(_xlfn.XLOOKUP(非皮卡压缩表[[#This Row],[BACKSIZE]],ALL尺码表[内部尺码],ALL尺码表[通用尺码]))</f>
        <v/>
      </c>
    </row>
    <row r="819">
      <c r="A819" s="17" t="inlineStr">
        <is>
          <t>ALL</t>
        </is>
      </c>
      <c r="B819" s="18" t="inlineStr">
        <is>
          <t>Mazda CX-3</t>
        </is>
      </c>
      <c r="C819" s="18" t="inlineStr">
        <is>
          <t>Mazda</t>
        </is>
      </c>
      <c r="D819" s="18" t="inlineStr">
        <is>
          <t>CX-3</t>
        </is>
      </c>
      <c r="E819" s="18" t="inlineStr">
        <is>
          <t>2016-2021</t>
        </is>
      </c>
      <c r="F819" s="18" t="inlineStr"/>
      <c r="G819" s="18" t="inlineStr">
        <is>
          <t>SUV</t>
        </is>
      </c>
      <c r="H819" s="18" t="inlineStr">
        <is>
          <t>YM+</t>
        </is>
      </c>
      <c r="I819" s="19">
        <f t="array" ref="I819">TRIM(_xlfn.XLOOKUP(非皮卡压缩表[[#This Row],[BACKSIZE]],ALL尺码表[内部尺码],ALL尺码表[分类],""))</f>
        <v/>
      </c>
      <c r="J819" s="19">
        <f t="array" ref="J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9" s="20">
        <f>LEN(非皮卡压缩表[[#This Row],[LONG-TYPE]])</f>
        <v/>
      </c>
      <c r="L819" s="21">
        <f t="array" ref="L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9" s="22">
        <f>LEN(非皮卡压缩表[[#This Row],[TYPE]])</f>
        <v/>
      </c>
      <c r="N819" s="22">
        <f t="array" ref="N819">_xlfn.XLOOKUP(非皮卡压缩表[[#This Row],[MODEL]],MODEL缩写表[长MODEL],MODEL缩写表[短MODEL],非皮卡压缩表[[#This Row],[MODEL]])</f>
        <v/>
      </c>
      <c r="O819" s="22">
        <f>LEN(非皮卡压缩表[[#This Row],[SHORT-MODEL]])</f>
        <v/>
      </c>
      <c r="P819" s="11">
        <f t="array" ref="P819">TRIM(_xlfn.XLOOKUP(非皮卡压缩表[[#This Row],[BACKSIZE]],ALL尺码表[内部尺码],ALL尺码表[通用尺码]))</f>
        <v/>
      </c>
    </row>
    <row r="820">
      <c r="A820" s="17" t="inlineStr">
        <is>
          <t>ALL</t>
        </is>
      </c>
      <c r="B820" s="18" t="inlineStr">
        <is>
          <t>Mazda CX-30</t>
        </is>
      </c>
      <c r="C820" s="18" t="inlineStr">
        <is>
          <t>Mazda</t>
        </is>
      </c>
      <c r="D820" s="18" t="inlineStr">
        <is>
          <t>CX-30</t>
        </is>
      </c>
      <c r="E820" s="18" t="inlineStr">
        <is>
          <t>2020-2026</t>
        </is>
      </c>
      <c r="F820" s="18" t="inlineStr"/>
      <c r="G820" s="18" t="inlineStr">
        <is>
          <t>SUV</t>
        </is>
      </c>
      <c r="H820" s="18" t="inlineStr">
        <is>
          <t>YM+</t>
        </is>
      </c>
      <c r="I820" s="19">
        <f t="array" ref="I820">TRIM(_xlfn.XLOOKUP(非皮卡压缩表[[#This Row],[BACKSIZE]],ALL尺码表[内部尺码],ALL尺码表[分类],""))</f>
        <v/>
      </c>
      <c r="J820" s="19">
        <f t="array" ref="J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0" s="20">
        <f>LEN(非皮卡压缩表[[#This Row],[LONG-TYPE]])</f>
        <v/>
      </c>
      <c r="L820" s="21">
        <f t="array" ref="L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0" s="22">
        <f>LEN(非皮卡压缩表[[#This Row],[TYPE]])</f>
        <v/>
      </c>
      <c r="N820" s="22">
        <f t="array" ref="N820">_xlfn.XLOOKUP(非皮卡压缩表[[#This Row],[MODEL]],MODEL缩写表[长MODEL],MODEL缩写表[短MODEL],非皮卡压缩表[[#This Row],[MODEL]])</f>
        <v/>
      </c>
      <c r="O820" s="22">
        <f>LEN(非皮卡压缩表[[#This Row],[SHORT-MODEL]])</f>
        <v/>
      </c>
      <c r="P820" s="11">
        <f t="array" ref="P820">TRIM(_xlfn.XLOOKUP(非皮卡压缩表[[#This Row],[BACKSIZE]],ALL尺码表[内部尺码],ALL尺码表[通用尺码]))</f>
        <v/>
      </c>
    </row>
    <row r="821">
      <c r="A821" s="17" t="inlineStr">
        <is>
          <t>ALL</t>
        </is>
      </c>
      <c r="B821" s="18" t="inlineStr">
        <is>
          <t>Mazda CX-5</t>
        </is>
      </c>
      <c r="C821" s="18" t="inlineStr">
        <is>
          <t>Mazda</t>
        </is>
      </c>
      <c r="D821" s="18" t="inlineStr">
        <is>
          <t>CX-5</t>
        </is>
      </c>
      <c r="E821" s="18" t="inlineStr">
        <is>
          <t>2013-2025</t>
        </is>
      </c>
      <c r="F821" s="18" t="inlineStr"/>
      <c r="G821" s="18" t="inlineStr">
        <is>
          <t>SUV</t>
        </is>
      </c>
      <c r="H821" s="18" t="inlineStr">
        <is>
          <t>YM+</t>
        </is>
      </c>
      <c r="I821" s="19">
        <f t="array" ref="I821">TRIM(_xlfn.XLOOKUP(非皮卡压缩表[[#This Row],[BACKSIZE]],ALL尺码表[内部尺码],ALL尺码表[分类],""))</f>
        <v/>
      </c>
      <c r="J821" s="19">
        <f t="array" ref="J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1" s="20">
        <f>LEN(非皮卡压缩表[[#This Row],[LONG-TYPE]])</f>
        <v/>
      </c>
      <c r="L821" s="21">
        <f t="array" ref="L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1" s="22">
        <f>LEN(非皮卡压缩表[[#This Row],[TYPE]])</f>
        <v/>
      </c>
      <c r="N821" s="22">
        <f t="array" ref="N821">_xlfn.XLOOKUP(非皮卡压缩表[[#This Row],[MODEL]],MODEL缩写表[长MODEL],MODEL缩写表[短MODEL],非皮卡压缩表[[#This Row],[MODEL]])</f>
        <v/>
      </c>
      <c r="O821" s="22">
        <f>LEN(非皮卡压缩表[[#This Row],[SHORT-MODEL]])</f>
        <v/>
      </c>
      <c r="P821" s="11">
        <f t="array" ref="P821">TRIM(_xlfn.XLOOKUP(非皮卡压缩表[[#This Row],[BACKSIZE]],ALL尺码表[内部尺码],ALL尺码表[通用尺码]))</f>
        <v/>
      </c>
    </row>
    <row r="822">
      <c r="A822" s="17" t="inlineStr">
        <is>
          <t>ALL</t>
        </is>
      </c>
      <c r="B822" s="18" t="inlineStr">
        <is>
          <t>Mazda CX-5</t>
        </is>
      </c>
      <c r="C822" s="18" t="inlineStr">
        <is>
          <t>Mazda</t>
        </is>
      </c>
      <c r="D822" s="18" t="inlineStr">
        <is>
          <t>CX-5</t>
        </is>
      </c>
      <c r="E822" s="18" t="inlineStr">
        <is>
          <t>2026</t>
        </is>
      </c>
      <c r="F822" s="18" t="inlineStr"/>
      <c r="G822" s="18" t="inlineStr">
        <is>
          <t>SUV</t>
        </is>
      </c>
      <c r="H822" s="18" t="inlineStr">
        <is>
          <t>YL</t>
        </is>
      </c>
      <c r="I822" s="19">
        <f t="array" ref="I822">TRIM(_xlfn.XLOOKUP(非皮卡压缩表[[#This Row],[BACKSIZE]],ALL尺码表[内部尺码],ALL尺码表[分类],""))</f>
        <v/>
      </c>
      <c r="J822" s="19">
        <f t="array" ref="J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2" s="20">
        <f>LEN(非皮卡压缩表[[#This Row],[LONG-TYPE]])</f>
        <v/>
      </c>
      <c r="L822" s="21">
        <f t="array" ref="L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2" s="22">
        <f>LEN(非皮卡压缩表[[#This Row],[TYPE]])</f>
        <v/>
      </c>
      <c r="N822" s="22">
        <f t="array" ref="N822">_xlfn.XLOOKUP(非皮卡压缩表[[#This Row],[MODEL]],MODEL缩写表[长MODEL],MODEL缩写表[短MODEL],非皮卡压缩表[[#This Row],[MODEL]])</f>
        <v/>
      </c>
      <c r="O822" s="22">
        <f>LEN(非皮卡压缩表[[#This Row],[SHORT-MODEL]])</f>
        <v/>
      </c>
      <c r="P822" s="11">
        <f t="array" ref="P822">TRIM(_xlfn.XLOOKUP(非皮卡压缩表[[#This Row],[BACKSIZE]],ALL尺码表[内部尺码],ALL尺码表[通用尺码]))</f>
        <v/>
      </c>
    </row>
    <row r="823">
      <c r="A823" s="17" t="inlineStr">
        <is>
          <t>ALL</t>
        </is>
      </c>
      <c r="B823" s="18" t="inlineStr">
        <is>
          <t>Mazda CX-50</t>
        </is>
      </c>
      <c r="C823" s="18" t="inlineStr">
        <is>
          <t>Mazda</t>
        </is>
      </c>
      <c r="D823" s="18" t="inlineStr">
        <is>
          <t>CX-50</t>
        </is>
      </c>
      <c r="E823" s="18" t="inlineStr">
        <is>
          <t>2023-2026</t>
        </is>
      </c>
      <c r="F823" s="18" t="inlineStr"/>
      <c r="G823" s="18" t="inlineStr">
        <is>
          <t>SUV</t>
        </is>
      </c>
      <c r="H823" s="18" t="inlineStr">
        <is>
          <t>YL</t>
        </is>
      </c>
      <c r="I823" s="19">
        <f t="array" ref="I823">TRIM(_xlfn.XLOOKUP(非皮卡压缩表[[#This Row],[BACKSIZE]],ALL尺码表[内部尺码],ALL尺码表[分类],""))</f>
        <v/>
      </c>
      <c r="J823" s="19">
        <f t="array" ref="J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3" s="20">
        <f>LEN(非皮卡压缩表[[#This Row],[LONG-TYPE]])</f>
        <v/>
      </c>
      <c r="L823" s="21">
        <f t="array" ref="L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3" s="22">
        <f>LEN(非皮卡压缩表[[#This Row],[TYPE]])</f>
        <v/>
      </c>
      <c r="N823" s="22">
        <f t="array" ref="N823">_xlfn.XLOOKUP(非皮卡压缩表[[#This Row],[MODEL]],MODEL缩写表[长MODEL],MODEL缩写表[短MODEL],非皮卡压缩表[[#This Row],[MODEL]])</f>
        <v/>
      </c>
      <c r="O823" s="22">
        <f>LEN(非皮卡压缩表[[#This Row],[SHORT-MODEL]])</f>
        <v/>
      </c>
      <c r="P823" s="11">
        <f t="array" ref="P823">TRIM(_xlfn.XLOOKUP(非皮卡压缩表[[#This Row],[BACKSIZE]],ALL尺码表[内部尺码],ALL尺码表[通用尺码]))</f>
        <v/>
      </c>
    </row>
    <row r="824">
      <c r="A824" s="17" t="inlineStr">
        <is>
          <t>ALL</t>
        </is>
      </c>
      <c r="B824" s="18" t="inlineStr">
        <is>
          <t>Mazda CX-7</t>
        </is>
      </c>
      <c r="C824" s="18" t="inlineStr">
        <is>
          <t>Mazda</t>
        </is>
      </c>
      <c r="D824" s="18" t="inlineStr">
        <is>
          <t>CX-7</t>
        </is>
      </c>
      <c r="E824" s="18" t="inlineStr">
        <is>
          <t>2007-2012</t>
        </is>
      </c>
      <c r="F824" s="18" t="inlineStr"/>
      <c r="G824" s="18" t="inlineStr">
        <is>
          <t>SUV</t>
        </is>
      </c>
      <c r="H824" s="18" t="inlineStr">
        <is>
          <t>YL</t>
        </is>
      </c>
      <c r="I824" s="19">
        <f t="array" ref="I824">TRIM(_xlfn.XLOOKUP(非皮卡压缩表[[#This Row],[BACKSIZE]],ALL尺码表[内部尺码],ALL尺码表[分类],""))</f>
        <v/>
      </c>
      <c r="J824" s="19">
        <f t="array" ref="J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4" s="20">
        <f>LEN(非皮卡压缩表[[#This Row],[LONG-TYPE]])</f>
        <v/>
      </c>
      <c r="L824" s="21">
        <f t="array" ref="L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4" s="22">
        <f>LEN(非皮卡压缩表[[#This Row],[TYPE]])</f>
        <v/>
      </c>
      <c r="N824" s="22">
        <f t="array" ref="N824">_xlfn.XLOOKUP(非皮卡压缩表[[#This Row],[MODEL]],MODEL缩写表[长MODEL],MODEL缩写表[短MODEL],非皮卡压缩表[[#This Row],[MODEL]])</f>
        <v/>
      </c>
      <c r="O824" s="22">
        <f>LEN(非皮卡压缩表[[#This Row],[SHORT-MODEL]])</f>
        <v/>
      </c>
      <c r="P824" s="11">
        <f t="array" ref="P824">TRIM(_xlfn.XLOOKUP(非皮卡压缩表[[#This Row],[BACKSIZE]],ALL尺码表[内部尺码],ALL尺码表[通用尺码]))</f>
        <v/>
      </c>
    </row>
    <row r="825">
      <c r="A825" s="17" t="inlineStr">
        <is>
          <t>ALL</t>
        </is>
      </c>
      <c r="B825" s="18" t="inlineStr">
        <is>
          <t>Mazda CX-70</t>
        </is>
      </c>
      <c r="C825" s="18" t="inlineStr">
        <is>
          <t>Mazda</t>
        </is>
      </c>
      <c r="D825" s="18" t="inlineStr">
        <is>
          <t>CX-70</t>
        </is>
      </c>
      <c r="E825" s="18" t="inlineStr">
        <is>
          <t>2025-2026</t>
        </is>
      </c>
      <c r="F825" s="18" t="inlineStr"/>
      <c r="G825" s="18" t="inlineStr">
        <is>
          <t>SUV</t>
        </is>
      </c>
      <c r="H825" s="18" t="inlineStr">
        <is>
          <t>YXL</t>
        </is>
      </c>
      <c r="I825" s="19">
        <f t="array" ref="I825">TRIM(_xlfn.XLOOKUP(非皮卡压缩表[[#This Row],[BACKSIZE]],ALL尺码表[内部尺码],ALL尺码表[分类],""))</f>
        <v/>
      </c>
      <c r="J825" s="19">
        <f t="array" ref="J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5" s="20">
        <f>LEN(非皮卡压缩表[[#This Row],[LONG-TYPE]])</f>
        <v/>
      </c>
      <c r="L825" s="21">
        <f t="array" ref="L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5" s="22">
        <f>LEN(非皮卡压缩表[[#This Row],[TYPE]])</f>
        <v/>
      </c>
      <c r="N825" s="22">
        <f t="array" ref="N825">_xlfn.XLOOKUP(非皮卡压缩表[[#This Row],[MODEL]],MODEL缩写表[长MODEL],MODEL缩写表[短MODEL],非皮卡压缩表[[#This Row],[MODEL]])</f>
        <v/>
      </c>
      <c r="O825" s="22">
        <f>LEN(非皮卡压缩表[[#This Row],[SHORT-MODEL]])</f>
        <v/>
      </c>
      <c r="P825" s="11">
        <f t="array" ref="P825">TRIM(_xlfn.XLOOKUP(非皮卡压缩表[[#This Row],[BACKSIZE]],ALL尺码表[内部尺码],ALL尺码表[通用尺码]))</f>
        <v/>
      </c>
    </row>
    <row r="826">
      <c r="A826" s="17" t="inlineStr">
        <is>
          <t>ALL</t>
        </is>
      </c>
      <c r="B826" s="18" t="inlineStr">
        <is>
          <t>Mazda CX-9</t>
        </is>
      </c>
      <c r="C826" s="18" t="inlineStr">
        <is>
          <t>Mazda</t>
        </is>
      </c>
      <c r="D826" s="18" t="inlineStr">
        <is>
          <t>CX-9</t>
        </is>
      </c>
      <c r="E826" s="18" t="inlineStr">
        <is>
          <t>2007-2023</t>
        </is>
      </c>
      <c r="F826" s="18" t="inlineStr"/>
      <c r="G826" s="18" t="inlineStr">
        <is>
          <t>SUV</t>
        </is>
      </c>
      <c r="H826" s="18" t="inlineStr">
        <is>
          <t>YXL</t>
        </is>
      </c>
      <c r="I826" s="19">
        <f t="array" ref="I826">TRIM(_xlfn.XLOOKUP(非皮卡压缩表[[#This Row],[BACKSIZE]],ALL尺码表[内部尺码],ALL尺码表[分类],""))</f>
        <v/>
      </c>
      <c r="J826" s="19">
        <f t="array" ref="J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6" s="20">
        <f>LEN(非皮卡压缩表[[#This Row],[LONG-TYPE]])</f>
        <v/>
      </c>
      <c r="L826" s="21">
        <f t="array" ref="L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6" s="22">
        <f>LEN(非皮卡压缩表[[#This Row],[TYPE]])</f>
        <v/>
      </c>
      <c r="N826" s="22">
        <f t="array" ref="N826">_xlfn.XLOOKUP(非皮卡压缩表[[#This Row],[MODEL]],MODEL缩写表[长MODEL],MODEL缩写表[短MODEL],非皮卡压缩表[[#This Row],[MODEL]])</f>
        <v/>
      </c>
      <c r="O826" s="22">
        <f>LEN(非皮卡压缩表[[#This Row],[SHORT-MODEL]])</f>
        <v/>
      </c>
      <c r="P826" s="11">
        <f t="array" ref="P826">TRIM(_xlfn.XLOOKUP(非皮卡压缩表[[#This Row],[BACKSIZE]],ALL尺码表[内部尺码],ALL尺码表[通用尺码]))</f>
        <v/>
      </c>
    </row>
    <row r="827">
      <c r="A827" s="17" t="inlineStr">
        <is>
          <t>ALL</t>
        </is>
      </c>
      <c r="B827" s="18" t="inlineStr">
        <is>
          <t>Mazda CX-90</t>
        </is>
      </c>
      <c r="C827" s="18" t="inlineStr">
        <is>
          <t>Mazda</t>
        </is>
      </c>
      <c r="D827" s="18" t="inlineStr">
        <is>
          <t>CX-90</t>
        </is>
      </c>
      <c r="E827" s="18" t="inlineStr">
        <is>
          <t>2024-2025</t>
        </is>
      </c>
      <c r="F827" s="18" t="inlineStr"/>
      <c r="G827" s="18" t="inlineStr">
        <is>
          <t>SUV</t>
        </is>
      </c>
      <c r="H827" s="18" t="inlineStr">
        <is>
          <t>YXXL</t>
        </is>
      </c>
      <c r="I827" s="19">
        <f t="array" ref="I827">TRIM(_xlfn.XLOOKUP(非皮卡压缩表[[#This Row],[BACKSIZE]],ALL尺码表[内部尺码],ALL尺码表[分类],""))</f>
        <v/>
      </c>
      <c r="J827" s="19">
        <f t="array" ref="J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7" s="20">
        <f>LEN(非皮卡压缩表[[#This Row],[LONG-TYPE]])</f>
        <v/>
      </c>
      <c r="L827" s="21">
        <f t="array" ref="L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7" s="22">
        <f>LEN(非皮卡压缩表[[#This Row],[TYPE]])</f>
        <v/>
      </c>
      <c r="N827" s="22">
        <f t="array" ref="N827">_xlfn.XLOOKUP(非皮卡压缩表[[#This Row],[MODEL]],MODEL缩写表[长MODEL],MODEL缩写表[短MODEL],非皮卡压缩表[[#This Row],[MODEL]])</f>
        <v/>
      </c>
      <c r="O827" s="22">
        <f>LEN(非皮卡压缩表[[#This Row],[SHORT-MODEL]])</f>
        <v/>
      </c>
      <c r="P827" s="11">
        <f t="array" ref="P827">TRIM(_xlfn.XLOOKUP(非皮卡压缩表[[#This Row],[BACKSIZE]],ALL尺码表[内部尺码],ALL尺码表[通用尺码]))</f>
        <v/>
      </c>
    </row>
    <row r="828">
      <c r="A828" s="17" t="inlineStr">
        <is>
          <t>ALL</t>
        </is>
      </c>
      <c r="B828" s="18" t="inlineStr">
        <is>
          <t>Mazda CX-90</t>
        </is>
      </c>
      <c r="C828" s="18" t="inlineStr">
        <is>
          <t>Mazda</t>
        </is>
      </c>
      <c r="D828" s="18" t="inlineStr">
        <is>
          <t>CX-90</t>
        </is>
      </c>
      <c r="E828" s="18" t="inlineStr">
        <is>
          <t>2026</t>
        </is>
      </c>
      <c r="F828" s="18" t="inlineStr"/>
      <c r="G828" s="18" t="inlineStr">
        <is>
          <t>SUV</t>
        </is>
      </c>
      <c r="H828" s="18" t="inlineStr">
        <is>
          <t>YXL</t>
        </is>
      </c>
      <c r="I828" s="19">
        <f t="array" ref="I828">TRIM(_xlfn.XLOOKUP(非皮卡压缩表[[#This Row],[BACKSIZE]],ALL尺码表[内部尺码],ALL尺码表[分类],""))</f>
        <v/>
      </c>
      <c r="J828" s="19">
        <f t="array" ref="J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8" s="20">
        <f>LEN(非皮卡压缩表[[#This Row],[LONG-TYPE]])</f>
        <v/>
      </c>
      <c r="L828" s="21">
        <f t="array" ref="L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8" s="22">
        <f>LEN(非皮卡压缩表[[#This Row],[TYPE]])</f>
        <v/>
      </c>
      <c r="N828" s="22">
        <f t="array" ref="N828">_xlfn.XLOOKUP(非皮卡压缩表[[#This Row],[MODEL]],MODEL缩写表[长MODEL],MODEL缩写表[短MODEL],非皮卡压缩表[[#This Row],[MODEL]])</f>
        <v/>
      </c>
      <c r="O828" s="22">
        <f>LEN(非皮卡压缩表[[#This Row],[SHORT-MODEL]])</f>
        <v/>
      </c>
      <c r="P828" s="11">
        <f t="array" ref="P828">TRIM(_xlfn.XLOOKUP(非皮卡压缩表[[#This Row],[BACKSIZE]],ALL尺码表[内部尺码],ALL尺码表[通用尺码]))</f>
        <v/>
      </c>
    </row>
    <row r="829">
      <c r="A829" s="17" t="inlineStr">
        <is>
          <t>ALL</t>
        </is>
      </c>
      <c r="B829" s="18" t="inlineStr">
        <is>
          <t>Mazda MX-30</t>
        </is>
      </c>
      <c r="C829" s="18" t="inlineStr">
        <is>
          <t>Mazda</t>
        </is>
      </c>
      <c r="D829" s="18" t="inlineStr">
        <is>
          <t>MX-30</t>
        </is>
      </c>
      <c r="E829" s="18" t="inlineStr">
        <is>
          <t>2022-2023</t>
        </is>
      </c>
      <c r="F829" s="18" t="inlineStr"/>
      <c r="G829" s="18" t="inlineStr">
        <is>
          <t>SUV</t>
        </is>
      </c>
      <c r="H829" s="18" t="inlineStr">
        <is>
          <t>YM+</t>
        </is>
      </c>
      <c r="I829" s="19">
        <f t="array" ref="I829">TRIM(_xlfn.XLOOKUP(非皮卡压缩表[[#This Row],[BACKSIZE]],ALL尺码表[内部尺码],ALL尺码表[分类],""))</f>
        <v/>
      </c>
      <c r="J829" s="19">
        <f t="array" ref="J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9" s="20">
        <f>LEN(非皮卡压缩表[[#This Row],[LONG-TYPE]])</f>
        <v/>
      </c>
      <c r="L829" s="21">
        <f t="array" ref="L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9" s="22">
        <f>LEN(非皮卡压缩表[[#This Row],[TYPE]])</f>
        <v/>
      </c>
      <c r="N829" s="22">
        <f t="array" ref="N829">_xlfn.XLOOKUP(非皮卡压缩表[[#This Row],[MODEL]],MODEL缩写表[长MODEL],MODEL缩写表[短MODEL],非皮卡压缩表[[#This Row],[MODEL]])</f>
        <v/>
      </c>
      <c r="O829" s="22">
        <f>LEN(非皮卡压缩表[[#This Row],[SHORT-MODEL]])</f>
        <v/>
      </c>
      <c r="P829" s="11">
        <f t="array" ref="P829">TRIM(_xlfn.XLOOKUP(非皮卡压缩表[[#This Row],[BACKSIZE]],ALL尺码表[内部尺码],ALL尺码表[通用尺码]))</f>
        <v/>
      </c>
    </row>
    <row r="830">
      <c r="A830" s="17" t="inlineStr">
        <is>
          <t>ALL</t>
        </is>
      </c>
      <c r="B830" s="18" t="inlineStr">
        <is>
          <t>Mazda MX-5</t>
        </is>
      </c>
      <c r="C830" s="18" t="inlineStr">
        <is>
          <t>Mazda</t>
        </is>
      </c>
      <c r="D830" s="18" t="inlineStr">
        <is>
          <t>MX-5</t>
        </is>
      </c>
      <c r="E830" s="18" t="inlineStr">
        <is>
          <t>1990-2026</t>
        </is>
      </c>
      <c r="F830" s="18" t="inlineStr">
        <is>
          <t>Incl: RF</t>
        </is>
      </c>
      <c r="G830" s="18" t="inlineStr">
        <is>
          <t>Convertible/Coupe</t>
        </is>
      </c>
      <c r="H830" s="18" t="inlineStr">
        <is>
          <t>3S-0</t>
        </is>
      </c>
      <c r="I830" s="19">
        <f t="array" ref="I830">TRIM(_xlfn.XLOOKUP(非皮卡压缩表[[#This Row],[BACKSIZE]],ALL尺码表[内部尺码],ALL尺码表[分类],""))</f>
        <v/>
      </c>
      <c r="J830" s="19">
        <f t="array" ref="J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0" s="20">
        <f>LEN(非皮卡压缩表[[#This Row],[LONG-TYPE]])</f>
        <v/>
      </c>
      <c r="L830" s="21">
        <f t="array" ref="L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0" s="22">
        <f>LEN(非皮卡压缩表[[#This Row],[TYPE]])</f>
        <v/>
      </c>
      <c r="N830" s="22">
        <f t="array" ref="N830">_xlfn.XLOOKUP(非皮卡压缩表[[#This Row],[MODEL]],MODEL缩写表[长MODEL],MODEL缩写表[短MODEL],非皮卡压缩表[[#This Row],[MODEL]])</f>
        <v/>
      </c>
      <c r="O830" s="22">
        <f>LEN(非皮卡压缩表[[#This Row],[SHORT-MODEL]])</f>
        <v/>
      </c>
      <c r="P830" s="11">
        <f t="array" ref="P830">TRIM(_xlfn.XLOOKUP(非皮卡压缩表[[#This Row],[BACKSIZE]],ALL尺码表[内部尺码],ALL尺码表[通用尺码]))</f>
        <v/>
      </c>
    </row>
    <row r="831">
      <c r="A831" s="17" t="inlineStr">
        <is>
          <t>ALL</t>
        </is>
      </c>
      <c r="B831" s="18" t="inlineStr">
        <is>
          <t>Mazda MX-6</t>
        </is>
      </c>
      <c r="C831" s="18" t="inlineStr">
        <is>
          <t>Mazda</t>
        </is>
      </c>
      <c r="D831" s="18" t="inlineStr">
        <is>
          <t>MX-6</t>
        </is>
      </c>
      <c r="E831" s="18" t="inlineStr">
        <is>
          <t>1990-1992</t>
        </is>
      </c>
      <c r="F831" s="18" t="inlineStr"/>
      <c r="G831" s="18" t="inlineStr">
        <is>
          <t>Coupe</t>
        </is>
      </c>
      <c r="H831" s="18" t="inlineStr">
        <is>
          <t>3M-0</t>
        </is>
      </c>
      <c r="I831" s="19">
        <f t="array" ref="I831">TRIM(_xlfn.XLOOKUP(非皮卡压缩表[[#This Row],[BACKSIZE]],ALL尺码表[内部尺码],ALL尺码表[分类],""))</f>
        <v/>
      </c>
      <c r="J831" s="19">
        <f t="array" ref="J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1" s="20">
        <f>LEN(非皮卡压缩表[[#This Row],[LONG-TYPE]])</f>
        <v/>
      </c>
      <c r="L831" s="21">
        <f t="array" ref="L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1" s="22">
        <f>LEN(非皮卡压缩表[[#This Row],[TYPE]])</f>
        <v/>
      </c>
      <c r="N831" s="22">
        <f t="array" ref="N831">_xlfn.XLOOKUP(非皮卡压缩表[[#This Row],[MODEL]],MODEL缩写表[长MODEL],MODEL缩写表[短MODEL],非皮卡压缩表[[#This Row],[MODEL]])</f>
        <v/>
      </c>
      <c r="O831" s="22">
        <f>LEN(非皮卡压缩表[[#This Row],[SHORT-MODEL]])</f>
        <v/>
      </c>
      <c r="P831" s="11">
        <f t="array" ref="P831">TRIM(_xlfn.XLOOKUP(非皮卡压缩表[[#This Row],[BACKSIZE]],ALL尺码表[内部尺码],ALL尺码表[通用尺码]))</f>
        <v/>
      </c>
    </row>
    <row r="832">
      <c r="A832" s="17" t="inlineStr">
        <is>
          <t>ALL</t>
        </is>
      </c>
      <c r="B832" s="18" t="inlineStr">
        <is>
          <t>Mazda MX-6</t>
        </is>
      </c>
      <c r="C832" s="18" t="inlineStr">
        <is>
          <t>Mazda</t>
        </is>
      </c>
      <c r="D832" s="18" t="inlineStr">
        <is>
          <t>MX-6</t>
        </is>
      </c>
      <c r="E832" s="18" t="inlineStr">
        <is>
          <t>1993-1997</t>
        </is>
      </c>
      <c r="F832" s="18" t="inlineStr"/>
      <c r="G832" s="18" t="inlineStr">
        <is>
          <t>Coupe</t>
        </is>
      </c>
      <c r="H832" s="18" t="inlineStr">
        <is>
          <t>3L-0</t>
        </is>
      </c>
      <c r="I832" s="19">
        <f t="array" ref="I832">TRIM(_xlfn.XLOOKUP(非皮卡压缩表[[#This Row],[BACKSIZE]],ALL尺码表[内部尺码],ALL尺码表[分类],""))</f>
        <v/>
      </c>
      <c r="J832" s="19">
        <f t="array" ref="J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2" s="20">
        <f>LEN(非皮卡压缩表[[#This Row],[LONG-TYPE]])</f>
        <v/>
      </c>
      <c r="L832" s="21">
        <f t="array" ref="L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2" s="22">
        <f>LEN(非皮卡压缩表[[#This Row],[TYPE]])</f>
        <v/>
      </c>
      <c r="N832" s="22">
        <f t="array" ref="N832">_xlfn.XLOOKUP(非皮卡压缩表[[#This Row],[MODEL]],MODEL缩写表[长MODEL],MODEL缩写表[短MODEL],非皮卡压缩表[[#This Row],[MODEL]])</f>
        <v/>
      </c>
      <c r="O832" s="22">
        <f>LEN(非皮卡压缩表[[#This Row],[SHORT-MODEL]])</f>
        <v/>
      </c>
      <c r="P832" s="11">
        <f t="array" ref="P832">TRIM(_xlfn.XLOOKUP(非皮卡压缩表[[#This Row],[BACKSIZE]],ALL尺码表[内部尺码],ALL尺码表[通用尺码]))</f>
        <v/>
      </c>
    </row>
    <row r="833">
      <c r="A833" s="17" t="inlineStr">
        <is>
          <t>ALL</t>
        </is>
      </c>
      <c r="B833" s="18" t="inlineStr">
        <is>
          <t>Mazda Miata</t>
        </is>
      </c>
      <c r="C833" s="18" t="inlineStr">
        <is>
          <t>Mazda</t>
        </is>
      </c>
      <c r="D833" s="18" t="inlineStr">
        <is>
          <t>Miata</t>
        </is>
      </c>
      <c r="E833" s="18" t="inlineStr">
        <is>
          <t>1990-2026</t>
        </is>
      </c>
      <c r="F833" s="18" t="inlineStr">
        <is>
          <t>Incl: RF/soft top</t>
        </is>
      </c>
      <c r="G833" s="18" t="inlineStr">
        <is>
          <t>Convertible/Coupe</t>
        </is>
      </c>
      <c r="H833" s="18" t="inlineStr">
        <is>
          <t>3S-0</t>
        </is>
      </c>
      <c r="I833" s="19">
        <f t="array" ref="I833">TRIM(_xlfn.XLOOKUP(非皮卡压缩表[[#This Row],[BACKSIZE]],ALL尺码表[内部尺码],ALL尺码表[分类],""))</f>
        <v/>
      </c>
      <c r="J833" s="19">
        <f t="array" ref="J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3" s="20">
        <f>LEN(非皮卡压缩表[[#This Row],[LONG-TYPE]])</f>
        <v/>
      </c>
      <c r="L833" s="21">
        <f t="array" ref="L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3" s="22">
        <f>LEN(非皮卡压缩表[[#This Row],[TYPE]])</f>
        <v/>
      </c>
      <c r="N833" s="22">
        <f t="array" ref="N833">_xlfn.XLOOKUP(非皮卡压缩表[[#This Row],[MODEL]],MODEL缩写表[长MODEL],MODEL缩写表[短MODEL],非皮卡压缩表[[#This Row],[MODEL]])</f>
        <v/>
      </c>
      <c r="O833" s="22">
        <f>LEN(非皮卡压缩表[[#This Row],[SHORT-MODEL]])</f>
        <v/>
      </c>
      <c r="P833" s="11">
        <f t="array" ref="P833">TRIM(_xlfn.XLOOKUP(非皮卡压缩表[[#This Row],[BACKSIZE]],ALL尺码表[内部尺码],ALL尺码表[通用尺码]))</f>
        <v/>
      </c>
    </row>
    <row r="834">
      <c r="A834" s="17" t="inlineStr">
        <is>
          <t>ALL</t>
        </is>
      </c>
      <c r="B834" s="18" t="inlineStr">
        <is>
          <t>Mazda Millenia</t>
        </is>
      </c>
      <c r="C834" s="18" t="inlineStr">
        <is>
          <t>Mazda</t>
        </is>
      </c>
      <c r="D834" s="18" t="inlineStr">
        <is>
          <t>Millenia</t>
        </is>
      </c>
      <c r="E834" s="18" t="inlineStr">
        <is>
          <t>1995-2002</t>
        </is>
      </c>
      <c r="F834" s="18" t="inlineStr"/>
      <c r="G834" s="18" t="inlineStr">
        <is>
          <t>Sedan</t>
        </is>
      </c>
      <c r="H834" s="18" t="inlineStr">
        <is>
          <t>3XL</t>
        </is>
      </c>
      <c r="I834" s="19">
        <f t="array" ref="I834">TRIM(_xlfn.XLOOKUP(非皮卡压缩表[[#This Row],[BACKSIZE]],ALL尺码表[内部尺码],ALL尺码表[分类],""))</f>
        <v/>
      </c>
      <c r="J834" s="19">
        <f t="array" ref="J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4" s="20">
        <f>LEN(非皮卡压缩表[[#This Row],[LONG-TYPE]])</f>
        <v/>
      </c>
      <c r="L834" s="21">
        <f t="array" ref="L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4" s="22">
        <f>LEN(非皮卡压缩表[[#This Row],[TYPE]])</f>
        <v/>
      </c>
      <c r="N834" s="22">
        <f t="array" ref="N834">_xlfn.XLOOKUP(非皮卡压缩表[[#This Row],[MODEL]],MODEL缩写表[长MODEL],MODEL缩写表[短MODEL],非皮卡压缩表[[#This Row],[MODEL]])</f>
        <v/>
      </c>
      <c r="O834" s="22">
        <f>LEN(非皮卡压缩表[[#This Row],[SHORT-MODEL]])</f>
        <v/>
      </c>
      <c r="P834" s="11">
        <f t="array" ref="P834">TRIM(_xlfn.XLOOKUP(非皮卡压缩表[[#This Row],[BACKSIZE]],ALL尺码表[内部尺码],ALL尺码表[通用尺码]))</f>
        <v/>
      </c>
    </row>
    <row r="835">
      <c r="A835" s="17" t="inlineStr">
        <is>
          <t>ALL</t>
        </is>
      </c>
      <c r="B835" s="18" t="inlineStr">
        <is>
          <t>Mazda Protege</t>
        </is>
      </c>
      <c r="C835" s="18" t="inlineStr">
        <is>
          <t>Mazda</t>
        </is>
      </c>
      <c r="D835" s="18" t="inlineStr">
        <is>
          <t>Protege</t>
        </is>
      </c>
      <c r="E835" s="18" t="inlineStr">
        <is>
          <t>1990-2003</t>
        </is>
      </c>
      <c r="F835" s="18" t="inlineStr"/>
      <c r="G835" s="18" t="inlineStr">
        <is>
          <t>Sedan</t>
        </is>
      </c>
      <c r="H835" s="18" t="inlineStr">
        <is>
          <t>3L</t>
        </is>
      </c>
      <c r="I835" s="19">
        <f t="array" ref="I835">TRIM(_xlfn.XLOOKUP(非皮卡压缩表[[#This Row],[BACKSIZE]],ALL尺码表[内部尺码],ALL尺码表[分类],""))</f>
        <v/>
      </c>
      <c r="J835" s="19">
        <f t="array" ref="J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5" s="20">
        <f>LEN(非皮卡压缩表[[#This Row],[LONG-TYPE]])</f>
        <v/>
      </c>
      <c r="L835" s="21">
        <f t="array" ref="L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5" s="22">
        <f>LEN(非皮卡压缩表[[#This Row],[TYPE]])</f>
        <v/>
      </c>
      <c r="N835" s="22">
        <f t="array" ref="N835">_xlfn.XLOOKUP(非皮卡压缩表[[#This Row],[MODEL]],MODEL缩写表[长MODEL],MODEL缩写表[短MODEL],非皮卡压缩表[[#This Row],[MODEL]])</f>
        <v/>
      </c>
      <c r="O835" s="22">
        <f>LEN(非皮卡压缩表[[#This Row],[SHORT-MODEL]])</f>
        <v/>
      </c>
      <c r="P835" s="11">
        <f t="array" ref="P835">TRIM(_xlfn.XLOOKUP(非皮卡压缩表[[#This Row],[BACKSIZE]],ALL尺码表[内部尺码],ALL尺码表[通用尺码]))</f>
        <v/>
      </c>
    </row>
    <row r="836">
      <c r="A836" s="17" t="inlineStr">
        <is>
          <t>ALL</t>
        </is>
      </c>
      <c r="B836" s="18" t="inlineStr">
        <is>
          <t>Mazda Protege</t>
        </is>
      </c>
      <c r="C836" s="18" t="inlineStr">
        <is>
          <t>Mazda</t>
        </is>
      </c>
      <c r="D836" s="18" t="inlineStr">
        <is>
          <t>Protege</t>
        </is>
      </c>
      <c r="E836" s="18" t="inlineStr">
        <is>
          <t>2002-2003</t>
        </is>
      </c>
      <c r="F836" s="18" t="inlineStr">
        <is>
          <t>Protege5</t>
        </is>
      </c>
      <c r="G836" s="18" t="inlineStr">
        <is>
          <t>Hatchback</t>
        </is>
      </c>
      <c r="H836" s="18" t="inlineStr">
        <is>
          <t>2L+</t>
        </is>
      </c>
      <c r="I836" s="19">
        <f t="array" ref="I836">TRIM(_xlfn.XLOOKUP(非皮卡压缩表[[#This Row],[BACKSIZE]],ALL尺码表[内部尺码],ALL尺码表[分类],""))</f>
        <v/>
      </c>
      <c r="J836" s="19">
        <f t="array" ref="J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6" s="20">
        <f>LEN(非皮卡压缩表[[#This Row],[LONG-TYPE]])</f>
        <v/>
      </c>
      <c r="L836" s="21">
        <f t="array" ref="L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6" s="22">
        <f>LEN(非皮卡压缩表[[#This Row],[TYPE]])</f>
        <v/>
      </c>
      <c r="N836" s="22">
        <f t="array" ref="N836">_xlfn.XLOOKUP(非皮卡压缩表[[#This Row],[MODEL]],MODEL缩写表[长MODEL],MODEL缩写表[短MODEL],非皮卡压缩表[[#This Row],[MODEL]])</f>
        <v/>
      </c>
      <c r="O836" s="22">
        <f>LEN(非皮卡压缩表[[#This Row],[SHORT-MODEL]])</f>
        <v/>
      </c>
      <c r="P836" s="11">
        <f t="array" ref="P836">TRIM(_xlfn.XLOOKUP(非皮卡压缩表[[#This Row],[BACKSIZE]],ALL尺码表[内部尺码],ALL尺码表[通用尺码]))</f>
        <v/>
      </c>
    </row>
    <row r="837">
      <c r="A837" s="17" t="inlineStr">
        <is>
          <t>ALL</t>
        </is>
      </c>
      <c r="B837" s="18" t="inlineStr">
        <is>
          <t>Mazda RX-7</t>
        </is>
      </c>
      <c r="C837" s="18" t="inlineStr">
        <is>
          <t>Mazda</t>
        </is>
      </c>
      <c r="D837" s="18" t="inlineStr">
        <is>
          <t>RX-7</t>
        </is>
      </c>
      <c r="E837" s="18" t="inlineStr">
        <is>
          <t>1979-1995</t>
        </is>
      </c>
      <c r="F837" s="18" t="inlineStr"/>
      <c r="G837" s="18" t="inlineStr">
        <is>
          <t>Convertible/Coupe</t>
        </is>
      </c>
      <c r="H837" s="18" t="inlineStr">
        <is>
          <t>3M-0</t>
        </is>
      </c>
      <c r="I837" s="19">
        <f t="array" ref="I837">TRIM(_xlfn.XLOOKUP(非皮卡压缩表[[#This Row],[BACKSIZE]],ALL尺码表[内部尺码],ALL尺码表[分类],""))</f>
        <v/>
      </c>
      <c r="J837" s="19">
        <f t="array" ref="J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7" s="20">
        <f>LEN(非皮卡压缩表[[#This Row],[LONG-TYPE]])</f>
        <v/>
      </c>
      <c r="L837" s="21">
        <f t="array" ref="L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7" s="22">
        <f>LEN(非皮卡压缩表[[#This Row],[TYPE]])</f>
        <v/>
      </c>
      <c r="N837" s="22">
        <f t="array" ref="N837">_xlfn.XLOOKUP(非皮卡压缩表[[#This Row],[MODEL]],MODEL缩写表[长MODEL],MODEL缩写表[短MODEL],非皮卡压缩表[[#This Row],[MODEL]])</f>
        <v/>
      </c>
      <c r="O837" s="22">
        <f>LEN(非皮卡压缩表[[#This Row],[SHORT-MODEL]])</f>
        <v/>
      </c>
      <c r="P837" s="11">
        <f t="array" ref="P837">TRIM(_xlfn.XLOOKUP(非皮卡压缩表[[#This Row],[BACKSIZE]],ALL尺码表[内部尺码],ALL尺码表[通用尺码]))</f>
        <v/>
      </c>
    </row>
    <row r="838">
      <c r="A838" s="17" t="inlineStr">
        <is>
          <t>ALL</t>
        </is>
      </c>
      <c r="B838" s="18" t="inlineStr">
        <is>
          <t>Mazda RX-8</t>
        </is>
      </c>
      <c r="C838" s="18" t="inlineStr">
        <is>
          <t>Mazda</t>
        </is>
      </c>
      <c r="D838" s="18" t="inlineStr">
        <is>
          <t>RX-8</t>
        </is>
      </c>
      <c r="E838" s="18" t="inlineStr">
        <is>
          <t>2009-2011</t>
        </is>
      </c>
      <c r="F838" s="18" t="inlineStr"/>
      <c r="G838" s="18" t="inlineStr">
        <is>
          <t>Coupe</t>
        </is>
      </c>
      <c r="H838" s="18" t="inlineStr">
        <is>
          <t>3M-0</t>
        </is>
      </c>
      <c r="I838" s="19">
        <f t="array" ref="I838">TRIM(_xlfn.XLOOKUP(非皮卡压缩表[[#This Row],[BACKSIZE]],ALL尺码表[内部尺码],ALL尺码表[分类],""))</f>
        <v/>
      </c>
      <c r="J838" s="19">
        <f t="array" ref="J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8" s="20">
        <f>LEN(非皮卡压缩表[[#This Row],[LONG-TYPE]])</f>
        <v/>
      </c>
      <c r="L838" s="21">
        <f t="array" ref="L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8" s="22">
        <f>LEN(非皮卡压缩表[[#This Row],[TYPE]])</f>
        <v/>
      </c>
      <c r="N838" s="22">
        <f t="array" ref="N838">_xlfn.XLOOKUP(非皮卡压缩表[[#This Row],[MODEL]],MODEL缩写表[长MODEL],MODEL缩写表[短MODEL],非皮卡压缩表[[#This Row],[MODEL]])</f>
        <v/>
      </c>
      <c r="O838" s="22">
        <f>LEN(非皮卡压缩表[[#This Row],[SHORT-MODEL]])</f>
        <v/>
      </c>
      <c r="P838" s="11">
        <f t="array" ref="P838">TRIM(_xlfn.XLOOKUP(非皮卡压缩表[[#This Row],[BACKSIZE]],ALL尺码表[内部尺码],ALL尺码表[通用尺码]))</f>
        <v/>
      </c>
    </row>
    <row r="839">
      <c r="A839" s="17" t="inlineStr">
        <is>
          <t>ALL</t>
        </is>
      </c>
      <c r="B839" s="18" t="inlineStr">
        <is>
          <t>Mazda Speed3</t>
        </is>
      </c>
      <c r="C839" s="18" t="inlineStr">
        <is>
          <t>Mazda</t>
        </is>
      </c>
      <c r="D839" s="18" t="inlineStr">
        <is>
          <t>Speed3</t>
        </is>
      </c>
      <c r="E839" s="18" t="inlineStr">
        <is>
          <t>2007-2013</t>
        </is>
      </c>
      <c r="F839" s="18" t="inlineStr"/>
      <c r="G839" s="18" t="inlineStr">
        <is>
          <t>Hatchback</t>
        </is>
      </c>
      <c r="H839" s="18" t="inlineStr">
        <is>
          <t>2L+</t>
        </is>
      </c>
      <c r="I839" s="19">
        <f t="array" ref="I839">TRIM(_xlfn.XLOOKUP(非皮卡压缩表[[#This Row],[BACKSIZE]],ALL尺码表[内部尺码],ALL尺码表[分类],""))</f>
        <v/>
      </c>
      <c r="J839" s="19">
        <f t="array" ref="J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9" s="20">
        <f>LEN(非皮卡压缩表[[#This Row],[LONG-TYPE]])</f>
        <v/>
      </c>
      <c r="L839" s="21">
        <f t="array" ref="L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9" s="22">
        <f>LEN(非皮卡压缩表[[#This Row],[TYPE]])</f>
        <v/>
      </c>
      <c r="N839" s="22">
        <f t="array" ref="N839">_xlfn.XLOOKUP(非皮卡压缩表[[#This Row],[MODEL]],MODEL缩写表[长MODEL],MODEL缩写表[短MODEL],非皮卡压缩表[[#This Row],[MODEL]])</f>
        <v/>
      </c>
      <c r="O839" s="22">
        <f>LEN(非皮卡压缩表[[#This Row],[SHORT-MODEL]])</f>
        <v/>
      </c>
      <c r="P839" s="11">
        <f t="array" ref="P839">TRIM(_xlfn.XLOOKUP(非皮卡压缩表[[#This Row],[BACKSIZE]],ALL尺码表[内部尺码],ALL尺码表[通用尺码]))</f>
        <v/>
      </c>
    </row>
    <row r="840">
      <c r="A840" s="17" t="inlineStr">
        <is>
          <t>ALL</t>
        </is>
      </c>
      <c r="B840" s="18" t="inlineStr">
        <is>
          <t>Mazda Tribute</t>
        </is>
      </c>
      <c r="C840" s="18" t="inlineStr">
        <is>
          <t>Mazda</t>
        </is>
      </c>
      <c r="D840" s="18" t="inlineStr">
        <is>
          <t>Tribute</t>
        </is>
      </c>
      <c r="E840" s="18" t="inlineStr">
        <is>
          <t>2001-2011</t>
        </is>
      </c>
      <c r="F840" s="18" t="inlineStr"/>
      <c r="G840" s="18" t="inlineStr">
        <is>
          <t>SUV</t>
        </is>
      </c>
      <c r="H840" s="18" t="inlineStr">
        <is>
          <t>YM+</t>
        </is>
      </c>
      <c r="I840" s="19">
        <f t="array" ref="I840">TRIM(_xlfn.XLOOKUP(非皮卡压缩表[[#This Row],[BACKSIZE]],ALL尺码表[内部尺码],ALL尺码表[分类],""))</f>
        <v/>
      </c>
      <c r="J840" s="19">
        <f t="array" ref="J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0" s="20">
        <f>LEN(非皮卡压缩表[[#This Row],[LONG-TYPE]])</f>
        <v/>
      </c>
      <c r="L840" s="21">
        <f t="array" ref="L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0" s="22">
        <f>LEN(非皮卡压缩表[[#This Row],[TYPE]])</f>
        <v/>
      </c>
      <c r="N840" s="22">
        <f t="array" ref="N840">_xlfn.XLOOKUP(非皮卡压缩表[[#This Row],[MODEL]],MODEL缩写表[长MODEL],MODEL缩写表[短MODEL],非皮卡压缩表[[#This Row],[MODEL]])</f>
        <v/>
      </c>
      <c r="O840" s="22">
        <f>LEN(非皮卡压缩表[[#This Row],[SHORT-MODEL]])</f>
        <v/>
      </c>
      <c r="P840" s="11">
        <f t="array" ref="P840">TRIM(_xlfn.XLOOKUP(非皮卡压缩表[[#This Row],[BACKSIZE]],ALL尺码表[内部尺码],ALL尺码表[通用尺码]))</f>
        <v/>
      </c>
    </row>
    <row r="841">
      <c r="A841" s="17" t="inlineStr">
        <is>
          <t>ALL</t>
        </is>
      </c>
      <c r="B841" s="18" t="inlineStr">
        <is>
          <t>Mercedes-Benz 190</t>
        </is>
      </c>
      <c r="C841" s="18" t="inlineStr">
        <is>
          <t>Mercedes-Benz</t>
        </is>
      </c>
      <c r="D841" s="18" t="inlineStr">
        <is>
          <t>190</t>
        </is>
      </c>
      <c r="E841" s="18" t="inlineStr">
        <is>
          <t>1984-1993</t>
        </is>
      </c>
      <c r="F841" s="18" t="inlineStr"/>
      <c r="G841" s="18" t="inlineStr">
        <is>
          <t>Sedan</t>
        </is>
      </c>
      <c r="H841" s="18" t="inlineStr">
        <is>
          <t>3L</t>
        </is>
      </c>
      <c r="I841" s="19">
        <f t="array" ref="I841">TRIM(_xlfn.XLOOKUP(非皮卡压缩表[[#This Row],[BACKSIZE]],ALL尺码表[内部尺码],ALL尺码表[分类],""))</f>
        <v/>
      </c>
      <c r="J841" s="19">
        <f t="array" ref="J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1" s="20">
        <f>LEN(非皮卡压缩表[[#This Row],[LONG-TYPE]])</f>
        <v/>
      </c>
      <c r="L841" s="21">
        <f t="array" ref="L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1" s="22">
        <f>LEN(非皮卡压缩表[[#This Row],[TYPE]])</f>
        <v/>
      </c>
      <c r="N841" s="22">
        <f t="array" ref="N841">_xlfn.XLOOKUP(非皮卡压缩表[[#This Row],[MODEL]],MODEL缩写表[长MODEL],MODEL缩写表[短MODEL],非皮卡压缩表[[#This Row],[MODEL]])</f>
        <v/>
      </c>
      <c r="O841" s="22">
        <f>LEN(非皮卡压缩表[[#This Row],[SHORT-MODEL]])</f>
        <v/>
      </c>
      <c r="P841" s="11">
        <f t="array" ref="P841">TRIM(_xlfn.XLOOKUP(非皮卡压缩表[[#This Row],[BACKSIZE]],ALL尺码表[内部尺码],ALL尺码表[通用尺码]))</f>
        <v/>
      </c>
    </row>
    <row r="842">
      <c r="A842" s="17" t="inlineStr">
        <is>
          <t>ALL</t>
        </is>
      </c>
      <c r="B842" s="18" t="inlineStr">
        <is>
          <t>Mercedes-Benz A-Class</t>
        </is>
      </c>
      <c r="C842" s="18" t="inlineStr">
        <is>
          <t>Mercedes-Benz</t>
        </is>
      </c>
      <c r="D842" s="18" t="inlineStr">
        <is>
          <t>A-Class</t>
        </is>
      </c>
      <c r="E842" s="18" t="inlineStr">
        <is>
          <t>2019-2022</t>
        </is>
      </c>
      <c r="F842" s="18" t="inlineStr">
        <is>
          <t>Incl: AMG</t>
        </is>
      </c>
      <c r="G842" s="18" t="inlineStr">
        <is>
          <t>Sedan</t>
        </is>
      </c>
      <c r="H842" s="18" t="inlineStr">
        <is>
          <t>3L</t>
        </is>
      </c>
      <c r="I842" s="19">
        <f t="array" ref="I842">TRIM(_xlfn.XLOOKUP(非皮卡压缩表[[#This Row],[BACKSIZE]],ALL尺码表[内部尺码],ALL尺码表[分类],""))</f>
        <v/>
      </c>
      <c r="J842" s="19">
        <f t="array" ref="J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2" s="20">
        <f>LEN(非皮卡压缩表[[#This Row],[LONG-TYPE]])</f>
        <v/>
      </c>
      <c r="L842" s="21">
        <f t="array" ref="L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2" s="22">
        <f>LEN(非皮卡压缩表[[#This Row],[TYPE]])</f>
        <v/>
      </c>
      <c r="N842" s="22">
        <f t="array" ref="N842">_xlfn.XLOOKUP(非皮卡压缩表[[#This Row],[MODEL]],MODEL缩写表[长MODEL],MODEL缩写表[短MODEL],非皮卡压缩表[[#This Row],[MODEL]])</f>
        <v/>
      </c>
      <c r="O842" s="22">
        <f>LEN(非皮卡压缩表[[#This Row],[SHORT-MODEL]])</f>
        <v/>
      </c>
      <c r="P842" s="11">
        <f t="array" ref="P842">TRIM(_xlfn.XLOOKUP(非皮卡压缩表[[#This Row],[BACKSIZE]],ALL尺码表[内部尺码],ALL尺码表[通用尺码]))</f>
        <v/>
      </c>
    </row>
    <row r="843">
      <c r="A843" s="17" t="inlineStr">
        <is>
          <t>ALL</t>
        </is>
      </c>
      <c r="B843" s="18" t="inlineStr">
        <is>
          <t>Mercedes-Benz B-Class</t>
        </is>
      </c>
      <c r="C843" s="18" t="inlineStr">
        <is>
          <t>Mercedes-Benz</t>
        </is>
      </c>
      <c r="D843" s="18" t="inlineStr">
        <is>
          <t>B-Class</t>
        </is>
      </c>
      <c r="E843" s="18" t="inlineStr">
        <is>
          <t>2014-2017</t>
        </is>
      </c>
      <c r="F843" s="18" t="inlineStr"/>
      <c r="G843" s="18" t="inlineStr">
        <is>
          <t>Hatchback</t>
        </is>
      </c>
      <c r="H843" s="18" t="inlineStr">
        <is>
          <t>2L+</t>
        </is>
      </c>
      <c r="I843" s="19">
        <f t="array" ref="I843">TRIM(_xlfn.XLOOKUP(非皮卡压缩表[[#This Row],[BACKSIZE]],ALL尺码表[内部尺码],ALL尺码表[分类],""))</f>
        <v/>
      </c>
      <c r="J843" s="19">
        <f t="array" ref="J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3" s="20">
        <f>LEN(非皮卡压缩表[[#This Row],[LONG-TYPE]])</f>
        <v/>
      </c>
      <c r="L843" s="21">
        <f t="array" ref="L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3" s="22">
        <f>LEN(非皮卡压缩表[[#This Row],[TYPE]])</f>
        <v/>
      </c>
      <c r="N843" s="22">
        <f t="array" ref="N843">_xlfn.XLOOKUP(非皮卡压缩表[[#This Row],[MODEL]],MODEL缩写表[长MODEL],MODEL缩写表[短MODEL],非皮卡压缩表[[#This Row],[MODEL]])</f>
        <v/>
      </c>
      <c r="O843" s="22">
        <f>LEN(非皮卡压缩表[[#This Row],[SHORT-MODEL]])</f>
        <v/>
      </c>
      <c r="P843" s="11">
        <f t="array" ref="P843">TRIM(_xlfn.XLOOKUP(非皮卡压缩表[[#This Row],[BACKSIZE]],ALL尺码表[内部尺码],ALL尺码表[通用尺码]))</f>
        <v/>
      </c>
    </row>
    <row r="844">
      <c r="A844" s="17" t="inlineStr">
        <is>
          <t>ALL</t>
        </is>
      </c>
      <c r="B844" s="18" t="inlineStr">
        <is>
          <t>Mercedes-Benz C-Class</t>
        </is>
      </c>
      <c r="C844" s="18" t="inlineStr">
        <is>
          <t>Mercedes-Benz</t>
        </is>
      </c>
      <c r="D844" s="18" t="inlineStr">
        <is>
          <t>C-Class</t>
        </is>
      </c>
      <c r="E844" s="18" t="inlineStr">
        <is>
          <t>1994-2021</t>
        </is>
      </c>
      <c r="F844" s="18" t="inlineStr">
        <is>
          <t>Incl: PHEV</t>
        </is>
      </c>
      <c r="G844" s="18" t="inlineStr">
        <is>
          <t>Sedan</t>
        </is>
      </c>
      <c r="H844" s="18" t="inlineStr">
        <is>
          <t>3L</t>
        </is>
      </c>
      <c r="I844" s="19">
        <f t="array" ref="I844">TRIM(_xlfn.XLOOKUP(非皮卡压缩表[[#This Row],[BACKSIZE]],ALL尺码表[内部尺码],ALL尺码表[分类],""))</f>
        <v/>
      </c>
      <c r="J844" s="19">
        <f t="array" ref="J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4" s="20">
        <f>LEN(非皮卡压缩表[[#This Row],[LONG-TYPE]])</f>
        <v/>
      </c>
      <c r="L844" s="21">
        <f t="array" ref="L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4" s="22">
        <f>LEN(非皮卡压缩表[[#This Row],[TYPE]])</f>
        <v/>
      </c>
      <c r="N844" s="22">
        <f t="array" ref="N844">_xlfn.XLOOKUP(非皮卡压缩表[[#This Row],[MODEL]],MODEL缩写表[长MODEL],MODEL缩写表[短MODEL],非皮卡压缩表[[#This Row],[MODEL]])</f>
        <v/>
      </c>
      <c r="O844" s="22">
        <f>LEN(非皮卡压缩表[[#This Row],[SHORT-MODEL]])</f>
        <v/>
      </c>
      <c r="P844" s="11">
        <f t="array" ref="P844">TRIM(_xlfn.XLOOKUP(非皮卡压缩表[[#This Row],[BACKSIZE]],ALL尺码表[内部尺码],ALL尺码表[通用尺码]))</f>
        <v/>
      </c>
    </row>
    <row r="845">
      <c r="A845" s="17" t="inlineStr">
        <is>
          <t>ALL</t>
        </is>
      </c>
      <c r="B845" s="18" t="inlineStr">
        <is>
          <t>Mercedes-Benz C-Class</t>
        </is>
      </c>
      <c r="C845" s="18" t="inlineStr">
        <is>
          <t>Mercedes-Benz</t>
        </is>
      </c>
      <c r="D845" s="18" t="inlineStr">
        <is>
          <t>C-Class</t>
        </is>
      </c>
      <c r="E845" s="18" t="inlineStr">
        <is>
          <t>1995-2006</t>
        </is>
      </c>
      <c r="F845" s="18" t="inlineStr">
        <is>
          <t>AMG</t>
        </is>
      </c>
      <c r="G845" s="18" t="inlineStr">
        <is>
          <t>Sedan</t>
        </is>
      </c>
      <c r="H845" s="18" t="inlineStr">
        <is>
          <t>3L</t>
        </is>
      </c>
      <c r="I845" s="19">
        <f t="array" ref="I845">TRIM(_xlfn.XLOOKUP(非皮卡压缩表[[#This Row],[BACKSIZE]],ALL尺码表[内部尺码],ALL尺码表[分类],""))</f>
        <v/>
      </c>
      <c r="J845" s="19">
        <f t="array" ref="J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5" s="20">
        <f>LEN(非皮卡压缩表[[#This Row],[LONG-TYPE]])</f>
        <v/>
      </c>
      <c r="L845" s="21">
        <f t="array" ref="L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5" s="22">
        <f>LEN(非皮卡压缩表[[#This Row],[TYPE]])</f>
        <v/>
      </c>
      <c r="N845" s="22">
        <f t="array" ref="N845">_xlfn.XLOOKUP(非皮卡压缩表[[#This Row],[MODEL]],MODEL缩写表[长MODEL],MODEL缩写表[短MODEL],非皮卡压缩表[[#This Row],[MODEL]])</f>
        <v/>
      </c>
      <c r="O845" s="22">
        <f>LEN(非皮卡压缩表[[#This Row],[SHORT-MODEL]])</f>
        <v/>
      </c>
      <c r="P845" s="11">
        <f t="array" ref="P845">TRIM(_xlfn.XLOOKUP(非皮卡压缩表[[#This Row],[BACKSIZE]],ALL尺码表[内部尺码],ALL尺码表[通用尺码]))</f>
        <v/>
      </c>
    </row>
    <row r="846">
      <c r="A846" s="17" t="inlineStr">
        <is>
          <t>ALL</t>
        </is>
      </c>
      <c r="B846" s="18" t="inlineStr">
        <is>
          <t>Mercedes-Benz C-Class</t>
        </is>
      </c>
      <c r="C846" s="18" t="inlineStr">
        <is>
          <t>Mercedes-Benz</t>
        </is>
      </c>
      <c r="D846" s="18" t="inlineStr">
        <is>
          <t>C-Class</t>
        </is>
      </c>
      <c r="E846" s="18" t="inlineStr">
        <is>
          <t>2002-2005</t>
        </is>
      </c>
      <c r="F846" s="18" t="inlineStr">
        <is>
          <t>SportCoupe</t>
        </is>
      </c>
      <c r="G846" s="18" t="inlineStr">
        <is>
          <t>Hatchback</t>
        </is>
      </c>
      <c r="H846" s="18" t="inlineStr">
        <is>
          <t>2L+</t>
        </is>
      </c>
      <c r="I846" s="19">
        <f t="array" ref="I846">TRIM(_xlfn.XLOOKUP(非皮卡压缩表[[#This Row],[BACKSIZE]],ALL尺码表[内部尺码],ALL尺码表[分类],""))</f>
        <v/>
      </c>
      <c r="J846" s="19">
        <f t="array" ref="J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6" s="20">
        <f>LEN(非皮卡压缩表[[#This Row],[LONG-TYPE]])</f>
        <v/>
      </c>
      <c r="L846" s="21">
        <f t="array" ref="L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6" s="22">
        <f>LEN(非皮卡压缩表[[#This Row],[TYPE]])</f>
        <v/>
      </c>
      <c r="N846" s="22">
        <f t="array" ref="N846">_xlfn.XLOOKUP(非皮卡压缩表[[#This Row],[MODEL]],MODEL缩写表[长MODEL],MODEL缩写表[短MODEL],非皮卡压缩表[[#This Row],[MODEL]])</f>
        <v/>
      </c>
      <c r="O846" s="22">
        <f>LEN(非皮卡压缩表[[#This Row],[SHORT-MODEL]])</f>
        <v/>
      </c>
      <c r="P846" s="11">
        <f t="array" ref="P846">TRIM(_xlfn.XLOOKUP(非皮卡压缩表[[#This Row],[BACKSIZE]],ALL尺码表[内部尺码],ALL尺码表[通用尺码]))</f>
        <v/>
      </c>
    </row>
    <row r="847">
      <c r="A847" s="17" t="inlineStr">
        <is>
          <t>ALL</t>
        </is>
      </c>
      <c r="B847" s="18" t="inlineStr">
        <is>
          <t>Mercedes-Benz C-Class</t>
        </is>
      </c>
      <c r="C847" s="18" t="inlineStr">
        <is>
          <t>Mercedes-Benz</t>
        </is>
      </c>
      <c r="D847" s="18" t="inlineStr">
        <is>
          <t>C-Class</t>
        </is>
      </c>
      <c r="E847" s="18" t="inlineStr">
        <is>
          <t>2002-2005</t>
        </is>
      </c>
      <c r="F847" s="18" t="inlineStr"/>
      <c r="G847" s="18" t="inlineStr">
        <is>
          <t>Wagon</t>
        </is>
      </c>
      <c r="H847" s="18" t="inlineStr">
        <is>
          <t>2XL</t>
        </is>
      </c>
      <c r="I847" s="19">
        <f t="array" ref="I847">TRIM(_xlfn.XLOOKUP(非皮卡压缩表[[#This Row],[BACKSIZE]],ALL尺码表[内部尺码],ALL尺码表[分类],""))</f>
        <v/>
      </c>
      <c r="J847" s="19">
        <f t="array" ref="J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7" s="20">
        <f>LEN(非皮卡压缩表[[#This Row],[LONG-TYPE]])</f>
        <v/>
      </c>
      <c r="L847" s="21">
        <f t="array" ref="L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7" s="22">
        <f>LEN(非皮卡压缩表[[#This Row],[TYPE]])</f>
        <v/>
      </c>
      <c r="N847" s="22">
        <f t="array" ref="N847">_xlfn.XLOOKUP(非皮卡压缩表[[#This Row],[MODEL]],MODEL缩写表[长MODEL],MODEL缩写表[短MODEL],非皮卡压缩表[[#This Row],[MODEL]])</f>
        <v/>
      </c>
      <c r="O847" s="22">
        <f>LEN(非皮卡压缩表[[#This Row],[SHORT-MODEL]])</f>
        <v/>
      </c>
      <c r="P847" s="11">
        <f t="array" ref="P847">TRIM(_xlfn.XLOOKUP(非皮卡压缩表[[#This Row],[BACKSIZE]],ALL尺码表[内部尺码],ALL尺码表[通用尺码]))</f>
        <v/>
      </c>
    </row>
    <row r="848">
      <c r="A848" s="17" t="inlineStr">
        <is>
          <t>ALL</t>
        </is>
      </c>
      <c r="B848" s="18" t="inlineStr">
        <is>
          <t>Mercedes-Benz C-Class</t>
        </is>
      </c>
      <c r="C848" s="18" t="inlineStr">
        <is>
          <t>Mercedes-Benz</t>
        </is>
      </c>
      <c r="D848" s="18" t="inlineStr">
        <is>
          <t>C-Class</t>
        </is>
      </c>
      <c r="E848" s="18" t="inlineStr">
        <is>
          <t>2008-2026</t>
        </is>
      </c>
      <c r="F848" s="18" t="inlineStr">
        <is>
          <t>AMG</t>
        </is>
      </c>
      <c r="G848" s="18" t="inlineStr">
        <is>
          <t>Sedan</t>
        </is>
      </c>
      <c r="H848" s="18" t="inlineStr">
        <is>
          <t>3XL</t>
        </is>
      </c>
      <c r="I848" s="19">
        <f t="array" ref="I848">TRIM(_xlfn.XLOOKUP(非皮卡压缩表[[#This Row],[BACKSIZE]],ALL尺码表[内部尺码],ALL尺码表[分类],""))</f>
        <v/>
      </c>
      <c r="J848" s="19">
        <f t="array" ref="J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8" s="20">
        <f>LEN(非皮卡压缩表[[#This Row],[LONG-TYPE]])</f>
        <v/>
      </c>
      <c r="L848" s="21">
        <f t="array" ref="L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8" s="22">
        <f>LEN(非皮卡压缩表[[#This Row],[TYPE]])</f>
        <v/>
      </c>
      <c r="N848" s="22">
        <f t="array" ref="N848">_xlfn.XLOOKUP(非皮卡压缩表[[#This Row],[MODEL]],MODEL缩写表[长MODEL],MODEL缩写表[短MODEL],非皮卡压缩表[[#This Row],[MODEL]])</f>
        <v/>
      </c>
      <c r="O848" s="22">
        <f>LEN(非皮卡压缩表[[#This Row],[SHORT-MODEL]])</f>
        <v/>
      </c>
      <c r="P848" s="11">
        <f t="array" ref="P848">TRIM(_xlfn.XLOOKUP(非皮卡压缩表[[#This Row],[BACKSIZE]],ALL尺码表[内部尺码],ALL尺码表[通用尺码]))</f>
        <v/>
      </c>
    </row>
    <row r="849" ht="30" customHeight="1" s="23">
      <c r="A849" s="17" t="inlineStr">
        <is>
          <t>ALL</t>
        </is>
      </c>
      <c r="B849" s="18" t="inlineStr">
        <is>
          <t>Mercedes-Benz C-Class</t>
        </is>
      </c>
      <c r="C849" s="18" t="inlineStr">
        <is>
          <t>Mercedes-Benz</t>
        </is>
      </c>
      <c r="D849" s="18" t="inlineStr">
        <is>
          <t>C-Class</t>
        </is>
      </c>
      <c r="E849" s="18" t="inlineStr">
        <is>
          <t>2012-2023</t>
        </is>
      </c>
      <c r="F849" s="18" t="inlineStr"/>
      <c r="G849" s="18" t="inlineStr">
        <is>
          <t>Convertible/Coupe</t>
        </is>
      </c>
      <c r="H849" s="18" t="inlineStr">
        <is>
          <t>3L-0</t>
        </is>
      </c>
      <c r="I849" s="19">
        <f t="array" ref="I849">TRIM(_xlfn.XLOOKUP(非皮卡压缩表[[#This Row],[BACKSIZE]],ALL尺码表[内部尺码],ALL尺码表[分类],""))</f>
        <v/>
      </c>
      <c r="J849" s="19">
        <f t="array" ref="J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9" s="20">
        <f>LEN(非皮卡压缩表[[#This Row],[LONG-TYPE]])</f>
        <v/>
      </c>
      <c r="L849" s="21">
        <f t="array" ref="L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9" s="22">
        <f>LEN(非皮卡压缩表[[#This Row],[TYPE]])</f>
        <v/>
      </c>
      <c r="N849" s="22">
        <f t="array" ref="N849">_xlfn.XLOOKUP(非皮卡压缩表[[#This Row],[MODEL]],MODEL缩写表[长MODEL],MODEL缩写表[短MODEL],非皮卡压缩表[[#This Row],[MODEL]])</f>
        <v/>
      </c>
      <c r="O849" s="22">
        <f>LEN(非皮卡压缩表[[#This Row],[SHORT-MODEL]])</f>
        <v/>
      </c>
      <c r="P849" s="11">
        <f t="array" ref="P849">TRIM(_xlfn.XLOOKUP(非皮卡压缩表[[#This Row],[BACKSIZE]],ALL尺码表[内部尺码],ALL尺码表[通用尺码]))</f>
        <v/>
      </c>
    </row>
    <row r="850" ht="30" customHeight="1" s="23">
      <c r="A850" s="17" t="inlineStr">
        <is>
          <t>ALL</t>
        </is>
      </c>
      <c r="B850" s="18" t="inlineStr">
        <is>
          <t>Mercedes-Benz C-Class</t>
        </is>
      </c>
      <c r="C850" s="18" t="inlineStr">
        <is>
          <t>Mercedes-Benz</t>
        </is>
      </c>
      <c r="D850" s="18" t="inlineStr">
        <is>
          <t>C-Class</t>
        </is>
      </c>
      <c r="E850" s="18" t="inlineStr">
        <is>
          <t>2012-2015</t>
        </is>
      </c>
      <c r="F850" s="18" t="inlineStr">
        <is>
          <t>AMG</t>
        </is>
      </c>
      <c r="G850" s="18" t="inlineStr">
        <is>
          <t>Coupe</t>
        </is>
      </c>
      <c r="H850" s="18" t="inlineStr">
        <is>
          <t>3XL-0</t>
        </is>
      </c>
      <c r="I850" s="19">
        <f t="array" ref="I850">TRIM(_xlfn.XLOOKUP(非皮卡压缩表[[#This Row],[BACKSIZE]],ALL尺码表[内部尺码],ALL尺码表[分类],""))</f>
        <v/>
      </c>
      <c r="J850" s="19">
        <f t="array" ref="J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0" s="20">
        <f>LEN(非皮卡压缩表[[#This Row],[LONG-TYPE]])</f>
        <v/>
      </c>
      <c r="L850" s="21">
        <f t="array" ref="L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0" s="22">
        <f>LEN(非皮卡压缩表[[#This Row],[TYPE]])</f>
        <v/>
      </c>
      <c r="N850" s="22">
        <f t="array" ref="N850">_xlfn.XLOOKUP(非皮卡压缩表[[#This Row],[MODEL]],MODEL缩写表[长MODEL],MODEL缩写表[短MODEL],非皮卡压缩表[[#This Row],[MODEL]])</f>
        <v/>
      </c>
      <c r="O850" s="22">
        <f>LEN(非皮卡压缩表[[#This Row],[SHORT-MODEL]])</f>
        <v/>
      </c>
      <c r="P850" s="11">
        <f t="array" ref="P850">TRIM(_xlfn.XLOOKUP(非皮卡压缩表[[#This Row],[BACKSIZE]],ALL尺码表[内部尺码],ALL尺码表[通用尺码]))</f>
        <v/>
      </c>
    </row>
    <row r="851">
      <c r="A851" s="17" t="inlineStr">
        <is>
          <t>ALL</t>
        </is>
      </c>
      <c r="B851" s="18" t="inlineStr">
        <is>
          <t>Mercedes-Benz C-Class</t>
        </is>
      </c>
      <c r="C851" s="18" t="inlineStr">
        <is>
          <t>Mercedes-Benz</t>
        </is>
      </c>
      <c r="D851" s="18" t="inlineStr">
        <is>
          <t>C-Class</t>
        </is>
      </c>
      <c r="E851" s="18" t="inlineStr">
        <is>
          <t>2022-2026</t>
        </is>
      </c>
      <c r="F851" s="18" t="inlineStr"/>
      <c r="G851" s="18" t="inlineStr">
        <is>
          <t>Sedan</t>
        </is>
      </c>
      <c r="H851" s="18" t="inlineStr">
        <is>
          <t>3XL</t>
        </is>
      </c>
      <c r="I851" s="19">
        <f t="array" ref="I851">TRIM(_xlfn.XLOOKUP(非皮卡压缩表[[#This Row],[BACKSIZE]],ALL尺码表[内部尺码],ALL尺码表[分类],""))</f>
        <v/>
      </c>
      <c r="J851" s="19">
        <f t="array" ref="J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1" s="20">
        <f>LEN(非皮卡压缩表[[#This Row],[LONG-TYPE]])</f>
        <v/>
      </c>
      <c r="L851" s="21">
        <f t="array" ref="L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1" s="22">
        <f>LEN(非皮卡压缩表[[#This Row],[TYPE]])</f>
        <v/>
      </c>
      <c r="N851" s="22">
        <f t="array" ref="N851">_xlfn.XLOOKUP(非皮卡压缩表[[#This Row],[MODEL]],MODEL缩写表[长MODEL],MODEL缩写表[短MODEL],非皮卡压缩表[[#This Row],[MODEL]])</f>
        <v/>
      </c>
      <c r="O851" s="22">
        <f>LEN(非皮卡压缩表[[#This Row],[SHORT-MODEL]])</f>
        <v/>
      </c>
      <c r="P851" s="11">
        <f t="array" ref="P851">TRIM(_xlfn.XLOOKUP(非皮卡压缩表[[#This Row],[BACKSIZE]],ALL尺码表[内部尺码],ALL尺码表[通用尺码]))</f>
        <v/>
      </c>
    </row>
    <row r="852">
      <c r="A852" s="17" t="inlineStr">
        <is>
          <t>ALL</t>
        </is>
      </c>
      <c r="B852" s="18" t="inlineStr">
        <is>
          <t>Mercedes-Benz CL-Class</t>
        </is>
      </c>
      <c r="C852" s="18" t="inlineStr">
        <is>
          <t>Mercedes-Benz</t>
        </is>
      </c>
      <c r="D852" s="18" t="inlineStr">
        <is>
          <t>CL-Class</t>
        </is>
      </c>
      <c r="E852" s="18" t="inlineStr">
        <is>
          <t>1998-2014</t>
        </is>
      </c>
      <c r="F852" s="18" t="inlineStr">
        <is>
          <t>Incl: AMG</t>
        </is>
      </c>
      <c r="G852" s="18" t="inlineStr">
        <is>
          <t>Coupe</t>
        </is>
      </c>
      <c r="H852" s="18" t="inlineStr">
        <is>
          <t>3XL+0</t>
        </is>
      </c>
      <c r="I852" s="19">
        <f t="array" ref="I852">TRIM(_xlfn.XLOOKUP(非皮卡压缩表[[#This Row],[BACKSIZE]],ALL尺码表[内部尺码],ALL尺码表[分类],""))</f>
        <v/>
      </c>
      <c r="J852" s="19">
        <f t="array" ref="J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2" s="20">
        <f>LEN(非皮卡压缩表[[#This Row],[LONG-TYPE]])</f>
        <v/>
      </c>
      <c r="L852" s="21">
        <f t="array" ref="L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2" s="22">
        <f>LEN(非皮卡压缩表[[#This Row],[TYPE]])</f>
        <v/>
      </c>
      <c r="N852" s="22">
        <f t="array" ref="N852">_xlfn.XLOOKUP(非皮卡压缩表[[#This Row],[MODEL]],MODEL缩写表[长MODEL],MODEL缩写表[短MODEL],非皮卡压缩表[[#This Row],[MODEL]])</f>
        <v/>
      </c>
      <c r="O852" s="22">
        <f>LEN(非皮卡压缩表[[#This Row],[SHORT-MODEL]])</f>
        <v/>
      </c>
      <c r="P852" s="11">
        <f t="array" ref="P852">TRIM(_xlfn.XLOOKUP(非皮卡压缩表[[#This Row],[BACKSIZE]],ALL尺码表[内部尺码],ALL尺码表[通用尺码]))</f>
        <v/>
      </c>
    </row>
    <row r="853">
      <c r="A853" s="17" t="inlineStr">
        <is>
          <t>ALL</t>
        </is>
      </c>
      <c r="B853" s="18" t="inlineStr">
        <is>
          <t>Mercedes-Benz CLA-Class</t>
        </is>
      </c>
      <c r="C853" s="18" t="inlineStr">
        <is>
          <t>Mercedes-Benz</t>
        </is>
      </c>
      <c r="D853" s="18" t="inlineStr">
        <is>
          <t>CLA-Class</t>
        </is>
      </c>
      <c r="E853" s="18" t="inlineStr">
        <is>
          <t>2014-2025</t>
        </is>
      </c>
      <c r="F853" s="18" t="inlineStr"/>
      <c r="G853" s="18" t="inlineStr">
        <is>
          <t>Sedan</t>
        </is>
      </c>
      <c r="H853" s="18" t="inlineStr">
        <is>
          <t>3L</t>
        </is>
      </c>
      <c r="I853" s="19">
        <f t="array" ref="I853">TRIM(_xlfn.XLOOKUP(非皮卡压缩表[[#This Row],[BACKSIZE]],ALL尺码表[内部尺码],ALL尺码表[分类],""))</f>
        <v/>
      </c>
      <c r="J853" s="19">
        <f t="array" ref="J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3" s="20">
        <f>LEN(非皮卡压缩表[[#This Row],[LONG-TYPE]])</f>
        <v/>
      </c>
      <c r="L853" s="21">
        <f t="array" ref="L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3" s="22">
        <f>LEN(非皮卡压缩表[[#This Row],[TYPE]])</f>
        <v/>
      </c>
      <c r="N853" s="22">
        <f t="array" ref="N853">_xlfn.XLOOKUP(非皮卡压缩表[[#This Row],[MODEL]],MODEL缩写表[长MODEL],MODEL缩写表[短MODEL],非皮卡压缩表[[#This Row],[MODEL]])</f>
        <v/>
      </c>
      <c r="O853" s="22">
        <f>LEN(非皮卡压缩表[[#This Row],[SHORT-MODEL]])</f>
        <v/>
      </c>
      <c r="P853" s="11">
        <f t="array" ref="P853">TRIM(_xlfn.XLOOKUP(非皮卡压缩表[[#This Row],[BACKSIZE]],ALL尺码表[内部尺码],ALL尺码表[通用尺码]))</f>
        <v/>
      </c>
    </row>
    <row r="854">
      <c r="A854" s="17" t="inlineStr">
        <is>
          <t>ALL</t>
        </is>
      </c>
      <c r="B854" s="18" t="inlineStr">
        <is>
          <t>Mercedes-Benz CLA-Class</t>
        </is>
      </c>
      <c r="C854" s="18" t="inlineStr">
        <is>
          <t>Mercedes-Benz</t>
        </is>
      </c>
      <c r="D854" s="18" t="inlineStr">
        <is>
          <t>CLA-Class</t>
        </is>
      </c>
      <c r="E854" s="18" t="inlineStr">
        <is>
          <t>2014-2026</t>
        </is>
      </c>
      <c r="F854" s="18" t="inlineStr">
        <is>
          <t>AMG</t>
        </is>
      </c>
      <c r="G854" s="18" t="inlineStr">
        <is>
          <t>Sedan</t>
        </is>
      </c>
      <c r="H854" s="18" t="inlineStr">
        <is>
          <t>3L</t>
        </is>
      </c>
      <c r="I854" s="19">
        <f t="array" ref="I854">TRIM(_xlfn.XLOOKUP(非皮卡压缩表[[#This Row],[BACKSIZE]],ALL尺码表[内部尺码],ALL尺码表[分类],""))</f>
        <v/>
      </c>
      <c r="J854" s="19">
        <f t="array" ref="J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4" s="20">
        <f>LEN(非皮卡压缩表[[#This Row],[LONG-TYPE]])</f>
        <v/>
      </c>
      <c r="L854" s="21">
        <f t="array" ref="L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4" s="22">
        <f>LEN(非皮卡压缩表[[#This Row],[TYPE]])</f>
        <v/>
      </c>
      <c r="N854" s="22">
        <f t="array" ref="N854">_xlfn.XLOOKUP(非皮卡压缩表[[#This Row],[MODEL]],MODEL缩写表[长MODEL],MODEL缩写表[短MODEL],非皮卡压缩表[[#This Row],[MODEL]])</f>
        <v/>
      </c>
      <c r="O854" s="22">
        <f>LEN(非皮卡压缩表[[#This Row],[SHORT-MODEL]])</f>
        <v/>
      </c>
      <c r="P854" s="11">
        <f t="array" ref="P854">TRIM(_xlfn.XLOOKUP(非皮卡压缩表[[#This Row],[BACKSIZE]],ALL尺码表[内部尺码],ALL尺码表[通用尺码]))</f>
        <v/>
      </c>
    </row>
    <row r="855">
      <c r="A855" s="17" t="inlineStr">
        <is>
          <t>ALL</t>
        </is>
      </c>
      <c r="B855" s="18" t="inlineStr">
        <is>
          <t>Mercedes-Benz CLA-Class</t>
        </is>
      </c>
      <c r="C855" s="18" t="inlineStr">
        <is>
          <t>Mercedes-Benz</t>
        </is>
      </c>
      <c r="D855" s="18" t="inlineStr">
        <is>
          <t>CLA-Class</t>
        </is>
      </c>
      <c r="E855" s="18" t="inlineStr">
        <is>
          <t>2026-2027</t>
        </is>
      </c>
      <c r="F855" s="18" t="inlineStr"/>
      <c r="G855" s="18" t="inlineStr">
        <is>
          <t>Sedan</t>
        </is>
      </c>
      <c r="H855" s="18" t="inlineStr">
        <is>
          <t>3XL</t>
        </is>
      </c>
      <c r="I855" s="19">
        <f t="array" ref="I855">TRIM(_xlfn.XLOOKUP(非皮卡压缩表[[#This Row],[BACKSIZE]],ALL尺码表[内部尺码],ALL尺码表[分类],""))</f>
        <v/>
      </c>
      <c r="J855" s="19">
        <f t="array" ref="J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5" s="20">
        <f>LEN(非皮卡压缩表[[#This Row],[LONG-TYPE]])</f>
        <v/>
      </c>
      <c r="L855" s="21">
        <f t="array" ref="L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5" s="22">
        <f>LEN(非皮卡压缩表[[#This Row],[TYPE]])</f>
        <v/>
      </c>
      <c r="N855" s="22">
        <f t="array" ref="N855">_xlfn.XLOOKUP(非皮卡压缩表[[#This Row],[MODEL]],MODEL缩写表[长MODEL],MODEL缩写表[短MODEL],非皮卡压缩表[[#This Row],[MODEL]])</f>
        <v/>
      </c>
      <c r="O855" s="22">
        <f>LEN(非皮卡压缩表[[#This Row],[SHORT-MODEL]])</f>
        <v/>
      </c>
      <c r="P855" s="11">
        <f t="array" ref="P855">TRIM(_xlfn.XLOOKUP(非皮卡压缩表[[#This Row],[BACKSIZE]],ALL尺码表[内部尺码],ALL尺码表[通用尺码]))</f>
        <v/>
      </c>
    </row>
    <row r="856">
      <c r="A856" s="17" t="inlineStr">
        <is>
          <t>ALL</t>
        </is>
      </c>
      <c r="B856" s="18" t="inlineStr">
        <is>
          <t>Mercedes-Benz CLK-Class</t>
        </is>
      </c>
      <c r="C856" s="18" t="inlineStr">
        <is>
          <t>Mercedes-Benz</t>
        </is>
      </c>
      <c r="D856" s="18" t="inlineStr">
        <is>
          <t>CLK-Class</t>
        </is>
      </c>
      <c r="E856" s="18" t="inlineStr">
        <is>
          <t>1998-2009</t>
        </is>
      </c>
      <c r="F856" s="18" t="inlineStr"/>
      <c r="G856" s="18" t="inlineStr">
        <is>
          <t>Convertible/Coupe</t>
        </is>
      </c>
      <c r="H856" s="18" t="inlineStr">
        <is>
          <t>3L-0</t>
        </is>
      </c>
      <c r="I856" s="19">
        <f t="array" ref="I856">TRIM(_xlfn.XLOOKUP(非皮卡压缩表[[#This Row],[BACKSIZE]],ALL尺码表[内部尺码],ALL尺码表[分类],""))</f>
        <v/>
      </c>
      <c r="J856" s="19">
        <f t="array" ref="J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6" s="20">
        <f>LEN(非皮卡压缩表[[#This Row],[LONG-TYPE]])</f>
        <v/>
      </c>
      <c r="L856" s="21">
        <f t="array" ref="L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6" s="22">
        <f>LEN(非皮卡压缩表[[#This Row],[TYPE]])</f>
        <v/>
      </c>
      <c r="N856" s="22">
        <f t="array" ref="N856">_xlfn.XLOOKUP(非皮卡压缩表[[#This Row],[MODEL]],MODEL缩写表[长MODEL],MODEL缩写表[短MODEL],非皮卡压缩表[[#This Row],[MODEL]])</f>
        <v/>
      </c>
      <c r="O856" s="22">
        <f>LEN(非皮卡压缩表[[#This Row],[SHORT-MODEL]])</f>
        <v/>
      </c>
      <c r="P856" s="11">
        <f t="array" ref="P856">TRIM(_xlfn.XLOOKUP(非皮卡压缩表[[#This Row],[BACKSIZE]],ALL尺码表[内部尺码],ALL尺码表[通用尺码]))</f>
        <v/>
      </c>
    </row>
    <row r="857">
      <c r="A857" s="17" t="inlineStr">
        <is>
          <t>ALL</t>
        </is>
      </c>
      <c r="B857" s="18" t="inlineStr">
        <is>
          <t>Mercedes-Benz CLS-Class</t>
        </is>
      </c>
      <c r="C857" s="18" t="inlineStr">
        <is>
          <t>Mercedes-Benz</t>
        </is>
      </c>
      <c r="D857" s="18" t="inlineStr">
        <is>
          <t>CLS-Class</t>
        </is>
      </c>
      <c r="E857" s="18" t="inlineStr">
        <is>
          <t>2006-2023</t>
        </is>
      </c>
      <c r="F857" s="18" t="inlineStr">
        <is>
          <t>4dr coupe/AMG</t>
        </is>
      </c>
      <c r="G857" s="18" t="inlineStr">
        <is>
          <t>Sedan</t>
        </is>
      </c>
      <c r="H857" s="18" t="inlineStr">
        <is>
          <t>3XXL</t>
        </is>
      </c>
      <c r="I857" s="19">
        <f t="array" ref="I857">TRIM(_xlfn.XLOOKUP(非皮卡压缩表[[#This Row],[BACKSIZE]],ALL尺码表[内部尺码],ALL尺码表[分类],""))</f>
        <v/>
      </c>
      <c r="J857" s="19">
        <f t="array" ref="J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7" s="20">
        <f>LEN(非皮卡压缩表[[#This Row],[LONG-TYPE]])</f>
        <v/>
      </c>
      <c r="L857" s="21">
        <f t="array" ref="L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7" s="22">
        <f>LEN(非皮卡压缩表[[#This Row],[TYPE]])</f>
        <v/>
      </c>
      <c r="N857" s="22">
        <f t="array" ref="N857">_xlfn.XLOOKUP(非皮卡压缩表[[#This Row],[MODEL]],MODEL缩写表[长MODEL],MODEL缩写表[短MODEL],非皮卡压缩表[[#This Row],[MODEL]])</f>
        <v/>
      </c>
      <c r="O857" s="22">
        <f>LEN(非皮卡压缩表[[#This Row],[SHORT-MODEL]])</f>
        <v/>
      </c>
      <c r="P857" s="11">
        <f t="array" ref="P857">TRIM(_xlfn.XLOOKUP(非皮卡压缩表[[#This Row],[BACKSIZE]],ALL尺码表[内部尺码],ALL尺码表[通用尺码]))</f>
        <v/>
      </c>
    </row>
    <row r="858">
      <c r="A858" s="17" t="inlineStr">
        <is>
          <t>ALL</t>
        </is>
      </c>
      <c r="B858" s="18" t="inlineStr">
        <is>
          <t>Mercedes-Benz E-Class</t>
        </is>
      </c>
      <c r="C858" s="18" t="inlineStr">
        <is>
          <t>Mercedes-Benz</t>
        </is>
      </c>
      <c r="D858" s="18" t="inlineStr">
        <is>
          <t>E-Class</t>
        </is>
      </c>
      <c r="E858" s="18" t="inlineStr">
        <is>
          <t>1994-1995</t>
        </is>
      </c>
      <c r="F858" s="18" t="inlineStr"/>
      <c r="G858" s="18" t="inlineStr">
        <is>
          <t>Wagon</t>
        </is>
      </c>
      <c r="H858" s="18" t="inlineStr">
        <is>
          <t>2XL</t>
        </is>
      </c>
      <c r="I858" s="19">
        <f t="array" ref="I858">TRIM(_xlfn.XLOOKUP(非皮卡压缩表[[#This Row],[BACKSIZE]],ALL尺码表[内部尺码],ALL尺码表[分类],""))</f>
        <v/>
      </c>
      <c r="J858" s="19">
        <f t="array" ref="J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8" s="20">
        <f>LEN(非皮卡压缩表[[#This Row],[LONG-TYPE]])</f>
        <v/>
      </c>
      <c r="L858" s="21">
        <f t="array" ref="L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8" s="22">
        <f>LEN(非皮卡压缩表[[#This Row],[TYPE]])</f>
        <v/>
      </c>
      <c r="N858" s="22">
        <f t="array" ref="N858">_xlfn.XLOOKUP(非皮卡压缩表[[#This Row],[MODEL]],MODEL缩写表[长MODEL],MODEL缩写表[短MODEL],非皮卡压缩表[[#This Row],[MODEL]])</f>
        <v/>
      </c>
      <c r="O858" s="22">
        <f>LEN(非皮卡压缩表[[#This Row],[SHORT-MODEL]])</f>
        <v/>
      </c>
      <c r="P858" s="11">
        <f t="array" ref="P858">TRIM(_xlfn.XLOOKUP(非皮卡压缩表[[#This Row],[BACKSIZE]],ALL尺码表[内部尺码],ALL尺码表[通用尺码]))</f>
        <v/>
      </c>
    </row>
    <row r="859">
      <c r="A859" s="17" t="inlineStr">
        <is>
          <t>ALL</t>
        </is>
      </c>
      <c r="B859" s="18" t="inlineStr">
        <is>
          <t>Mercedes-Benz E-Class</t>
        </is>
      </c>
      <c r="C859" s="18" t="inlineStr">
        <is>
          <t>Mercedes-Benz</t>
        </is>
      </c>
      <c r="D859" s="18" t="inlineStr">
        <is>
          <t>E-Class</t>
        </is>
      </c>
      <c r="E859" s="18" t="inlineStr">
        <is>
          <t>1994-2017</t>
        </is>
      </c>
      <c r="F859" s="18" t="inlineStr">
        <is>
          <t>Incl: Cabriolet</t>
        </is>
      </c>
      <c r="G859" s="18" t="inlineStr">
        <is>
          <t>Convertible/Coupe</t>
        </is>
      </c>
      <c r="H859" s="18" t="inlineStr">
        <is>
          <t>3L-0</t>
        </is>
      </c>
      <c r="I859" s="19">
        <f t="array" ref="I859">TRIM(_xlfn.XLOOKUP(非皮卡压缩表[[#This Row],[BACKSIZE]],ALL尺码表[内部尺码],ALL尺码表[分类],""))</f>
        <v/>
      </c>
      <c r="J859" s="19">
        <f t="array" ref="J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9" s="20">
        <f>LEN(非皮卡压缩表[[#This Row],[LONG-TYPE]])</f>
        <v/>
      </c>
      <c r="L859" s="21">
        <f t="array" ref="L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9" s="22">
        <f>LEN(非皮卡压缩表[[#This Row],[TYPE]])</f>
        <v/>
      </c>
      <c r="N859" s="22">
        <f t="array" ref="N859">_xlfn.XLOOKUP(非皮卡压缩表[[#This Row],[MODEL]],MODEL缩写表[长MODEL],MODEL缩写表[短MODEL],非皮卡压缩表[[#This Row],[MODEL]])</f>
        <v/>
      </c>
      <c r="O859" s="22">
        <f>LEN(非皮卡压缩表[[#This Row],[SHORT-MODEL]])</f>
        <v/>
      </c>
      <c r="P859" s="11">
        <f t="array" ref="P859">TRIM(_xlfn.XLOOKUP(非皮卡压缩表[[#This Row],[BACKSIZE]],ALL尺码表[内部尺码],ALL尺码表[通用尺码]))</f>
        <v/>
      </c>
    </row>
    <row r="860">
      <c r="A860" s="17" t="inlineStr">
        <is>
          <t>ALL</t>
        </is>
      </c>
      <c r="B860" s="18" t="inlineStr">
        <is>
          <t>Mercedes-Benz E-Class</t>
        </is>
      </c>
      <c r="C860" s="18" t="inlineStr">
        <is>
          <t>Mercedes-Benz</t>
        </is>
      </c>
      <c r="D860" s="18" t="inlineStr">
        <is>
          <t>E-Class</t>
        </is>
      </c>
      <c r="E860" s="18" t="inlineStr">
        <is>
          <t>1994-2009</t>
        </is>
      </c>
      <c r="F860" s="18" t="inlineStr">
        <is>
          <t>Incl: AMG</t>
        </is>
      </c>
      <c r="G860" s="18" t="inlineStr">
        <is>
          <t>Sedan</t>
        </is>
      </c>
      <c r="H860" s="18" t="inlineStr">
        <is>
          <t>3XL</t>
        </is>
      </c>
      <c r="I860" s="19">
        <f t="array" ref="I860">TRIM(_xlfn.XLOOKUP(非皮卡压缩表[[#This Row],[BACKSIZE]],ALL尺码表[内部尺码],ALL尺码表[分类],""))</f>
        <v/>
      </c>
      <c r="J860" s="19">
        <f t="array" ref="J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0" s="20">
        <f>LEN(非皮卡压缩表[[#This Row],[LONG-TYPE]])</f>
        <v/>
      </c>
      <c r="L860" s="21">
        <f t="array" ref="L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0" s="22">
        <f>LEN(非皮卡压缩表[[#This Row],[TYPE]])</f>
        <v/>
      </c>
      <c r="N860" s="22">
        <f t="array" ref="N860">_xlfn.XLOOKUP(非皮卡压缩表[[#This Row],[MODEL]],MODEL缩写表[长MODEL],MODEL缩写表[短MODEL],非皮卡压缩表[[#This Row],[MODEL]])</f>
        <v/>
      </c>
      <c r="O860" s="22">
        <f>LEN(非皮卡压缩表[[#This Row],[SHORT-MODEL]])</f>
        <v/>
      </c>
      <c r="P860" s="11">
        <f t="array" ref="P860">TRIM(_xlfn.XLOOKUP(非皮卡压缩表[[#This Row],[BACKSIZE]],ALL尺码表[内部尺码],ALL尺码表[通用尺码]))</f>
        <v/>
      </c>
    </row>
    <row r="861">
      <c r="A861" s="17" t="inlineStr">
        <is>
          <t>ALL</t>
        </is>
      </c>
      <c r="B861" s="18" t="inlineStr">
        <is>
          <t>Mercedes-Benz E-Class</t>
        </is>
      </c>
      <c r="C861" s="18" t="inlineStr">
        <is>
          <t>Mercedes-Benz</t>
        </is>
      </c>
      <c r="D861" s="18" t="inlineStr">
        <is>
          <t>E-Class</t>
        </is>
      </c>
      <c r="E861" s="18" t="inlineStr">
        <is>
          <t>1998-2026</t>
        </is>
      </c>
      <c r="F861" s="18" t="inlineStr">
        <is>
          <t>Incl: All-Terrain</t>
        </is>
      </c>
      <c r="G861" s="18" t="inlineStr">
        <is>
          <t>Wagon</t>
        </is>
      </c>
      <c r="H861" s="18" t="inlineStr">
        <is>
          <t>2XL+</t>
        </is>
      </c>
      <c r="I861" s="19">
        <f t="array" ref="I861">TRIM(_xlfn.XLOOKUP(非皮卡压缩表[[#This Row],[BACKSIZE]],ALL尺码表[内部尺码],ALL尺码表[分类],""))</f>
        <v/>
      </c>
      <c r="J861" s="19">
        <f t="array" ref="J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1" s="20">
        <f>LEN(非皮卡压缩表[[#This Row],[LONG-TYPE]])</f>
        <v/>
      </c>
      <c r="L861" s="21">
        <f t="array" ref="L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1" s="22">
        <f>LEN(非皮卡压缩表[[#This Row],[TYPE]])</f>
        <v/>
      </c>
      <c r="N861" s="22">
        <f t="array" ref="N861">_xlfn.XLOOKUP(非皮卡压缩表[[#This Row],[MODEL]],MODEL缩写表[长MODEL],MODEL缩写表[短MODEL],非皮卡压缩表[[#This Row],[MODEL]])</f>
        <v/>
      </c>
      <c r="O861" s="22">
        <f>LEN(非皮卡压缩表[[#This Row],[SHORT-MODEL]])</f>
        <v/>
      </c>
      <c r="P861" s="11">
        <f t="array" ref="P861">TRIM(_xlfn.XLOOKUP(非皮卡压缩表[[#This Row],[BACKSIZE]],ALL尺码表[内部尺码],ALL尺码表[通用尺码]))</f>
        <v/>
      </c>
    </row>
    <row r="862">
      <c r="A862" s="17" t="inlineStr">
        <is>
          <t>ALL</t>
        </is>
      </c>
      <c r="B862" s="18" t="inlineStr">
        <is>
          <t>Mercedes-Benz E-Class</t>
        </is>
      </c>
      <c r="C862" s="18" t="inlineStr">
        <is>
          <t>Mercedes-Benz</t>
        </is>
      </c>
      <c r="D862" s="18" t="inlineStr">
        <is>
          <t>E-Class</t>
        </is>
      </c>
      <c r="E862" s="18" t="inlineStr">
        <is>
          <t>2010-2026</t>
        </is>
      </c>
      <c r="F862" s="18" t="inlineStr">
        <is>
          <t>Incl: AMG/PHEV</t>
        </is>
      </c>
      <c r="G862" s="18" t="inlineStr">
        <is>
          <t>Sedan</t>
        </is>
      </c>
      <c r="H862" s="18" t="inlineStr">
        <is>
          <t>3XXL</t>
        </is>
      </c>
      <c r="I862" s="19">
        <f t="array" ref="I862">TRIM(_xlfn.XLOOKUP(非皮卡压缩表[[#This Row],[BACKSIZE]],ALL尺码表[内部尺码],ALL尺码表[分类],""))</f>
        <v/>
      </c>
      <c r="J862" s="19">
        <f t="array" ref="J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2" s="20">
        <f>LEN(非皮卡压缩表[[#This Row],[LONG-TYPE]])</f>
        <v/>
      </c>
      <c r="L862" s="21">
        <f t="array" ref="L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2" s="22">
        <f>LEN(非皮卡压缩表[[#This Row],[TYPE]])</f>
        <v/>
      </c>
      <c r="N862" s="22">
        <f t="array" ref="N862">_xlfn.XLOOKUP(非皮卡压缩表[[#This Row],[MODEL]],MODEL缩写表[长MODEL],MODEL缩写表[短MODEL],非皮卡压缩表[[#This Row],[MODEL]])</f>
        <v/>
      </c>
      <c r="O862" s="22">
        <f>LEN(非皮卡压缩表[[#This Row],[SHORT-MODEL]])</f>
        <v/>
      </c>
      <c r="P862" s="11">
        <f t="array" ref="P862">TRIM(_xlfn.XLOOKUP(非皮卡压缩表[[#This Row],[BACKSIZE]],ALL尺码表[内部尺码],ALL尺码表[通用尺码]))</f>
        <v/>
      </c>
    </row>
    <row r="863">
      <c r="A863" s="17" t="inlineStr">
        <is>
          <t>ALL</t>
        </is>
      </c>
      <c r="B863" s="18" t="inlineStr">
        <is>
          <t>Mercedes-Benz E-Class</t>
        </is>
      </c>
      <c r="C863" s="18" t="inlineStr">
        <is>
          <t>Mercedes-Benz</t>
        </is>
      </c>
      <c r="D863" s="18" t="inlineStr">
        <is>
          <t>E-Class</t>
        </is>
      </c>
      <c r="E863" s="18" t="inlineStr">
        <is>
          <t>2018-2023</t>
        </is>
      </c>
      <c r="F863" s="18" t="inlineStr">
        <is>
          <t>Incl: Cabriolet</t>
        </is>
      </c>
      <c r="G863" s="18" t="inlineStr">
        <is>
          <t>Convertible/Coupe</t>
        </is>
      </c>
      <c r="H863" s="18" t="inlineStr">
        <is>
          <t>3XL-0</t>
        </is>
      </c>
      <c r="I863" s="19">
        <f t="array" ref="I863">TRIM(_xlfn.XLOOKUP(非皮卡压缩表[[#This Row],[BACKSIZE]],ALL尺码表[内部尺码],ALL尺码表[分类],""))</f>
        <v/>
      </c>
      <c r="J863" s="19">
        <f t="array" ref="J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3" s="20">
        <f>LEN(非皮卡压缩表[[#This Row],[LONG-TYPE]])</f>
        <v/>
      </c>
      <c r="L863" s="21">
        <f t="array" ref="L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3" s="22">
        <f>LEN(非皮卡压缩表[[#This Row],[TYPE]])</f>
        <v/>
      </c>
      <c r="N863" s="22">
        <f t="array" ref="N863">_xlfn.XLOOKUP(非皮卡压缩表[[#This Row],[MODEL]],MODEL缩写表[长MODEL],MODEL缩写表[短MODEL],非皮卡压缩表[[#This Row],[MODEL]])</f>
        <v/>
      </c>
      <c r="O863" s="22">
        <f>LEN(非皮卡压缩表[[#This Row],[SHORT-MODEL]])</f>
        <v/>
      </c>
      <c r="P863" s="11">
        <f t="array" ref="P863">TRIM(_xlfn.XLOOKUP(非皮卡压缩表[[#This Row],[BACKSIZE]],ALL尺码表[内部尺码],ALL尺码表[通用尺码]))</f>
        <v/>
      </c>
    </row>
    <row r="864">
      <c r="A864" s="17" t="inlineStr">
        <is>
          <t>ALL</t>
        </is>
      </c>
      <c r="B864" s="18" t="inlineStr">
        <is>
          <t>Mercedes-Benz EQB</t>
        </is>
      </c>
      <c r="C864" s="18" t="inlineStr">
        <is>
          <t>Mercedes-Benz</t>
        </is>
      </c>
      <c r="D864" s="18" t="inlineStr">
        <is>
          <t>EQB</t>
        </is>
      </c>
      <c r="E864" s="18" t="inlineStr">
        <is>
          <t>2022-2025</t>
        </is>
      </c>
      <c r="F864" s="18" t="inlineStr"/>
      <c r="G864" s="18" t="inlineStr">
        <is>
          <t>SUV</t>
        </is>
      </c>
      <c r="H864" s="18" t="inlineStr">
        <is>
          <t>YL</t>
        </is>
      </c>
      <c r="I864" s="19">
        <f t="array" ref="I864">TRIM(_xlfn.XLOOKUP(非皮卡压缩表[[#This Row],[BACKSIZE]],ALL尺码表[内部尺码],ALL尺码表[分类],""))</f>
        <v/>
      </c>
      <c r="J864" s="19">
        <f t="array" ref="J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4" s="20">
        <f>LEN(非皮卡压缩表[[#This Row],[LONG-TYPE]])</f>
        <v/>
      </c>
      <c r="L864" s="21">
        <f t="array" ref="L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4" s="22">
        <f>LEN(非皮卡压缩表[[#This Row],[TYPE]])</f>
        <v/>
      </c>
      <c r="N864" s="22">
        <f t="array" ref="N864">_xlfn.XLOOKUP(非皮卡压缩表[[#This Row],[MODEL]],MODEL缩写表[长MODEL],MODEL缩写表[短MODEL],非皮卡压缩表[[#This Row],[MODEL]])</f>
        <v/>
      </c>
      <c r="O864" s="22">
        <f>LEN(非皮卡压缩表[[#This Row],[SHORT-MODEL]])</f>
        <v/>
      </c>
      <c r="P864" s="11">
        <f t="array" ref="P864">TRIM(_xlfn.XLOOKUP(非皮卡压缩表[[#This Row],[BACKSIZE]],ALL尺码表[内部尺码],ALL尺码表[通用尺码]))</f>
        <v/>
      </c>
    </row>
    <row r="865">
      <c r="A865" s="17" t="inlineStr">
        <is>
          <t>ALL</t>
        </is>
      </c>
      <c r="B865" s="18" t="inlineStr">
        <is>
          <t>Mercedes-Benz G-Class</t>
        </is>
      </c>
      <c r="C865" s="18" t="inlineStr">
        <is>
          <t>Mercedes-Benz</t>
        </is>
      </c>
      <c r="D865" s="18" t="inlineStr">
        <is>
          <t>G-Class</t>
        </is>
      </c>
      <c r="E865" s="18" t="inlineStr">
        <is>
          <t>2003-2018</t>
        </is>
      </c>
      <c r="F865" s="18" t="inlineStr">
        <is>
          <t>AMG</t>
        </is>
      </c>
      <c r="G865" s="18" t="inlineStr">
        <is>
          <t>SUV</t>
        </is>
      </c>
      <c r="H865" s="18" t="inlineStr">
        <is>
          <t>YL</t>
        </is>
      </c>
      <c r="I865" s="19">
        <f t="array" ref="I865">TRIM(_xlfn.XLOOKUP(非皮卡压缩表[[#This Row],[BACKSIZE]],ALL尺码表[内部尺码],ALL尺码表[分类],""))</f>
        <v/>
      </c>
      <c r="J865" s="19">
        <f t="array" ref="J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5" s="20">
        <f>LEN(非皮卡压缩表[[#This Row],[LONG-TYPE]])</f>
        <v/>
      </c>
      <c r="L865" s="21">
        <f t="array" ref="L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5" s="22">
        <f>LEN(非皮卡压缩表[[#This Row],[TYPE]])</f>
        <v/>
      </c>
      <c r="N865" s="22">
        <f t="array" ref="N865">_xlfn.XLOOKUP(非皮卡压缩表[[#This Row],[MODEL]],MODEL缩写表[长MODEL],MODEL缩写表[短MODEL],非皮卡压缩表[[#This Row],[MODEL]])</f>
        <v/>
      </c>
      <c r="O865" s="22">
        <f>LEN(非皮卡压缩表[[#This Row],[SHORT-MODEL]])</f>
        <v/>
      </c>
      <c r="P865" s="11">
        <f t="array" ref="P865">TRIM(_xlfn.XLOOKUP(非皮卡压缩表[[#This Row],[BACKSIZE]],ALL尺码表[内部尺码],ALL尺码表[通用尺码]))</f>
        <v/>
      </c>
    </row>
    <row r="866">
      <c r="A866" s="17" t="inlineStr">
        <is>
          <t>ALL</t>
        </is>
      </c>
      <c r="B866" s="18" t="inlineStr">
        <is>
          <t>Mercedes-Benz G-Class</t>
        </is>
      </c>
      <c r="C866" s="18" t="inlineStr">
        <is>
          <t>Mercedes-Benz</t>
        </is>
      </c>
      <c r="D866" s="18" t="inlineStr">
        <is>
          <t>G-Class</t>
        </is>
      </c>
      <c r="E866" s="18" t="inlineStr">
        <is>
          <t>2019-2026</t>
        </is>
      </c>
      <c r="F866" s="18" t="inlineStr"/>
      <c r="G866" s="18" t="inlineStr">
        <is>
          <t>SUV</t>
        </is>
      </c>
      <c r="H866" s="18" t="inlineStr">
        <is>
          <t>YXL</t>
        </is>
      </c>
      <c r="I866" s="19">
        <f t="array" ref="I866">TRIM(_xlfn.XLOOKUP(非皮卡压缩表[[#This Row],[BACKSIZE]],ALL尺码表[内部尺码],ALL尺码表[分类],""))</f>
        <v/>
      </c>
      <c r="J866" s="19">
        <f t="array" ref="J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6" s="20">
        <f>LEN(非皮卡压缩表[[#This Row],[LONG-TYPE]])</f>
        <v/>
      </c>
      <c r="L866" s="21">
        <f t="array" ref="L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6" s="22">
        <f>LEN(非皮卡压缩表[[#This Row],[TYPE]])</f>
        <v/>
      </c>
      <c r="N866" s="22">
        <f t="array" ref="N866">_xlfn.XLOOKUP(非皮卡压缩表[[#This Row],[MODEL]],MODEL缩写表[长MODEL],MODEL缩写表[短MODEL],非皮卡压缩表[[#This Row],[MODEL]])</f>
        <v/>
      </c>
      <c r="O866" s="22">
        <f>LEN(非皮卡压缩表[[#This Row],[SHORT-MODEL]])</f>
        <v/>
      </c>
      <c r="P866" s="11">
        <f t="array" ref="P866">TRIM(_xlfn.XLOOKUP(非皮卡压缩表[[#This Row],[BACKSIZE]],ALL尺码表[内部尺码],ALL尺码表[通用尺码]))</f>
        <v/>
      </c>
    </row>
    <row r="867">
      <c r="A867" s="17" t="inlineStr">
        <is>
          <t>ALL</t>
        </is>
      </c>
      <c r="B867" s="18" t="inlineStr">
        <is>
          <t>Mercedes-Benz GL-Class</t>
        </is>
      </c>
      <c r="C867" s="18" t="inlineStr">
        <is>
          <t>Mercedes-Benz</t>
        </is>
      </c>
      <c r="D867" s="18" t="inlineStr">
        <is>
          <t>GL-Class</t>
        </is>
      </c>
      <c r="E867" s="18" t="inlineStr">
        <is>
          <t>2007-2012</t>
        </is>
      </c>
      <c r="F867" s="18" t="inlineStr"/>
      <c r="G867" s="18" t="inlineStr">
        <is>
          <t>SUV</t>
        </is>
      </c>
      <c r="H867" s="18" t="inlineStr">
        <is>
          <t>YXL</t>
        </is>
      </c>
      <c r="I867" s="19">
        <f t="array" ref="I867">TRIM(_xlfn.XLOOKUP(非皮卡压缩表[[#This Row],[BACKSIZE]],ALL尺码表[内部尺码],ALL尺码表[分类],""))</f>
        <v/>
      </c>
      <c r="J867" s="19">
        <f t="array" ref="J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7" s="20">
        <f>LEN(非皮卡压缩表[[#This Row],[LONG-TYPE]])</f>
        <v/>
      </c>
      <c r="L867" s="21">
        <f t="array" ref="L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7" s="22">
        <f>LEN(非皮卡压缩表[[#This Row],[TYPE]])</f>
        <v/>
      </c>
      <c r="N867" s="22">
        <f t="array" ref="N867">_xlfn.XLOOKUP(非皮卡压缩表[[#This Row],[MODEL]],MODEL缩写表[长MODEL],MODEL缩写表[短MODEL],非皮卡压缩表[[#This Row],[MODEL]])</f>
        <v/>
      </c>
      <c r="O867" s="22">
        <f>LEN(非皮卡压缩表[[#This Row],[SHORT-MODEL]])</f>
        <v/>
      </c>
      <c r="P867" s="11">
        <f t="array" ref="P867">TRIM(_xlfn.XLOOKUP(非皮卡压缩表[[#This Row],[BACKSIZE]],ALL尺码表[内部尺码],ALL尺码表[通用尺码]))</f>
        <v/>
      </c>
    </row>
    <row r="868">
      <c r="A868" s="17" t="inlineStr">
        <is>
          <t>ALL</t>
        </is>
      </c>
      <c r="B868" s="18" t="inlineStr">
        <is>
          <t>Mercedes-Benz GL-Class</t>
        </is>
      </c>
      <c r="C868" s="18" t="inlineStr">
        <is>
          <t>Mercedes-Benz</t>
        </is>
      </c>
      <c r="D868" s="18" t="inlineStr">
        <is>
          <t>GL-Class</t>
        </is>
      </c>
      <c r="E868" s="18" t="inlineStr">
        <is>
          <t>2013-2016</t>
        </is>
      </c>
      <c r="F868" s="18" t="inlineStr">
        <is>
          <t>AMG</t>
        </is>
      </c>
      <c r="G868" s="18" t="inlineStr">
        <is>
          <t>SUV</t>
        </is>
      </c>
      <c r="H868" s="18" t="inlineStr">
        <is>
          <t>YXXL</t>
        </is>
      </c>
      <c r="I868" s="19">
        <f t="array" ref="I868">TRIM(_xlfn.XLOOKUP(非皮卡压缩表[[#This Row],[BACKSIZE]],ALL尺码表[内部尺码],ALL尺码表[分类],""))</f>
        <v/>
      </c>
      <c r="J868" s="19">
        <f t="array" ref="J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8" s="20">
        <f>LEN(非皮卡压缩表[[#This Row],[LONG-TYPE]])</f>
        <v/>
      </c>
      <c r="L868" s="21">
        <f t="array" ref="L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8" s="22">
        <f>LEN(非皮卡压缩表[[#This Row],[TYPE]])</f>
        <v/>
      </c>
      <c r="N868" s="22">
        <f t="array" ref="N868">_xlfn.XLOOKUP(非皮卡压缩表[[#This Row],[MODEL]],MODEL缩写表[长MODEL],MODEL缩写表[短MODEL],非皮卡压缩表[[#This Row],[MODEL]])</f>
        <v/>
      </c>
      <c r="O868" s="22">
        <f>LEN(非皮卡压缩表[[#This Row],[SHORT-MODEL]])</f>
        <v/>
      </c>
      <c r="P868" s="11">
        <f t="array" ref="P868">TRIM(_xlfn.XLOOKUP(非皮卡压缩表[[#This Row],[BACKSIZE]],ALL尺码表[内部尺码],ALL尺码表[通用尺码]))</f>
        <v/>
      </c>
    </row>
    <row r="869">
      <c r="A869" s="17" t="inlineStr">
        <is>
          <t>ALL</t>
        </is>
      </c>
      <c r="B869" s="18" t="inlineStr">
        <is>
          <t>Mercedes-Benz GLA-Class</t>
        </is>
      </c>
      <c r="C869" s="18" t="inlineStr">
        <is>
          <t>Mercedes-Benz</t>
        </is>
      </c>
      <c r="D869" s="18" t="inlineStr">
        <is>
          <t>GLA-Class</t>
        </is>
      </c>
      <c r="E869" s="18" t="inlineStr">
        <is>
          <t>2015-2026</t>
        </is>
      </c>
      <c r="F869" s="18" t="inlineStr">
        <is>
          <t>Incl: AMG</t>
        </is>
      </c>
      <c r="G869" s="18" t="inlineStr">
        <is>
          <t>SUV</t>
        </is>
      </c>
      <c r="H869" s="18" t="inlineStr">
        <is>
          <t>YM+</t>
        </is>
      </c>
      <c r="I869" s="19">
        <f t="array" ref="I869">TRIM(_xlfn.XLOOKUP(非皮卡压缩表[[#This Row],[BACKSIZE]],ALL尺码表[内部尺码],ALL尺码表[分类],""))</f>
        <v/>
      </c>
      <c r="J869" s="19">
        <f t="array" ref="J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9" s="20">
        <f>LEN(非皮卡压缩表[[#This Row],[LONG-TYPE]])</f>
        <v/>
      </c>
      <c r="L869" s="21">
        <f t="array" ref="L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9" s="22">
        <f>LEN(非皮卡压缩表[[#This Row],[TYPE]])</f>
        <v/>
      </c>
      <c r="N869" s="22">
        <f t="array" ref="N869">_xlfn.XLOOKUP(非皮卡压缩表[[#This Row],[MODEL]],MODEL缩写表[长MODEL],MODEL缩写表[短MODEL],非皮卡压缩表[[#This Row],[MODEL]])</f>
        <v/>
      </c>
      <c r="O869" s="22">
        <f>LEN(非皮卡压缩表[[#This Row],[SHORT-MODEL]])</f>
        <v/>
      </c>
      <c r="P869" s="11">
        <f t="array" ref="P869">TRIM(_xlfn.XLOOKUP(非皮卡压缩表[[#This Row],[BACKSIZE]],ALL尺码表[内部尺码],ALL尺码表[通用尺码]))</f>
        <v/>
      </c>
    </row>
    <row r="870">
      <c r="A870" s="17" t="inlineStr">
        <is>
          <t>ALL</t>
        </is>
      </c>
      <c r="B870" s="18" t="inlineStr">
        <is>
          <t>Mercedes-Benz GLB-Class</t>
        </is>
      </c>
      <c r="C870" s="18" t="inlineStr">
        <is>
          <t>Mercedes-Benz</t>
        </is>
      </c>
      <c r="D870" s="18" t="inlineStr">
        <is>
          <t>GLB-Class</t>
        </is>
      </c>
      <c r="E870" s="18" t="inlineStr">
        <is>
          <t>2020-2026</t>
        </is>
      </c>
      <c r="F870" s="18" t="inlineStr"/>
      <c r="G870" s="18" t="inlineStr">
        <is>
          <t>SUV</t>
        </is>
      </c>
      <c r="H870" s="18" t="inlineStr">
        <is>
          <t>YL</t>
        </is>
      </c>
      <c r="I870" s="19">
        <f t="array" ref="I870">TRIM(_xlfn.XLOOKUP(非皮卡压缩表[[#This Row],[BACKSIZE]],ALL尺码表[内部尺码],ALL尺码表[分类],""))</f>
        <v/>
      </c>
      <c r="J870" s="19">
        <f t="array" ref="J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0" s="20">
        <f>LEN(非皮卡压缩表[[#This Row],[LONG-TYPE]])</f>
        <v/>
      </c>
      <c r="L870" s="21">
        <f t="array" ref="L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0" s="22">
        <f>LEN(非皮卡压缩表[[#This Row],[TYPE]])</f>
        <v/>
      </c>
      <c r="N870" s="22">
        <f t="array" ref="N870">_xlfn.XLOOKUP(非皮卡压缩表[[#This Row],[MODEL]],MODEL缩写表[长MODEL],MODEL缩写表[短MODEL],非皮卡压缩表[[#This Row],[MODEL]])</f>
        <v/>
      </c>
      <c r="O870" s="22">
        <f>LEN(非皮卡压缩表[[#This Row],[SHORT-MODEL]])</f>
        <v/>
      </c>
      <c r="P870" s="11">
        <f t="array" ref="P870">TRIM(_xlfn.XLOOKUP(非皮卡压缩表[[#This Row],[BACKSIZE]],ALL尺码表[内部尺码],ALL尺码表[通用尺码]))</f>
        <v/>
      </c>
    </row>
    <row r="871">
      <c r="A871" s="17" t="inlineStr">
        <is>
          <t>ALL</t>
        </is>
      </c>
      <c r="B871" s="18" t="inlineStr">
        <is>
          <t>Mercedes-Benz GLC-Class</t>
        </is>
      </c>
      <c r="C871" s="18" t="inlineStr">
        <is>
          <t>Mercedes-Benz</t>
        </is>
      </c>
      <c r="D871" s="18" t="inlineStr">
        <is>
          <t>GLC-Class</t>
        </is>
      </c>
      <c r="E871" s="18" t="inlineStr">
        <is>
          <t>2016-2026</t>
        </is>
      </c>
      <c r="F871" s="18" t="inlineStr">
        <is>
          <t>Incl: AMG</t>
        </is>
      </c>
      <c r="G871" s="18" t="inlineStr">
        <is>
          <t>CUV/SUV</t>
        </is>
      </c>
      <c r="H871" s="18" t="inlineStr">
        <is>
          <t>YL</t>
        </is>
      </c>
      <c r="I871" s="19">
        <f t="array" ref="I871">TRIM(_xlfn.XLOOKUP(非皮卡压缩表[[#This Row],[BACKSIZE]],ALL尺码表[内部尺码],ALL尺码表[分类],""))</f>
        <v/>
      </c>
      <c r="J871" s="19">
        <f t="array" ref="J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1" s="20">
        <f>LEN(非皮卡压缩表[[#This Row],[LONG-TYPE]])</f>
        <v/>
      </c>
      <c r="L871" s="21">
        <f t="array" ref="L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1" s="22">
        <f>LEN(非皮卡压缩表[[#This Row],[TYPE]])</f>
        <v/>
      </c>
      <c r="N871" s="22">
        <f t="array" ref="N871">_xlfn.XLOOKUP(非皮卡压缩表[[#This Row],[MODEL]],MODEL缩写表[长MODEL],MODEL缩写表[短MODEL],非皮卡压缩表[[#This Row],[MODEL]])</f>
        <v/>
      </c>
      <c r="O871" s="22">
        <f>LEN(非皮卡压缩表[[#This Row],[SHORT-MODEL]])</f>
        <v/>
      </c>
      <c r="P871" s="11">
        <f t="array" ref="P871">TRIM(_xlfn.XLOOKUP(非皮卡压缩表[[#This Row],[BACKSIZE]],ALL尺码表[内部尺码],ALL尺码表[通用尺码]))</f>
        <v/>
      </c>
    </row>
    <row r="872">
      <c r="A872" s="17" t="inlineStr">
        <is>
          <t>ALL</t>
        </is>
      </c>
      <c r="B872" s="18" t="inlineStr">
        <is>
          <t>Mercedes-Benz GLE-Class</t>
        </is>
      </c>
      <c r="C872" s="18" t="inlineStr">
        <is>
          <t>Mercedes-Benz</t>
        </is>
      </c>
      <c r="D872" s="18" t="inlineStr">
        <is>
          <t>GLE-Class</t>
        </is>
      </c>
      <c r="E872" s="18" t="inlineStr">
        <is>
          <t>2016-2019</t>
        </is>
      </c>
      <c r="F872" s="18" t="inlineStr"/>
      <c r="G872" s="18" t="inlineStr">
        <is>
          <t>Coupe</t>
        </is>
      </c>
      <c r="H872" s="18" t="inlineStr">
        <is>
          <t>3XL-0</t>
        </is>
      </c>
      <c r="I872" s="19">
        <f t="array" ref="I872">TRIM(_xlfn.XLOOKUP(非皮卡压缩表[[#This Row],[BACKSIZE]],ALL尺码表[内部尺码],ALL尺码表[分类],""))</f>
        <v/>
      </c>
      <c r="J872" s="19">
        <f t="array" ref="J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2" s="20">
        <f>LEN(非皮卡压缩表[[#This Row],[LONG-TYPE]])</f>
        <v/>
      </c>
      <c r="L872" s="21">
        <f t="array" ref="L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2" s="22">
        <f>LEN(非皮卡压缩表[[#This Row],[TYPE]])</f>
        <v/>
      </c>
      <c r="N872" s="22">
        <f t="array" ref="N872">_xlfn.XLOOKUP(非皮卡压缩表[[#This Row],[MODEL]],MODEL缩写表[长MODEL],MODEL缩写表[短MODEL],非皮卡压缩表[[#This Row],[MODEL]])</f>
        <v/>
      </c>
      <c r="O872" s="22">
        <f>LEN(非皮卡压缩表[[#This Row],[SHORT-MODEL]])</f>
        <v/>
      </c>
      <c r="P872" s="11">
        <f t="array" ref="P872">TRIM(_xlfn.XLOOKUP(非皮卡压缩表[[#This Row],[BACKSIZE]],ALL尺码表[内部尺码],ALL尺码表[通用尺码]))</f>
        <v/>
      </c>
    </row>
    <row r="873">
      <c r="A873" s="17" t="inlineStr">
        <is>
          <t>ALL</t>
        </is>
      </c>
      <c r="B873" s="18" t="inlineStr">
        <is>
          <t>Mercedes-Benz GLE-Class</t>
        </is>
      </c>
      <c r="C873" s="18" t="inlineStr">
        <is>
          <t>Mercedes-Benz</t>
        </is>
      </c>
      <c r="D873" s="18" t="inlineStr">
        <is>
          <t>GLE-Class</t>
        </is>
      </c>
      <c r="E873" s="18" t="inlineStr">
        <is>
          <t>2016-2019</t>
        </is>
      </c>
      <c r="F873" s="18" t="inlineStr"/>
      <c r="G873" s="18" t="inlineStr">
        <is>
          <t>SUV</t>
        </is>
      </c>
      <c r="H873" s="18" t="inlineStr">
        <is>
          <t>YL</t>
        </is>
      </c>
      <c r="I873" s="19">
        <f t="array" ref="I873">TRIM(_xlfn.XLOOKUP(非皮卡压缩表[[#This Row],[BACKSIZE]],ALL尺码表[内部尺码],ALL尺码表[分类],""))</f>
        <v/>
      </c>
      <c r="J873" s="19">
        <f t="array" ref="J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3" s="20">
        <f>LEN(非皮卡压缩表[[#This Row],[LONG-TYPE]])</f>
        <v/>
      </c>
      <c r="L873" s="21">
        <f t="array" ref="L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3" s="22">
        <f>LEN(非皮卡压缩表[[#This Row],[TYPE]])</f>
        <v/>
      </c>
      <c r="N873" s="22">
        <f t="array" ref="N873">_xlfn.XLOOKUP(非皮卡压缩表[[#This Row],[MODEL]],MODEL缩写表[长MODEL],MODEL缩写表[短MODEL],非皮卡压缩表[[#This Row],[MODEL]])</f>
        <v/>
      </c>
      <c r="O873" s="22">
        <f>LEN(非皮卡压缩表[[#This Row],[SHORT-MODEL]])</f>
        <v/>
      </c>
      <c r="P873" s="11">
        <f t="array" ref="P873">TRIM(_xlfn.XLOOKUP(非皮卡压缩表[[#This Row],[BACKSIZE]],ALL尺码表[内部尺码],ALL尺码表[通用尺码]))</f>
        <v/>
      </c>
    </row>
    <row r="874">
      <c r="A874" s="17" t="inlineStr">
        <is>
          <t>ALL</t>
        </is>
      </c>
      <c r="B874" s="18" t="inlineStr">
        <is>
          <t>Mercedes-Benz GLE-Class</t>
        </is>
      </c>
      <c r="C874" s="18" t="inlineStr">
        <is>
          <t>Mercedes-Benz</t>
        </is>
      </c>
      <c r="D874" s="18" t="inlineStr">
        <is>
          <t>GLE-Class</t>
        </is>
      </c>
      <c r="E874" s="18" t="inlineStr">
        <is>
          <t>2020-2026</t>
        </is>
      </c>
      <c r="F874" s="18" t="inlineStr"/>
      <c r="G874" s="18" t="inlineStr">
        <is>
          <t>SUV</t>
        </is>
      </c>
      <c r="H874" s="18" t="inlineStr">
        <is>
          <t>YXL</t>
        </is>
      </c>
      <c r="I874" s="19">
        <f t="array" ref="I874">TRIM(_xlfn.XLOOKUP(非皮卡压缩表[[#This Row],[BACKSIZE]],ALL尺码表[内部尺码],ALL尺码表[分类],""))</f>
        <v/>
      </c>
      <c r="J874" s="19">
        <f t="array" ref="J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4" s="20">
        <f>LEN(非皮卡压缩表[[#This Row],[LONG-TYPE]])</f>
        <v/>
      </c>
      <c r="L874" s="21">
        <f t="array" ref="L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4" s="22">
        <f>LEN(非皮卡压缩表[[#This Row],[TYPE]])</f>
        <v/>
      </c>
      <c r="N874" s="22">
        <f t="array" ref="N874">_xlfn.XLOOKUP(非皮卡压缩表[[#This Row],[MODEL]],MODEL缩写表[长MODEL],MODEL缩写表[短MODEL],非皮卡压缩表[[#This Row],[MODEL]])</f>
        <v/>
      </c>
      <c r="O874" s="22">
        <f>LEN(非皮卡压缩表[[#This Row],[SHORT-MODEL]])</f>
        <v/>
      </c>
      <c r="P874" s="11">
        <f t="array" ref="P874">TRIM(_xlfn.XLOOKUP(非皮卡压缩表[[#This Row],[BACKSIZE]],ALL尺码表[内部尺码],ALL尺码表[通用尺码]))</f>
        <v/>
      </c>
    </row>
    <row r="875">
      <c r="A875" s="17" t="inlineStr">
        <is>
          <t>ALL</t>
        </is>
      </c>
      <c r="B875" s="18" t="inlineStr">
        <is>
          <t>Mercedes-Benz GLE-Class</t>
        </is>
      </c>
      <c r="C875" s="18" t="inlineStr">
        <is>
          <t>Mercedes-Benz</t>
        </is>
      </c>
      <c r="D875" s="18" t="inlineStr">
        <is>
          <t>GLE-Class</t>
        </is>
      </c>
      <c r="E875" s="18" t="inlineStr">
        <is>
          <t>2021-2026</t>
        </is>
      </c>
      <c r="F875" s="18" t="inlineStr"/>
      <c r="G875" s="18" t="inlineStr">
        <is>
          <t>Coupe</t>
        </is>
      </c>
      <c r="H875" s="18" t="inlineStr">
        <is>
          <t>3XL+0</t>
        </is>
      </c>
      <c r="I875" s="19">
        <f t="array" ref="I875">TRIM(_xlfn.XLOOKUP(非皮卡压缩表[[#This Row],[BACKSIZE]],ALL尺码表[内部尺码],ALL尺码表[分类],""))</f>
        <v/>
      </c>
      <c r="J875" s="19">
        <f t="array" ref="J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5" s="20">
        <f>LEN(非皮卡压缩表[[#This Row],[LONG-TYPE]])</f>
        <v/>
      </c>
      <c r="L875" s="21">
        <f t="array" ref="L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5" s="22">
        <f>LEN(非皮卡压缩表[[#This Row],[TYPE]])</f>
        <v/>
      </c>
      <c r="N875" s="22">
        <f t="array" ref="N875">_xlfn.XLOOKUP(非皮卡压缩表[[#This Row],[MODEL]],MODEL缩写表[长MODEL],MODEL缩写表[短MODEL],非皮卡压缩表[[#This Row],[MODEL]])</f>
        <v/>
      </c>
      <c r="O875" s="22">
        <f>LEN(非皮卡压缩表[[#This Row],[SHORT-MODEL]])</f>
        <v/>
      </c>
      <c r="P875" s="11">
        <f t="array" ref="P875">TRIM(_xlfn.XLOOKUP(非皮卡压缩表[[#This Row],[BACKSIZE]],ALL尺码表[内部尺码],ALL尺码表[通用尺码]))</f>
        <v/>
      </c>
    </row>
    <row r="876">
      <c r="A876" s="17" t="inlineStr">
        <is>
          <t>ALL</t>
        </is>
      </c>
      <c r="B876" s="18" t="inlineStr">
        <is>
          <t>Mercedes-Benz GLK-Class</t>
        </is>
      </c>
      <c r="C876" s="18" t="inlineStr">
        <is>
          <t>Mercedes-Benz</t>
        </is>
      </c>
      <c r="D876" s="18" t="inlineStr">
        <is>
          <t>GLK-Class</t>
        </is>
      </c>
      <c r="E876" s="18" t="inlineStr">
        <is>
          <t>2011-2015</t>
        </is>
      </c>
      <c r="F876" s="18" t="inlineStr"/>
      <c r="G876" s="18" t="inlineStr">
        <is>
          <t>SUV</t>
        </is>
      </c>
      <c r="H876" s="18" t="inlineStr">
        <is>
          <t>YM+</t>
        </is>
      </c>
      <c r="I876" s="19">
        <f t="array" ref="I876">TRIM(_xlfn.XLOOKUP(非皮卡压缩表[[#This Row],[BACKSIZE]],ALL尺码表[内部尺码],ALL尺码表[分类],""))</f>
        <v/>
      </c>
      <c r="J876" s="19">
        <f t="array" ref="J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6" s="20">
        <f>LEN(非皮卡压缩表[[#This Row],[LONG-TYPE]])</f>
        <v/>
      </c>
      <c r="L876" s="21">
        <f t="array" ref="L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6" s="22">
        <f>LEN(非皮卡压缩表[[#This Row],[TYPE]])</f>
        <v/>
      </c>
      <c r="N876" s="22">
        <f t="array" ref="N876">_xlfn.XLOOKUP(非皮卡压缩表[[#This Row],[MODEL]],MODEL缩写表[长MODEL],MODEL缩写表[短MODEL],非皮卡压缩表[[#This Row],[MODEL]])</f>
        <v/>
      </c>
      <c r="O876" s="22">
        <f>LEN(非皮卡压缩表[[#This Row],[SHORT-MODEL]])</f>
        <v/>
      </c>
      <c r="P876" s="11">
        <f t="array" ref="P876">TRIM(_xlfn.XLOOKUP(非皮卡压缩表[[#This Row],[BACKSIZE]],ALL尺码表[内部尺码],ALL尺码表[通用尺码]))</f>
        <v/>
      </c>
    </row>
    <row r="877">
      <c r="A877" s="17" t="inlineStr">
        <is>
          <t>ALL</t>
        </is>
      </c>
      <c r="B877" s="18" t="inlineStr">
        <is>
          <t>Mercedes-Benz GLS-Class</t>
        </is>
      </c>
      <c r="C877" s="18" t="inlineStr">
        <is>
          <t>Mercedes-Benz</t>
        </is>
      </c>
      <c r="D877" s="18" t="inlineStr">
        <is>
          <t>GLS-Class</t>
        </is>
      </c>
      <c r="E877" s="18" t="inlineStr">
        <is>
          <t>2017-2026</t>
        </is>
      </c>
      <c r="F877" s="18" t="inlineStr">
        <is>
          <t>AMG</t>
        </is>
      </c>
      <c r="G877" s="18" t="inlineStr">
        <is>
          <t>SUV</t>
        </is>
      </c>
      <c r="H877" s="18" t="inlineStr">
        <is>
          <t>YXXL</t>
        </is>
      </c>
      <c r="I877" s="19">
        <f t="array" ref="I877">TRIM(_xlfn.XLOOKUP(非皮卡压缩表[[#This Row],[BACKSIZE]],ALL尺码表[内部尺码],ALL尺码表[分类],""))</f>
        <v/>
      </c>
      <c r="J877" s="19">
        <f t="array" ref="J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7" s="20">
        <f>LEN(非皮卡压缩表[[#This Row],[LONG-TYPE]])</f>
        <v/>
      </c>
      <c r="L877" s="21">
        <f t="array" ref="L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7" s="22">
        <f>LEN(非皮卡压缩表[[#This Row],[TYPE]])</f>
        <v/>
      </c>
      <c r="N877" s="22">
        <f t="array" ref="N877">_xlfn.XLOOKUP(非皮卡压缩表[[#This Row],[MODEL]],MODEL缩写表[长MODEL],MODEL缩写表[短MODEL],非皮卡压缩表[[#This Row],[MODEL]])</f>
        <v/>
      </c>
      <c r="O877" s="22">
        <f>LEN(非皮卡压缩表[[#This Row],[SHORT-MODEL]])</f>
        <v/>
      </c>
      <c r="P877" s="11">
        <f t="array" ref="P877">TRIM(_xlfn.XLOOKUP(非皮卡压缩表[[#This Row],[BACKSIZE]],ALL尺码表[内部尺码],ALL尺码表[通用尺码]))</f>
        <v/>
      </c>
    </row>
    <row r="878" ht="30" customHeight="1" s="23">
      <c r="A878" s="17" t="inlineStr">
        <is>
          <t>ALL</t>
        </is>
      </c>
      <c r="B878" s="18" t="inlineStr">
        <is>
          <t>Mercedes-Benz M-Class</t>
        </is>
      </c>
      <c r="C878" s="18" t="inlineStr">
        <is>
          <t>Mercedes-Benz</t>
        </is>
      </c>
      <c r="D878" s="18" t="inlineStr">
        <is>
          <t>M-Class</t>
        </is>
      </c>
      <c r="E878" s="18" t="inlineStr">
        <is>
          <t>1998-2001</t>
        </is>
      </c>
      <c r="F878" s="18" t="inlineStr"/>
      <c r="G878" s="18" t="inlineStr">
        <is>
          <t>SUV</t>
        </is>
      </c>
      <c r="H878" s="18" t="inlineStr">
        <is>
          <t>YM+</t>
        </is>
      </c>
      <c r="I878" s="19">
        <f t="array" ref="I878">TRIM(_xlfn.XLOOKUP(非皮卡压缩表[[#This Row],[BACKSIZE]],ALL尺码表[内部尺码],ALL尺码表[分类],""))</f>
        <v/>
      </c>
      <c r="J878" s="19">
        <f t="array" ref="J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8" s="20">
        <f>LEN(非皮卡压缩表[[#This Row],[LONG-TYPE]])</f>
        <v/>
      </c>
      <c r="L878" s="21">
        <f t="array" ref="L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8" s="22">
        <f>LEN(非皮卡压缩表[[#This Row],[TYPE]])</f>
        <v/>
      </c>
      <c r="N878" s="22">
        <f t="array" ref="N878">_xlfn.XLOOKUP(非皮卡压缩表[[#This Row],[MODEL]],MODEL缩写表[长MODEL],MODEL缩写表[短MODEL],非皮卡压缩表[[#This Row],[MODEL]])</f>
        <v/>
      </c>
      <c r="O878" s="22">
        <f>LEN(非皮卡压缩表[[#This Row],[SHORT-MODEL]])</f>
        <v/>
      </c>
      <c r="P878" s="11">
        <f t="array" ref="P878">TRIM(_xlfn.XLOOKUP(非皮卡压缩表[[#This Row],[BACKSIZE]],ALL尺码表[内部尺码],ALL尺码表[通用尺码]))</f>
        <v/>
      </c>
    </row>
    <row r="879">
      <c r="A879" s="17" t="inlineStr">
        <is>
          <t>ALL</t>
        </is>
      </c>
      <c r="B879" s="18" t="inlineStr">
        <is>
          <t>Mercedes-Benz M-Class</t>
        </is>
      </c>
      <c r="C879" s="18" t="inlineStr">
        <is>
          <t>Mercedes-Benz</t>
        </is>
      </c>
      <c r="D879" s="18" t="inlineStr">
        <is>
          <t>M-Class</t>
        </is>
      </c>
      <c r="E879" s="18" t="inlineStr">
        <is>
          <t>2002-2015</t>
        </is>
      </c>
      <c r="F879" s="18" t="inlineStr">
        <is>
          <t>Incl: AMG/Diesel</t>
        </is>
      </c>
      <c r="G879" s="18" t="inlineStr">
        <is>
          <t>SUV</t>
        </is>
      </c>
      <c r="H879" s="18" t="inlineStr">
        <is>
          <t>YL</t>
        </is>
      </c>
      <c r="I879" s="19">
        <f t="array" ref="I879">TRIM(_xlfn.XLOOKUP(非皮卡压缩表[[#This Row],[BACKSIZE]],ALL尺码表[内部尺码],ALL尺码表[分类],""))</f>
        <v/>
      </c>
      <c r="J879" s="19">
        <f t="array" ref="J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9" s="20">
        <f>LEN(非皮卡压缩表[[#This Row],[LONG-TYPE]])</f>
        <v/>
      </c>
      <c r="L879" s="21">
        <f t="array" ref="L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9" s="22">
        <f>LEN(非皮卡压缩表[[#This Row],[TYPE]])</f>
        <v/>
      </c>
      <c r="N879" s="22">
        <f t="array" ref="N879">_xlfn.XLOOKUP(非皮卡压缩表[[#This Row],[MODEL]],MODEL缩写表[长MODEL],MODEL缩写表[短MODEL],非皮卡压缩表[[#This Row],[MODEL]])</f>
        <v/>
      </c>
      <c r="O879" s="22">
        <f>LEN(非皮卡压缩表[[#This Row],[SHORT-MODEL]])</f>
        <v/>
      </c>
      <c r="P879" s="11">
        <f t="array" ref="P879">TRIM(_xlfn.XLOOKUP(非皮卡压缩表[[#This Row],[BACKSIZE]],ALL尺码表[内部尺码],ALL尺码表[通用尺码]))</f>
        <v/>
      </c>
    </row>
    <row r="880">
      <c r="A880" s="17" t="inlineStr">
        <is>
          <t>ALL</t>
        </is>
      </c>
      <c r="B880" s="18" t="inlineStr">
        <is>
          <t>Mercedes-Benz ML-Class</t>
        </is>
      </c>
      <c r="C880" s="18" t="inlineStr">
        <is>
          <t>Mercedes-Benz</t>
        </is>
      </c>
      <c r="D880" s="18" t="inlineStr">
        <is>
          <t>ML-Class</t>
        </is>
      </c>
      <c r="E880" s="18" t="inlineStr">
        <is>
          <t>1998-2001</t>
        </is>
      </c>
      <c r="F880" s="18" t="inlineStr"/>
      <c r="G880" s="18" t="inlineStr">
        <is>
          <t>SUV</t>
        </is>
      </c>
      <c r="H880" s="18" t="inlineStr">
        <is>
          <t>YM+</t>
        </is>
      </c>
      <c r="I880" s="19">
        <f t="array" ref="I880">TRIM(_xlfn.XLOOKUP(非皮卡压缩表[[#This Row],[BACKSIZE]],ALL尺码表[内部尺码],ALL尺码表[分类],""))</f>
        <v/>
      </c>
      <c r="J880" s="19">
        <f t="array" ref="J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0" s="20">
        <f>LEN(非皮卡压缩表[[#This Row],[LONG-TYPE]])</f>
        <v/>
      </c>
      <c r="L880" s="21">
        <f t="array" ref="L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0" s="22">
        <f>LEN(非皮卡压缩表[[#This Row],[TYPE]])</f>
        <v/>
      </c>
      <c r="N880" s="22">
        <f t="array" ref="N880">_xlfn.XLOOKUP(非皮卡压缩表[[#This Row],[MODEL]],MODEL缩写表[长MODEL],MODEL缩写表[短MODEL],非皮卡压缩表[[#This Row],[MODEL]])</f>
        <v/>
      </c>
      <c r="O880" s="22">
        <f>LEN(非皮卡压缩表[[#This Row],[SHORT-MODEL]])</f>
        <v/>
      </c>
      <c r="P880" s="11">
        <f t="array" ref="P880">TRIM(_xlfn.XLOOKUP(非皮卡压缩表[[#This Row],[BACKSIZE]],ALL尺码表[内部尺码],ALL尺码表[通用尺码]))</f>
        <v/>
      </c>
    </row>
    <row r="881" ht="30" customHeight="1" s="23">
      <c r="A881" s="17" t="inlineStr">
        <is>
          <t>ALL</t>
        </is>
      </c>
      <c r="B881" s="18" t="inlineStr">
        <is>
          <t>Mercedes-Benz ML-Class</t>
        </is>
      </c>
      <c r="C881" s="18" t="inlineStr">
        <is>
          <t>Mercedes-Benz</t>
        </is>
      </c>
      <c r="D881" s="18" t="inlineStr">
        <is>
          <t>ML-Class</t>
        </is>
      </c>
      <c r="E881" s="18" t="inlineStr">
        <is>
          <t>2002-2015</t>
        </is>
      </c>
      <c r="F881" s="18" t="inlineStr"/>
      <c r="G881" s="18" t="inlineStr">
        <is>
          <t>SUV</t>
        </is>
      </c>
      <c r="H881" s="18" t="inlineStr">
        <is>
          <t>YL</t>
        </is>
      </c>
      <c r="I881" s="19">
        <f t="array" ref="I881">TRIM(_xlfn.XLOOKUP(非皮卡压缩表[[#This Row],[BACKSIZE]],ALL尺码表[内部尺码],ALL尺码表[分类],""))</f>
        <v/>
      </c>
      <c r="J881" s="19">
        <f t="array" ref="J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1" s="20">
        <f>LEN(非皮卡压缩表[[#This Row],[LONG-TYPE]])</f>
        <v/>
      </c>
      <c r="L881" s="21">
        <f t="array" ref="L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1" s="22">
        <f>LEN(非皮卡压缩表[[#This Row],[TYPE]])</f>
        <v/>
      </c>
      <c r="N881" s="22">
        <f t="array" ref="N881">_xlfn.XLOOKUP(非皮卡压缩表[[#This Row],[MODEL]],MODEL缩写表[长MODEL],MODEL缩写表[短MODEL],非皮卡压缩表[[#This Row],[MODEL]])</f>
        <v/>
      </c>
      <c r="O881" s="22">
        <f>LEN(非皮卡压缩表[[#This Row],[SHORT-MODEL]])</f>
        <v/>
      </c>
      <c r="P881" s="11">
        <f t="array" ref="P881">TRIM(_xlfn.XLOOKUP(非皮卡压缩表[[#This Row],[BACKSIZE]],ALL尺码表[内部尺码],ALL尺码表[通用尺码]))</f>
        <v/>
      </c>
    </row>
    <row r="882">
      <c r="A882" s="17" t="inlineStr">
        <is>
          <t>ALL</t>
        </is>
      </c>
      <c r="B882" s="18" t="inlineStr">
        <is>
          <t>Mercedes-Benz S-Class</t>
        </is>
      </c>
      <c r="C882" s="18" t="inlineStr">
        <is>
          <t>Mercedes-Benz</t>
        </is>
      </c>
      <c r="D882" s="18" t="inlineStr">
        <is>
          <t>S-Class</t>
        </is>
      </c>
      <c r="E882" s="18" t="inlineStr">
        <is>
          <t>1994-2020</t>
        </is>
      </c>
      <c r="F882" s="18" t="inlineStr">
        <is>
          <t>Incl: PHEV</t>
        </is>
      </c>
      <c r="G882" s="18" t="inlineStr">
        <is>
          <t>Convertible/Coupe</t>
        </is>
      </c>
      <c r="H882" s="18" t="inlineStr">
        <is>
          <t>3XL+0</t>
        </is>
      </c>
      <c r="I882" s="19">
        <f t="array" ref="I882">TRIM(_xlfn.XLOOKUP(非皮卡压缩表[[#This Row],[BACKSIZE]],ALL尺码表[内部尺码],ALL尺码表[分类],""))</f>
        <v/>
      </c>
      <c r="J882" s="19">
        <f t="array" ref="J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2" s="20">
        <f>LEN(非皮卡压缩表[[#This Row],[LONG-TYPE]])</f>
        <v/>
      </c>
      <c r="L882" s="21">
        <f t="array" ref="L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2" s="22">
        <f>LEN(非皮卡压缩表[[#This Row],[TYPE]])</f>
        <v/>
      </c>
      <c r="N882" s="22">
        <f t="array" ref="N882">_xlfn.XLOOKUP(非皮卡压缩表[[#This Row],[MODEL]],MODEL缩写表[长MODEL],MODEL缩写表[短MODEL],非皮卡压缩表[[#This Row],[MODEL]])</f>
        <v/>
      </c>
      <c r="O882" s="22">
        <f>LEN(非皮卡压缩表[[#This Row],[SHORT-MODEL]])</f>
        <v/>
      </c>
      <c r="P882" s="11">
        <f t="array" ref="P882">TRIM(_xlfn.XLOOKUP(非皮卡压缩表[[#This Row],[BACKSIZE]],ALL尺码表[内部尺码],ALL尺码表[通用尺码]))</f>
        <v/>
      </c>
    </row>
    <row r="883">
      <c r="A883" s="17" t="inlineStr">
        <is>
          <t>ALL</t>
        </is>
      </c>
      <c r="B883" s="18" t="inlineStr">
        <is>
          <t>Mercedes-Benz S-Class</t>
        </is>
      </c>
      <c r="C883" s="18" t="inlineStr">
        <is>
          <t>Mercedes-Benz</t>
        </is>
      </c>
      <c r="D883" s="18" t="inlineStr">
        <is>
          <t>S-Class</t>
        </is>
      </c>
      <c r="E883" s="18" t="inlineStr">
        <is>
          <t>1994-2020</t>
        </is>
      </c>
      <c r="F883" s="18" t="inlineStr">
        <is>
          <t>Incl: LWB</t>
        </is>
      </c>
      <c r="G883" s="18" t="inlineStr">
        <is>
          <t>Sedan</t>
        </is>
      </c>
      <c r="H883" s="18" t="inlineStr">
        <is>
          <t>3XXL</t>
        </is>
      </c>
      <c r="I883" s="19">
        <f t="array" ref="I883">TRIM(_xlfn.XLOOKUP(非皮卡压缩表[[#This Row],[BACKSIZE]],ALL尺码表[内部尺码],ALL尺码表[分类],""))</f>
        <v/>
      </c>
      <c r="J883" s="19">
        <f t="array" ref="J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3" s="20">
        <f>LEN(非皮卡压缩表[[#This Row],[LONG-TYPE]])</f>
        <v/>
      </c>
      <c r="L883" s="21">
        <f t="array" ref="L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3" s="22">
        <f>LEN(非皮卡压缩表[[#This Row],[TYPE]])</f>
        <v/>
      </c>
      <c r="N883" s="22">
        <f t="array" ref="N883">_xlfn.XLOOKUP(非皮卡压缩表[[#This Row],[MODEL]],MODEL缩写表[长MODEL],MODEL缩写表[短MODEL],非皮卡压缩表[[#This Row],[MODEL]])</f>
        <v/>
      </c>
      <c r="O883" s="22">
        <f>LEN(非皮卡压缩表[[#This Row],[SHORT-MODEL]])</f>
        <v/>
      </c>
      <c r="P883" s="11">
        <f t="array" ref="P883">TRIM(_xlfn.XLOOKUP(非皮卡压缩表[[#This Row],[BACKSIZE]],ALL尺码表[内部尺码],ALL尺码表[通用尺码]))</f>
        <v/>
      </c>
    </row>
    <row r="884">
      <c r="A884" s="17" t="inlineStr">
        <is>
          <t>ALL</t>
        </is>
      </c>
      <c r="B884" s="18" t="inlineStr">
        <is>
          <t>Mercedes-Benz S-Class</t>
        </is>
      </c>
      <c r="C884" s="18" t="inlineStr">
        <is>
          <t>Mercedes-Benz</t>
        </is>
      </c>
      <c r="D884" s="18" t="inlineStr">
        <is>
          <t>S-Class</t>
        </is>
      </c>
      <c r="E884" s="18" t="inlineStr">
        <is>
          <t>2001-2013</t>
        </is>
      </c>
      <c r="F884" s="18" t="inlineStr">
        <is>
          <t>AMG</t>
        </is>
      </c>
      <c r="G884" s="18" t="inlineStr">
        <is>
          <t>Sedan</t>
        </is>
      </c>
      <c r="H884" s="18" t="inlineStr">
        <is>
          <t>3XXL</t>
        </is>
      </c>
      <c r="I884" s="19">
        <f t="array" ref="I884">TRIM(_xlfn.XLOOKUP(非皮卡压缩表[[#This Row],[BACKSIZE]],ALL尺码表[内部尺码],ALL尺码表[分类],""))</f>
        <v/>
      </c>
      <c r="J884" s="19">
        <f t="array" ref="J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4" s="20">
        <f>LEN(非皮卡压缩表[[#This Row],[LONG-TYPE]])</f>
        <v/>
      </c>
      <c r="L884" s="21">
        <f t="array" ref="L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4" s="22">
        <f>LEN(非皮卡压缩表[[#This Row],[TYPE]])</f>
        <v/>
      </c>
      <c r="N884" s="22">
        <f t="array" ref="N884">_xlfn.XLOOKUP(非皮卡压缩表[[#This Row],[MODEL]],MODEL缩写表[长MODEL],MODEL缩写表[短MODEL],非皮卡压缩表[[#This Row],[MODEL]])</f>
        <v/>
      </c>
      <c r="O884" s="22">
        <f>LEN(非皮卡压缩表[[#This Row],[SHORT-MODEL]])</f>
        <v/>
      </c>
      <c r="P884" s="11">
        <f t="array" ref="P884">TRIM(_xlfn.XLOOKUP(非皮卡压缩表[[#This Row],[BACKSIZE]],ALL尺码表[内部尺码],ALL尺码表[通用尺码]))</f>
        <v/>
      </c>
    </row>
    <row r="885">
      <c r="A885" s="17" t="inlineStr">
        <is>
          <t>ALL</t>
        </is>
      </c>
      <c r="B885" s="18" t="inlineStr">
        <is>
          <t>Mercedes-Benz S-Class</t>
        </is>
      </c>
      <c r="C885" s="18" t="inlineStr">
        <is>
          <t>Mercedes-Benz</t>
        </is>
      </c>
      <c r="D885" s="18" t="inlineStr">
        <is>
          <t>S-Class</t>
        </is>
      </c>
      <c r="E885" s="18" t="inlineStr">
        <is>
          <t>2014</t>
        </is>
      </c>
      <c r="F885" s="18" t="inlineStr">
        <is>
          <t>AMG</t>
        </is>
      </c>
      <c r="G885" s="18" t="inlineStr">
        <is>
          <t>Sedan</t>
        </is>
      </c>
      <c r="H885" s="18" t="inlineStr">
        <is>
          <t>3XXXL</t>
        </is>
      </c>
      <c r="I885" s="19">
        <f t="array" ref="I885">TRIM(_xlfn.XLOOKUP(非皮卡压缩表[[#This Row],[BACKSIZE]],ALL尺码表[内部尺码],ALL尺码表[分类],""))</f>
        <v/>
      </c>
      <c r="J885" s="19">
        <f t="array" ref="J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5" s="20">
        <f>LEN(非皮卡压缩表[[#This Row],[LONG-TYPE]])</f>
        <v/>
      </c>
      <c r="L885" s="21">
        <f t="array" ref="L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5" s="22">
        <f>LEN(非皮卡压缩表[[#This Row],[TYPE]])</f>
        <v/>
      </c>
      <c r="N885" s="22">
        <f t="array" ref="N885">_xlfn.XLOOKUP(非皮卡压缩表[[#This Row],[MODEL]],MODEL缩写表[长MODEL],MODEL缩写表[短MODEL],非皮卡压缩表[[#This Row],[MODEL]])</f>
        <v/>
      </c>
      <c r="O885" s="22">
        <f>LEN(非皮卡压缩表[[#This Row],[SHORT-MODEL]])</f>
        <v/>
      </c>
      <c r="P885" s="11">
        <f t="array" ref="P885">TRIM(_xlfn.XLOOKUP(非皮卡压缩表[[#This Row],[BACKSIZE]],ALL尺码表[内部尺码],ALL尺码表[通用尺码]))</f>
        <v/>
      </c>
    </row>
    <row r="886">
      <c r="A886" s="17" t="inlineStr">
        <is>
          <t>ALL</t>
        </is>
      </c>
      <c r="B886" s="18" t="inlineStr">
        <is>
          <t>Mercedes-Benz S-Class</t>
        </is>
      </c>
      <c r="C886" s="18" t="inlineStr">
        <is>
          <t>Mercedes-Benz</t>
        </is>
      </c>
      <c r="D886" s="18" t="inlineStr">
        <is>
          <t>S-Class</t>
        </is>
      </c>
      <c r="E886" s="18" t="inlineStr">
        <is>
          <t>2015-2016</t>
        </is>
      </c>
      <c r="F886" s="18" t="inlineStr">
        <is>
          <t>AMG</t>
        </is>
      </c>
      <c r="G886" s="18" t="inlineStr">
        <is>
          <t>Sedan</t>
        </is>
      </c>
      <c r="H886" s="18" t="inlineStr">
        <is>
          <t>3XXL</t>
        </is>
      </c>
      <c r="I886" s="19">
        <f t="array" ref="I886">TRIM(_xlfn.XLOOKUP(非皮卡压缩表[[#This Row],[BACKSIZE]],ALL尺码表[内部尺码],ALL尺码表[分类],""))</f>
        <v/>
      </c>
      <c r="J886" s="19">
        <f t="array" ref="J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6" s="20">
        <f>LEN(非皮卡压缩表[[#This Row],[LONG-TYPE]])</f>
        <v/>
      </c>
      <c r="L886" s="21">
        <f t="array" ref="L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6" s="22">
        <f>LEN(非皮卡压缩表[[#This Row],[TYPE]])</f>
        <v/>
      </c>
      <c r="N886" s="22">
        <f t="array" ref="N886">_xlfn.XLOOKUP(非皮卡压缩表[[#This Row],[MODEL]],MODEL缩写表[长MODEL],MODEL缩写表[短MODEL],非皮卡压缩表[[#This Row],[MODEL]])</f>
        <v/>
      </c>
      <c r="O886" s="22">
        <f>LEN(非皮卡压缩表[[#This Row],[SHORT-MODEL]])</f>
        <v/>
      </c>
      <c r="P886" s="11">
        <f t="array" ref="P886">TRIM(_xlfn.XLOOKUP(非皮卡压缩表[[#This Row],[BACKSIZE]],ALL尺码表[内部尺码],ALL尺码表[通用尺码]))</f>
        <v/>
      </c>
    </row>
    <row r="887">
      <c r="A887" s="17" t="inlineStr">
        <is>
          <t>ALL</t>
        </is>
      </c>
      <c r="B887" s="18" t="inlineStr">
        <is>
          <t>Mercedes-Benz S-Class</t>
        </is>
      </c>
      <c r="C887" s="18" t="inlineStr">
        <is>
          <t>Mercedes-Benz</t>
        </is>
      </c>
      <c r="D887" s="18" t="inlineStr">
        <is>
          <t>S-Class</t>
        </is>
      </c>
      <c r="E887" s="18" t="inlineStr">
        <is>
          <t>2016-2026</t>
        </is>
      </c>
      <c r="F887" s="18" t="inlineStr">
        <is>
          <t>Maybach</t>
        </is>
      </c>
      <c r="G887" s="18" t="inlineStr">
        <is>
          <t>Sedan</t>
        </is>
      </c>
      <c r="H887" s="18" t="inlineStr">
        <is>
          <t>3XXXL</t>
        </is>
      </c>
      <c r="I887" s="19">
        <f t="array" ref="I887">TRIM(_xlfn.XLOOKUP(非皮卡压缩表[[#This Row],[BACKSIZE]],ALL尺码表[内部尺码],ALL尺码表[分类],""))</f>
        <v/>
      </c>
      <c r="J887" s="19">
        <f t="array" ref="J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7" s="20">
        <f>LEN(非皮卡压缩表[[#This Row],[LONG-TYPE]])</f>
        <v/>
      </c>
      <c r="L887" s="21">
        <f t="array" ref="L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7" s="22">
        <f>LEN(非皮卡压缩表[[#This Row],[TYPE]])</f>
        <v/>
      </c>
      <c r="N887" s="22">
        <f t="array" ref="N887">_xlfn.XLOOKUP(非皮卡压缩表[[#This Row],[MODEL]],MODEL缩写表[长MODEL],MODEL缩写表[短MODEL],非皮卡压缩表[[#This Row],[MODEL]])</f>
        <v/>
      </c>
      <c r="O887" s="22">
        <f>LEN(非皮卡压缩表[[#This Row],[SHORT-MODEL]])</f>
        <v/>
      </c>
      <c r="P887" s="11">
        <f t="array" ref="P887">TRIM(_xlfn.XLOOKUP(非皮卡压缩表[[#This Row],[BACKSIZE]],ALL尺码表[内部尺码],ALL尺码表[通用尺码]))</f>
        <v/>
      </c>
    </row>
    <row r="888">
      <c r="A888" s="17" t="inlineStr">
        <is>
          <t>ALL</t>
        </is>
      </c>
      <c r="B888" s="18" t="inlineStr">
        <is>
          <t>Mercedes-Benz S-Class</t>
        </is>
      </c>
      <c r="C888" s="18" t="inlineStr">
        <is>
          <t>Mercedes-Benz</t>
        </is>
      </c>
      <c r="D888" s="18" t="inlineStr">
        <is>
          <t>S-Class</t>
        </is>
      </c>
      <c r="E888" s="18" t="inlineStr">
        <is>
          <t>2017-2026</t>
        </is>
      </c>
      <c r="F888" s="18" t="inlineStr">
        <is>
          <t>AMG</t>
        </is>
      </c>
      <c r="G888" s="18" t="inlineStr">
        <is>
          <t>Sedan</t>
        </is>
      </c>
      <c r="H888" s="18" t="inlineStr">
        <is>
          <t>3XXXL</t>
        </is>
      </c>
      <c r="I888" s="19">
        <f t="array" ref="I888">TRIM(_xlfn.XLOOKUP(非皮卡压缩表[[#This Row],[BACKSIZE]],ALL尺码表[内部尺码],ALL尺码表[分类],""))</f>
        <v/>
      </c>
      <c r="J888" s="19">
        <f t="array" ref="J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8" s="20">
        <f>LEN(非皮卡压缩表[[#This Row],[LONG-TYPE]])</f>
        <v/>
      </c>
      <c r="L888" s="21">
        <f t="array" ref="L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8" s="22">
        <f>LEN(非皮卡压缩表[[#This Row],[TYPE]])</f>
        <v/>
      </c>
      <c r="N888" s="22">
        <f t="array" ref="N888">_xlfn.XLOOKUP(非皮卡压缩表[[#This Row],[MODEL]],MODEL缩写表[长MODEL],MODEL缩写表[短MODEL],非皮卡压缩表[[#This Row],[MODEL]])</f>
        <v/>
      </c>
      <c r="O888" s="22">
        <f>LEN(非皮卡压缩表[[#This Row],[SHORT-MODEL]])</f>
        <v/>
      </c>
      <c r="P888" s="11">
        <f t="array" ref="P888">TRIM(_xlfn.XLOOKUP(非皮卡压缩表[[#This Row],[BACKSIZE]],ALL尺码表[内部尺码],ALL尺码表[通用尺码]))</f>
        <v/>
      </c>
    </row>
    <row r="889">
      <c r="A889" s="17" t="inlineStr">
        <is>
          <t>ALL</t>
        </is>
      </c>
      <c r="B889" s="18" t="inlineStr">
        <is>
          <t>Mercedes-Benz S-Class</t>
        </is>
      </c>
      <c r="C889" s="18" t="inlineStr">
        <is>
          <t>Mercedes-Benz</t>
        </is>
      </c>
      <c r="D889" s="18" t="inlineStr">
        <is>
          <t>S-Class</t>
        </is>
      </c>
      <c r="E889" s="18" t="inlineStr">
        <is>
          <t>2021-2026</t>
        </is>
      </c>
      <c r="F889" s="18" t="inlineStr"/>
      <c r="G889" s="18" t="inlineStr">
        <is>
          <t>Sedan</t>
        </is>
      </c>
      <c r="H889" s="18" t="inlineStr">
        <is>
          <t>3XXXL</t>
        </is>
      </c>
      <c r="I889" s="19">
        <f t="array" ref="I889">TRIM(_xlfn.XLOOKUP(非皮卡压缩表[[#This Row],[BACKSIZE]],ALL尺码表[内部尺码],ALL尺码表[分类],""))</f>
        <v/>
      </c>
      <c r="J889" s="19">
        <f t="array" ref="J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9" s="20">
        <f>LEN(非皮卡压缩表[[#This Row],[LONG-TYPE]])</f>
        <v/>
      </c>
      <c r="L889" s="21">
        <f t="array" ref="L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9" s="22">
        <f>LEN(非皮卡压缩表[[#This Row],[TYPE]])</f>
        <v/>
      </c>
      <c r="N889" s="22">
        <f t="array" ref="N889">_xlfn.XLOOKUP(非皮卡压缩表[[#This Row],[MODEL]],MODEL缩写表[长MODEL],MODEL缩写表[短MODEL],非皮卡压缩表[[#This Row],[MODEL]])</f>
        <v/>
      </c>
      <c r="O889" s="22">
        <f>LEN(非皮卡压缩表[[#This Row],[SHORT-MODEL]])</f>
        <v/>
      </c>
      <c r="P889" s="11">
        <f t="array" ref="P889">TRIM(_xlfn.XLOOKUP(非皮卡压缩表[[#This Row],[BACKSIZE]],ALL尺码表[内部尺码],ALL尺码表[通用尺码]))</f>
        <v/>
      </c>
    </row>
    <row r="890">
      <c r="A890" s="17" t="inlineStr">
        <is>
          <t>ALL</t>
        </is>
      </c>
      <c r="B890" s="18" t="inlineStr">
        <is>
          <t>Mercedes-Benz SL-Class</t>
        </is>
      </c>
      <c r="C890" s="18" t="inlineStr">
        <is>
          <t>Mercedes-Benz</t>
        </is>
      </c>
      <c r="D890" s="18" t="inlineStr">
        <is>
          <t>SL-Class</t>
        </is>
      </c>
      <c r="E890" s="18" t="inlineStr">
        <is>
          <t>1954-1971</t>
        </is>
      </c>
      <c r="F890" s="18" t="inlineStr"/>
      <c r="G890" s="18" t="inlineStr">
        <is>
          <t>Coupe/Roadster</t>
        </is>
      </c>
      <c r="H890" s="18" t="inlineStr">
        <is>
          <t>3M-0</t>
        </is>
      </c>
      <c r="I890" s="19">
        <f t="array" ref="I890">TRIM(_xlfn.XLOOKUP(非皮卡压缩表[[#This Row],[BACKSIZE]],ALL尺码表[内部尺码],ALL尺码表[分类],""))</f>
        <v/>
      </c>
      <c r="J890" s="19">
        <f t="array" ref="J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0" s="20">
        <f>LEN(非皮卡压缩表[[#This Row],[LONG-TYPE]])</f>
        <v/>
      </c>
      <c r="L890" s="21">
        <f t="array" ref="L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0" s="22">
        <f>LEN(非皮卡压缩表[[#This Row],[TYPE]])</f>
        <v/>
      </c>
      <c r="N890" s="22">
        <f t="array" ref="N890">_xlfn.XLOOKUP(非皮卡压缩表[[#This Row],[MODEL]],MODEL缩写表[长MODEL],MODEL缩写表[短MODEL],非皮卡压缩表[[#This Row],[MODEL]])</f>
        <v/>
      </c>
      <c r="O890" s="22">
        <f>LEN(非皮卡压缩表[[#This Row],[SHORT-MODEL]])</f>
        <v/>
      </c>
      <c r="P890" s="11">
        <f t="array" ref="P890">TRIM(_xlfn.XLOOKUP(非皮卡压缩表[[#This Row],[BACKSIZE]],ALL尺码表[内部尺码],ALL尺码表[通用尺码]))</f>
        <v/>
      </c>
    </row>
    <row r="891">
      <c r="A891" s="17" t="inlineStr">
        <is>
          <t>ALL</t>
        </is>
      </c>
      <c r="B891" s="18" t="inlineStr">
        <is>
          <t>Mercedes-Benz SL-Class</t>
        </is>
      </c>
      <c r="C891" s="18" t="inlineStr">
        <is>
          <t>Mercedes-Benz</t>
        </is>
      </c>
      <c r="D891" s="18" t="inlineStr">
        <is>
          <t>SL-Class</t>
        </is>
      </c>
      <c r="E891" s="18" t="inlineStr">
        <is>
          <t>1957-2020</t>
        </is>
      </c>
      <c r="F891" s="18" t="inlineStr">
        <is>
          <t>300SL/560SL/AMG</t>
        </is>
      </c>
      <c r="G891" s="18" t="inlineStr">
        <is>
          <t>Roadster</t>
        </is>
      </c>
      <c r="H891" s="18" t="inlineStr">
        <is>
          <t>3L-0</t>
        </is>
      </c>
      <c r="I891" s="19">
        <f t="array" ref="I891">TRIM(_xlfn.XLOOKUP(非皮卡压缩表[[#This Row],[BACKSIZE]],ALL尺码表[内部尺码],ALL尺码表[分类],""))</f>
        <v/>
      </c>
      <c r="J891" s="19">
        <f t="array" ref="J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1" s="20">
        <f>LEN(非皮卡压缩表[[#This Row],[LONG-TYPE]])</f>
        <v/>
      </c>
      <c r="L891" s="21">
        <f t="array" ref="L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1" s="22">
        <f>LEN(非皮卡压缩表[[#This Row],[TYPE]])</f>
        <v/>
      </c>
      <c r="N891" s="22">
        <f t="array" ref="N891">_xlfn.XLOOKUP(非皮卡压缩表[[#This Row],[MODEL]],MODEL缩写表[长MODEL],MODEL缩写表[短MODEL],非皮卡压缩表[[#This Row],[MODEL]])</f>
        <v/>
      </c>
      <c r="O891" s="22">
        <f>LEN(非皮卡压缩表[[#This Row],[SHORT-MODEL]])</f>
        <v/>
      </c>
      <c r="P891" s="11">
        <f t="array" ref="P891">TRIM(_xlfn.XLOOKUP(非皮卡压缩表[[#This Row],[BACKSIZE]],ALL尺码表[内部尺码],ALL尺码表[通用尺码]))</f>
        <v/>
      </c>
    </row>
    <row r="892">
      <c r="A892" s="17" t="inlineStr">
        <is>
          <t>ALL</t>
        </is>
      </c>
      <c r="B892" s="18" t="inlineStr">
        <is>
          <t>Mercedes-Benz SL-Class</t>
        </is>
      </c>
      <c r="C892" s="18" t="inlineStr">
        <is>
          <t>Mercedes-Benz</t>
        </is>
      </c>
      <c r="D892" s="18" t="inlineStr">
        <is>
          <t>SL-Class</t>
        </is>
      </c>
      <c r="E892" s="18" t="inlineStr">
        <is>
          <t>1972-1989</t>
        </is>
      </c>
      <c r="F892" s="18" t="inlineStr"/>
      <c r="G892" s="18" t="inlineStr">
        <is>
          <t>Roadster</t>
        </is>
      </c>
      <c r="H892" s="18" t="inlineStr">
        <is>
          <t>3L-0</t>
        </is>
      </c>
      <c r="I892" s="19">
        <f t="array" ref="I892">TRIM(_xlfn.XLOOKUP(非皮卡压缩表[[#This Row],[BACKSIZE]],ALL尺码表[内部尺码],ALL尺码表[分类],""))</f>
        <v/>
      </c>
      <c r="J892" s="19">
        <f t="array" ref="J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2" s="20">
        <f>LEN(非皮卡压缩表[[#This Row],[LONG-TYPE]])</f>
        <v/>
      </c>
      <c r="L892" s="21">
        <f t="array" ref="L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2" s="22">
        <f>LEN(非皮卡压缩表[[#This Row],[TYPE]])</f>
        <v/>
      </c>
      <c r="N892" s="22">
        <f t="array" ref="N892">_xlfn.XLOOKUP(非皮卡压缩表[[#This Row],[MODEL]],MODEL缩写表[长MODEL],MODEL缩写表[短MODEL],非皮卡压缩表[[#This Row],[MODEL]])</f>
        <v/>
      </c>
      <c r="O892" s="22">
        <f>LEN(非皮卡压缩表[[#This Row],[SHORT-MODEL]])</f>
        <v/>
      </c>
      <c r="P892" s="11">
        <f t="array" ref="P892">TRIM(_xlfn.XLOOKUP(非皮卡压缩表[[#This Row],[BACKSIZE]],ALL尺码表[内部尺码],ALL尺码表[通用尺码]))</f>
        <v/>
      </c>
    </row>
    <row r="893">
      <c r="A893" s="17" t="inlineStr">
        <is>
          <t>ALL</t>
        </is>
      </c>
      <c r="B893" s="18" t="inlineStr">
        <is>
          <t>Mercedes-Benz SL-Class</t>
        </is>
      </c>
      <c r="C893" s="18" t="inlineStr">
        <is>
          <t>Mercedes-Benz</t>
        </is>
      </c>
      <c r="D893" s="18" t="inlineStr">
        <is>
          <t>SL-Class</t>
        </is>
      </c>
      <c r="E893" s="18" t="inlineStr">
        <is>
          <t>1990-2002</t>
        </is>
      </c>
      <c r="F893" s="18" t="inlineStr"/>
      <c r="G893" s="18" t="inlineStr">
        <is>
          <t>Roadster</t>
        </is>
      </c>
      <c r="H893" s="18" t="inlineStr">
        <is>
          <t>3M-0</t>
        </is>
      </c>
      <c r="I893" s="19">
        <f t="array" ref="I893">TRIM(_xlfn.XLOOKUP(非皮卡压缩表[[#This Row],[BACKSIZE]],ALL尺码表[内部尺码],ALL尺码表[分类],""))</f>
        <v/>
      </c>
      <c r="J893" s="19">
        <f t="array" ref="J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3" s="20">
        <f>LEN(非皮卡压缩表[[#This Row],[LONG-TYPE]])</f>
        <v/>
      </c>
      <c r="L893" s="21">
        <f t="array" ref="L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3" s="22">
        <f>LEN(非皮卡压缩表[[#This Row],[TYPE]])</f>
        <v/>
      </c>
      <c r="N893" s="22">
        <f t="array" ref="N893">_xlfn.XLOOKUP(非皮卡压缩表[[#This Row],[MODEL]],MODEL缩写表[长MODEL],MODEL缩写表[短MODEL],非皮卡压缩表[[#This Row],[MODEL]])</f>
        <v/>
      </c>
      <c r="O893" s="22">
        <f>LEN(非皮卡压缩表[[#This Row],[SHORT-MODEL]])</f>
        <v/>
      </c>
      <c r="P893" s="11">
        <f t="array" ref="P893">TRIM(_xlfn.XLOOKUP(非皮卡压缩表[[#This Row],[BACKSIZE]],ALL尺码表[内部尺码],ALL尺码表[通用尺码]))</f>
        <v/>
      </c>
    </row>
    <row r="894">
      <c r="A894" s="17" t="inlineStr">
        <is>
          <t>ALL</t>
        </is>
      </c>
      <c r="B894" s="18" t="inlineStr">
        <is>
          <t>Mercedes-Benz SL-Class</t>
        </is>
      </c>
      <c r="C894" s="18" t="inlineStr">
        <is>
          <t>Mercedes-Benz</t>
        </is>
      </c>
      <c r="D894" s="18" t="inlineStr">
        <is>
          <t>SL-Class</t>
        </is>
      </c>
      <c r="E894" s="18" t="inlineStr">
        <is>
          <t>2003-2020</t>
        </is>
      </c>
      <c r="F894" s="18" t="inlineStr"/>
      <c r="G894" s="18" t="inlineStr">
        <is>
          <t>Roadster</t>
        </is>
      </c>
      <c r="H894" s="18" t="inlineStr">
        <is>
          <t>3L-0</t>
        </is>
      </c>
      <c r="I894" s="19">
        <f t="array" ref="I894">TRIM(_xlfn.XLOOKUP(非皮卡压缩表[[#This Row],[BACKSIZE]],ALL尺码表[内部尺码],ALL尺码表[分类],""))</f>
        <v/>
      </c>
      <c r="J894" s="19">
        <f t="array" ref="J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4" s="20">
        <f>LEN(非皮卡压缩表[[#This Row],[LONG-TYPE]])</f>
        <v/>
      </c>
      <c r="L894" s="21">
        <f t="array" ref="L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4" s="22">
        <f>LEN(非皮卡压缩表[[#This Row],[TYPE]])</f>
        <v/>
      </c>
      <c r="N894" s="22">
        <f t="array" ref="N894">_xlfn.XLOOKUP(非皮卡压缩表[[#This Row],[MODEL]],MODEL缩写表[长MODEL],MODEL缩写表[短MODEL],非皮卡压缩表[[#This Row],[MODEL]])</f>
        <v/>
      </c>
      <c r="O894" s="22">
        <f>LEN(非皮卡压缩表[[#This Row],[SHORT-MODEL]])</f>
        <v/>
      </c>
      <c r="P894" s="11">
        <f t="array" ref="P894">TRIM(_xlfn.XLOOKUP(非皮卡压缩表[[#This Row],[BACKSIZE]],ALL尺码表[内部尺码],ALL尺码表[通用尺码]))</f>
        <v/>
      </c>
    </row>
    <row r="895">
      <c r="A895" s="17" t="inlineStr">
        <is>
          <t>ALL</t>
        </is>
      </c>
      <c r="B895" s="18" t="inlineStr">
        <is>
          <t>Mercedes-Benz SL-Class</t>
        </is>
      </c>
      <c r="C895" s="18" t="inlineStr">
        <is>
          <t>Mercedes-Benz</t>
        </is>
      </c>
      <c r="D895" s="18" t="inlineStr">
        <is>
          <t>SL-Class</t>
        </is>
      </c>
      <c r="E895" s="18" t="inlineStr">
        <is>
          <t>2022-2026</t>
        </is>
      </c>
      <c r="F895" s="18" t="inlineStr">
        <is>
          <t>Incl: AMG</t>
        </is>
      </c>
      <c r="G895" s="18" t="inlineStr">
        <is>
          <t>Roadster</t>
        </is>
      </c>
      <c r="H895" s="18" t="inlineStr">
        <is>
          <t>3XL-0</t>
        </is>
      </c>
      <c r="I895" s="19">
        <f t="array" ref="I895">TRIM(_xlfn.XLOOKUP(非皮卡压缩表[[#This Row],[BACKSIZE]],ALL尺码表[内部尺码],ALL尺码表[分类],""))</f>
        <v/>
      </c>
      <c r="J895" s="19">
        <f t="array" ref="J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5" s="20">
        <f>LEN(非皮卡压缩表[[#This Row],[LONG-TYPE]])</f>
        <v/>
      </c>
      <c r="L895" s="21">
        <f t="array" ref="L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5" s="22">
        <f>LEN(非皮卡压缩表[[#This Row],[TYPE]])</f>
        <v/>
      </c>
      <c r="N895" s="22">
        <f t="array" ref="N895">_xlfn.XLOOKUP(非皮卡压缩表[[#This Row],[MODEL]],MODEL缩写表[长MODEL],MODEL缩写表[短MODEL],非皮卡压缩表[[#This Row],[MODEL]])</f>
        <v/>
      </c>
      <c r="O895" s="22">
        <f>LEN(非皮卡压缩表[[#This Row],[SHORT-MODEL]])</f>
        <v/>
      </c>
      <c r="P895" s="11">
        <f t="array" ref="P895">TRIM(_xlfn.XLOOKUP(非皮卡压缩表[[#This Row],[BACKSIZE]],ALL尺码表[内部尺码],ALL尺码表[通用尺码]))</f>
        <v/>
      </c>
    </row>
    <row r="896">
      <c r="A896" s="17" t="inlineStr">
        <is>
          <t>ALL</t>
        </is>
      </c>
      <c r="B896" s="18" t="inlineStr">
        <is>
          <t>Mercedes-Benz SLC-Class</t>
        </is>
      </c>
      <c r="C896" s="18" t="inlineStr">
        <is>
          <t>Mercedes-Benz</t>
        </is>
      </c>
      <c r="D896" s="18" t="inlineStr">
        <is>
          <t>SLC-Class</t>
        </is>
      </c>
      <c r="E896" s="18" t="inlineStr">
        <is>
          <t>2017-2020</t>
        </is>
      </c>
      <c r="F896" s="18" t="inlineStr">
        <is>
          <t>Incl: AMG</t>
        </is>
      </c>
      <c r="G896" s="18" t="inlineStr">
        <is>
          <t>Roadster</t>
        </is>
      </c>
      <c r="H896" s="18" t="inlineStr">
        <is>
          <t>3S-0</t>
        </is>
      </c>
      <c r="I896" s="19">
        <f t="array" ref="I896">TRIM(_xlfn.XLOOKUP(非皮卡压缩表[[#This Row],[BACKSIZE]],ALL尺码表[内部尺码],ALL尺码表[分类],""))</f>
        <v/>
      </c>
      <c r="J896" s="19">
        <f t="array" ref="J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6" s="20">
        <f>LEN(非皮卡压缩表[[#This Row],[LONG-TYPE]])</f>
        <v/>
      </c>
      <c r="L896" s="21">
        <f t="array" ref="L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6" s="22">
        <f>LEN(非皮卡压缩表[[#This Row],[TYPE]])</f>
        <v/>
      </c>
      <c r="N896" s="22">
        <f t="array" ref="N896">_xlfn.XLOOKUP(非皮卡压缩表[[#This Row],[MODEL]],MODEL缩写表[长MODEL],MODEL缩写表[短MODEL],非皮卡压缩表[[#This Row],[MODEL]])</f>
        <v/>
      </c>
      <c r="O896" s="22">
        <f>LEN(非皮卡压缩表[[#This Row],[SHORT-MODEL]])</f>
        <v/>
      </c>
      <c r="P896" s="11">
        <f t="array" ref="P896">TRIM(_xlfn.XLOOKUP(非皮卡压缩表[[#This Row],[BACKSIZE]],ALL尺码表[内部尺码],ALL尺码表[通用尺码]))</f>
        <v/>
      </c>
    </row>
    <row r="897">
      <c r="A897" s="17" t="inlineStr">
        <is>
          <t>ALL</t>
        </is>
      </c>
      <c r="B897" s="18" t="inlineStr">
        <is>
          <t>Mercedes-Benz SLK-Class</t>
        </is>
      </c>
      <c r="C897" s="18" t="inlineStr">
        <is>
          <t>Mercedes-Benz</t>
        </is>
      </c>
      <c r="D897" s="18" t="inlineStr">
        <is>
          <t>SLK-Class</t>
        </is>
      </c>
      <c r="E897" s="18" t="inlineStr">
        <is>
          <t>1998-2016</t>
        </is>
      </c>
      <c r="F897" s="18" t="inlineStr">
        <is>
          <t>Incl: AMG</t>
        </is>
      </c>
      <c r="G897" s="18" t="inlineStr">
        <is>
          <t>Roadster</t>
        </is>
      </c>
      <c r="H897" s="18" t="inlineStr">
        <is>
          <t>3S-0</t>
        </is>
      </c>
      <c r="I897" s="19">
        <f t="array" ref="I897">TRIM(_xlfn.XLOOKUP(非皮卡压缩表[[#This Row],[BACKSIZE]],ALL尺码表[内部尺码],ALL尺码表[分类],""))</f>
        <v/>
      </c>
      <c r="J897" s="19">
        <f t="array" ref="J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7" s="20">
        <f>LEN(非皮卡压缩表[[#This Row],[LONG-TYPE]])</f>
        <v/>
      </c>
      <c r="L897" s="21">
        <f t="array" ref="L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7" s="22">
        <f>LEN(非皮卡压缩表[[#This Row],[TYPE]])</f>
        <v/>
      </c>
      <c r="N897" s="22">
        <f t="array" ref="N897">_xlfn.XLOOKUP(非皮卡压缩表[[#This Row],[MODEL]],MODEL缩写表[长MODEL],MODEL缩写表[短MODEL],非皮卡压缩表[[#This Row],[MODEL]])</f>
        <v/>
      </c>
      <c r="O897" s="22">
        <f>LEN(非皮卡压缩表[[#This Row],[SHORT-MODEL]])</f>
        <v/>
      </c>
      <c r="P897" s="11">
        <f t="array" ref="P897">TRIM(_xlfn.XLOOKUP(非皮卡压缩表[[#This Row],[BACKSIZE]],ALL尺码表[内部尺码],ALL尺码表[通用尺码]))</f>
        <v/>
      </c>
    </row>
    <row r="898">
      <c r="A898" s="17" t="inlineStr">
        <is>
          <t>ALL</t>
        </is>
      </c>
      <c r="B898" s="18" t="inlineStr">
        <is>
          <t>Mercury Cougar</t>
        </is>
      </c>
      <c r="C898" s="18" t="inlineStr">
        <is>
          <t>Mercury</t>
        </is>
      </c>
      <c r="D898" s="18" t="inlineStr">
        <is>
          <t>Cougar</t>
        </is>
      </c>
      <c r="E898" s="18" t="inlineStr">
        <is>
          <t>1967-1970</t>
        </is>
      </c>
      <c r="F898" s="18" t="inlineStr"/>
      <c r="G898" s="18" t="inlineStr">
        <is>
          <t>Convertible/Coupe</t>
        </is>
      </c>
      <c r="H898" s="18" t="inlineStr">
        <is>
          <t>3XL-0</t>
        </is>
      </c>
      <c r="I898" s="19">
        <f t="array" ref="I898">TRIM(_xlfn.XLOOKUP(非皮卡压缩表[[#This Row],[BACKSIZE]],ALL尺码表[内部尺码],ALL尺码表[分类],""))</f>
        <v/>
      </c>
      <c r="J898" s="19">
        <f t="array" ref="J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8" s="20">
        <f>LEN(非皮卡压缩表[[#This Row],[LONG-TYPE]])</f>
        <v/>
      </c>
      <c r="L898" s="21">
        <f t="array" ref="L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8" s="22">
        <f>LEN(非皮卡压缩表[[#This Row],[TYPE]])</f>
        <v/>
      </c>
      <c r="N898" s="22">
        <f t="array" ref="N898">_xlfn.XLOOKUP(非皮卡压缩表[[#This Row],[MODEL]],MODEL缩写表[长MODEL],MODEL缩写表[短MODEL],非皮卡压缩表[[#This Row],[MODEL]])</f>
        <v/>
      </c>
      <c r="O898" s="22">
        <f>LEN(非皮卡压缩表[[#This Row],[SHORT-MODEL]])</f>
        <v/>
      </c>
      <c r="P898" s="11">
        <f t="array" ref="P898">TRIM(_xlfn.XLOOKUP(非皮卡压缩表[[#This Row],[BACKSIZE]],ALL尺码表[内部尺码],ALL尺码表[通用尺码]))</f>
        <v/>
      </c>
    </row>
    <row r="899">
      <c r="A899" s="17" t="inlineStr">
        <is>
          <t>ALL</t>
        </is>
      </c>
      <c r="B899" s="18" t="inlineStr">
        <is>
          <t>Mercury Cougar</t>
        </is>
      </c>
      <c r="C899" s="18" t="inlineStr">
        <is>
          <t>Mercury</t>
        </is>
      </c>
      <c r="D899" s="18" t="inlineStr">
        <is>
          <t>Cougar</t>
        </is>
      </c>
      <c r="E899" s="18" t="inlineStr">
        <is>
          <t>1971-1973</t>
        </is>
      </c>
      <c r="F899" s="18" t="inlineStr"/>
      <c r="G899" s="18" t="inlineStr">
        <is>
          <t>Convertible/Coupe</t>
        </is>
      </c>
      <c r="H899" s="18" t="inlineStr">
        <is>
          <t>3XL+0</t>
        </is>
      </c>
      <c r="I899" s="19">
        <f t="array" ref="I899">TRIM(_xlfn.XLOOKUP(非皮卡压缩表[[#This Row],[BACKSIZE]],ALL尺码表[内部尺码],ALL尺码表[分类],""))</f>
        <v/>
      </c>
      <c r="J899" s="19">
        <f t="array" ref="J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9" s="20">
        <f>LEN(非皮卡压缩表[[#This Row],[LONG-TYPE]])</f>
        <v/>
      </c>
      <c r="L899" s="21">
        <f t="array" ref="L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9" s="22">
        <f>LEN(非皮卡压缩表[[#This Row],[TYPE]])</f>
        <v/>
      </c>
      <c r="N899" s="22">
        <f t="array" ref="N899">_xlfn.XLOOKUP(非皮卡压缩表[[#This Row],[MODEL]],MODEL缩写表[长MODEL],MODEL缩写表[短MODEL],非皮卡压缩表[[#This Row],[MODEL]])</f>
        <v/>
      </c>
      <c r="O899" s="22">
        <f>LEN(非皮卡压缩表[[#This Row],[SHORT-MODEL]])</f>
        <v/>
      </c>
      <c r="P899" s="11">
        <f t="array" ref="P899">TRIM(_xlfn.XLOOKUP(非皮卡压缩表[[#This Row],[BACKSIZE]],ALL尺码表[内部尺码],ALL尺码表[通用尺码]))</f>
        <v/>
      </c>
    </row>
    <row r="900">
      <c r="A900" s="17" t="inlineStr">
        <is>
          <t>ALL</t>
        </is>
      </c>
      <c r="B900" s="18" t="inlineStr">
        <is>
          <t>Mercury Cougar</t>
        </is>
      </c>
      <c r="C900" s="18" t="inlineStr">
        <is>
          <t>Mercury</t>
        </is>
      </c>
      <c r="D900" s="18" t="inlineStr">
        <is>
          <t>Cougar</t>
        </is>
      </c>
      <c r="E900" s="18" t="inlineStr">
        <is>
          <t>1974-1979</t>
        </is>
      </c>
      <c r="F900" s="18" t="inlineStr">
        <is>
          <t>Incl: XR-7</t>
        </is>
      </c>
      <c r="G900" s="18" t="inlineStr">
        <is>
          <t>Coupe</t>
        </is>
      </c>
      <c r="H900" s="18" t="inlineStr">
        <is>
          <t>3XXXL-0</t>
        </is>
      </c>
      <c r="I900" s="19">
        <f t="array" ref="I900">TRIM(_xlfn.XLOOKUP(非皮卡压缩表[[#This Row],[BACKSIZE]],ALL尺码表[内部尺码],ALL尺码表[分类],""))</f>
        <v/>
      </c>
      <c r="J900" s="19">
        <f t="array" ref="J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0" s="20">
        <f>LEN(非皮卡压缩表[[#This Row],[LONG-TYPE]])</f>
        <v/>
      </c>
      <c r="L900" s="21">
        <f t="array" ref="L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0" s="22">
        <f>LEN(非皮卡压缩表[[#This Row],[TYPE]])</f>
        <v/>
      </c>
      <c r="N900" s="22">
        <f t="array" ref="N900">_xlfn.XLOOKUP(非皮卡压缩表[[#This Row],[MODEL]],MODEL缩写表[长MODEL],MODEL缩写表[短MODEL],非皮卡压缩表[[#This Row],[MODEL]])</f>
        <v/>
      </c>
      <c r="O900" s="22">
        <f>LEN(非皮卡压缩表[[#This Row],[SHORT-MODEL]])</f>
        <v/>
      </c>
      <c r="P900" s="11">
        <f t="array" ref="P900">TRIM(_xlfn.XLOOKUP(非皮卡压缩表[[#This Row],[BACKSIZE]],ALL尺码表[内部尺码],ALL尺码表[通用尺码]))</f>
        <v/>
      </c>
    </row>
    <row r="901">
      <c r="A901" s="17" t="inlineStr">
        <is>
          <t>ALL</t>
        </is>
      </c>
      <c r="B901" s="18" t="inlineStr">
        <is>
          <t>Mercury Cougar</t>
        </is>
      </c>
      <c r="C901" s="18" t="inlineStr">
        <is>
          <t>Mercury</t>
        </is>
      </c>
      <c r="D901" s="18" t="inlineStr">
        <is>
          <t>Cougar</t>
        </is>
      </c>
      <c r="E901" s="18" t="inlineStr">
        <is>
          <t>1977-1979</t>
        </is>
      </c>
      <c r="F901" s="18" t="inlineStr"/>
      <c r="G901" s="18" t="inlineStr">
        <is>
          <t>Sedan/Wagon</t>
        </is>
      </c>
      <c r="H901" s="18" t="inlineStr">
        <is>
          <t>无可用尺码</t>
        </is>
      </c>
      <c r="I901" s="19">
        <f t="array" ref="I901">TRIM(_xlfn.XLOOKUP(非皮卡压缩表[[#This Row],[BACKSIZE]],ALL尺码表[内部尺码],ALL尺码表[分类],""))</f>
        <v/>
      </c>
      <c r="J901" s="19">
        <f t="array" ref="J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1" s="20">
        <f>LEN(非皮卡压缩表[[#This Row],[LONG-TYPE]])</f>
        <v/>
      </c>
      <c r="L901" s="21">
        <f t="array" ref="L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1" s="22">
        <f>LEN(非皮卡压缩表[[#This Row],[TYPE]])</f>
        <v/>
      </c>
      <c r="N901" s="22">
        <f t="array" ref="N901">_xlfn.XLOOKUP(非皮卡压缩表[[#This Row],[MODEL]],MODEL缩写表[长MODEL],MODEL缩写表[短MODEL],非皮卡压缩表[[#This Row],[MODEL]])</f>
        <v/>
      </c>
      <c r="O901" s="22">
        <f>LEN(非皮卡压缩表[[#This Row],[SHORT-MODEL]])</f>
        <v/>
      </c>
      <c r="P901" s="11">
        <f t="array" ref="P901">TRIM(_xlfn.XLOOKUP(非皮卡压缩表[[#This Row],[BACKSIZE]],ALL尺码表[内部尺码],ALL尺码表[通用尺码]))</f>
        <v/>
      </c>
    </row>
    <row r="902">
      <c r="A902" s="17" t="inlineStr">
        <is>
          <t>ALL</t>
        </is>
      </c>
      <c r="B902" s="18" t="inlineStr">
        <is>
          <t>Mercury Cougar</t>
        </is>
      </c>
      <c r="C902" s="18" t="inlineStr">
        <is>
          <t>Mercury</t>
        </is>
      </c>
      <c r="D902" s="18" t="inlineStr">
        <is>
          <t>Cougar</t>
        </is>
      </c>
      <c r="E902" s="18" t="inlineStr">
        <is>
          <t>1980-1982</t>
        </is>
      </c>
      <c r="F902" s="18" t="inlineStr"/>
      <c r="G902" s="18" t="inlineStr">
        <is>
          <t>Wagon</t>
        </is>
      </c>
      <c r="H902" s="18" t="inlineStr">
        <is>
          <t>2XXL</t>
        </is>
      </c>
      <c r="I902" s="19">
        <f t="array" ref="I902">TRIM(_xlfn.XLOOKUP(非皮卡压缩表[[#This Row],[BACKSIZE]],ALL尺码表[内部尺码],ALL尺码表[分类],""))</f>
        <v/>
      </c>
      <c r="J902" s="19">
        <f t="array" ref="J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2" s="20">
        <f>LEN(非皮卡压缩表[[#This Row],[LONG-TYPE]])</f>
        <v/>
      </c>
      <c r="L902" s="21">
        <f t="array" ref="L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2" s="22">
        <f>LEN(非皮卡压缩表[[#This Row],[TYPE]])</f>
        <v/>
      </c>
      <c r="N902" s="22">
        <f t="array" ref="N902">_xlfn.XLOOKUP(非皮卡压缩表[[#This Row],[MODEL]],MODEL缩写表[长MODEL],MODEL缩写表[短MODEL],非皮卡压缩表[[#This Row],[MODEL]])</f>
        <v/>
      </c>
      <c r="O902" s="22">
        <f>LEN(非皮卡压缩表[[#This Row],[SHORT-MODEL]])</f>
        <v/>
      </c>
      <c r="P902" s="11">
        <f t="array" ref="P902">TRIM(_xlfn.XLOOKUP(非皮卡压缩表[[#This Row],[BACKSIZE]],ALL尺码表[内部尺码],ALL尺码表[通用尺码]))</f>
        <v/>
      </c>
    </row>
    <row r="903">
      <c r="A903" s="17" t="inlineStr">
        <is>
          <t>ALL</t>
        </is>
      </c>
      <c r="B903" s="18" t="inlineStr">
        <is>
          <t>Mercury Cougar</t>
        </is>
      </c>
      <c r="C903" s="18" t="inlineStr">
        <is>
          <t>Mercury</t>
        </is>
      </c>
      <c r="D903" s="18" t="inlineStr">
        <is>
          <t>Cougar</t>
        </is>
      </c>
      <c r="E903" s="18" t="inlineStr">
        <is>
          <t>1980-1997</t>
        </is>
      </c>
      <c r="F903" s="18" t="inlineStr"/>
      <c r="G903" s="18" t="inlineStr">
        <is>
          <t>Coupe</t>
        </is>
      </c>
      <c r="H903" s="18" t="inlineStr">
        <is>
          <t>3XL+0</t>
        </is>
      </c>
      <c r="I903" s="19">
        <f t="array" ref="I903">TRIM(_xlfn.XLOOKUP(非皮卡压缩表[[#This Row],[BACKSIZE]],ALL尺码表[内部尺码],ALL尺码表[分类],""))</f>
        <v/>
      </c>
      <c r="J903" s="19">
        <f t="array" ref="J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3" s="20">
        <f>LEN(非皮卡压缩表[[#This Row],[LONG-TYPE]])</f>
        <v/>
      </c>
      <c r="L903" s="21">
        <f t="array" ref="L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3" s="22">
        <f>LEN(非皮卡压缩表[[#This Row],[TYPE]])</f>
        <v/>
      </c>
      <c r="N903" s="22">
        <f t="array" ref="N903">_xlfn.XLOOKUP(非皮卡压缩表[[#This Row],[MODEL]],MODEL缩写表[长MODEL],MODEL缩写表[短MODEL],非皮卡压缩表[[#This Row],[MODEL]])</f>
        <v/>
      </c>
      <c r="O903" s="22">
        <f>LEN(非皮卡压缩表[[#This Row],[SHORT-MODEL]])</f>
        <v/>
      </c>
      <c r="P903" s="11">
        <f t="array" ref="P903">TRIM(_xlfn.XLOOKUP(非皮卡压缩表[[#This Row],[BACKSIZE]],ALL尺码表[内部尺码],ALL尺码表[通用尺码]))</f>
        <v/>
      </c>
    </row>
    <row r="904">
      <c r="A904" s="17" t="inlineStr">
        <is>
          <t>ALL</t>
        </is>
      </c>
      <c r="B904" s="18" t="inlineStr">
        <is>
          <t>Mercury Cougar</t>
        </is>
      </c>
      <c r="C904" s="18" t="inlineStr">
        <is>
          <t>Mercury</t>
        </is>
      </c>
      <c r="D904" s="18" t="inlineStr">
        <is>
          <t>Cougar</t>
        </is>
      </c>
      <c r="E904" s="18" t="inlineStr">
        <is>
          <t>1980-1982</t>
        </is>
      </c>
      <c r="F904" s="18" t="inlineStr"/>
      <c r="G904" s="18" t="inlineStr">
        <is>
          <t>Sedan</t>
        </is>
      </c>
      <c r="H904" s="18" t="inlineStr">
        <is>
          <t>3XXL</t>
        </is>
      </c>
      <c r="I904" s="19">
        <f t="array" ref="I904">TRIM(_xlfn.XLOOKUP(非皮卡压缩表[[#This Row],[BACKSIZE]],ALL尺码表[内部尺码],ALL尺码表[分类],""))</f>
        <v/>
      </c>
      <c r="J904" s="19">
        <f t="array" ref="J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4" s="20">
        <f>LEN(非皮卡压缩表[[#This Row],[LONG-TYPE]])</f>
        <v/>
      </c>
      <c r="L904" s="21">
        <f t="array" ref="L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4" s="22">
        <f>LEN(非皮卡压缩表[[#This Row],[TYPE]])</f>
        <v/>
      </c>
      <c r="N904" s="22">
        <f t="array" ref="N904">_xlfn.XLOOKUP(非皮卡压缩表[[#This Row],[MODEL]],MODEL缩写表[长MODEL],MODEL缩写表[短MODEL],非皮卡压缩表[[#This Row],[MODEL]])</f>
        <v/>
      </c>
      <c r="O904" s="22">
        <f>LEN(非皮卡压缩表[[#This Row],[SHORT-MODEL]])</f>
        <v/>
      </c>
      <c r="P904" s="11">
        <f t="array" ref="P904">TRIM(_xlfn.XLOOKUP(非皮卡压缩表[[#This Row],[BACKSIZE]],ALL尺码表[内部尺码],ALL尺码表[通用尺码]))</f>
        <v/>
      </c>
    </row>
    <row r="905">
      <c r="A905" s="17" t="inlineStr">
        <is>
          <t>ALL</t>
        </is>
      </c>
      <c r="B905" s="18" t="inlineStr">
        <is>
          <t>Mercury Cougar</t>
        </is>
      </c>
      <c r="C905" s="18" t="inlineStr">
        <is>
          <t>Mercury</t>
        </is>
      </c>
      <c r="D905" s="18" t="inlineStr">
        <is>
          <t>Cougar</t>
        </is>
      </c>
      <c r="E905" s="18" t="inlineStr">
        <is>
          <t>1999-2002</t>
        </is>
      </c>
      <c r="F905" s="18" t="inlineStr"/>
      <c r="G905" s="18" t="inlineStr">
        <is>
          <t>Hatchback</t>
        </is>
      </c>
      <c r="H905" s="18" t="inlineStr">
        <is>
          <t>2XL</t>
        </is>
      </c>
      <c r="I905" s="19">
        <f t="array" ref="I905">TRIM(_xlfn.XLOOKUP(非皮卡压缩表[[#This Row],[BACKSIZE]],ALL尺码表[内部尺码],ALL尺码表[分类],""))</f>
        <v/>
      </c>
      <c r="J905" s="19">
        <f t="array" ref="J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5" s="20">
        <f>LEN(非皮卡压缩表[[#This Row],[LONG-TYPE]])</f>
        <v/>
      </c>
      <c r="L905" s="21">
        <f t="array" ref="L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5" s="22">
        <f>LEN(非皮卡压缩表[[#This Row],[TYPE]])</f>
        <v/>
      </c>
      <c r="N905" s="22">
        <f t="array" ref="N905">_xlfn.XLOOKUP(非皮卡压缩表[[#This Row],[MODEL]],MODEL缩写表[长MODEL],MODEL缩写表[短MODEL],非皮卡压缩表[[#This Row],[MODEL]])</f>
        <v/>
      </c>
      <c r="O905" s="22">
        <f>LEN(非皮卡压缩表[[#This Row],[SHORT-MODEL]])</f>
        <v/>
      </c>
      <c r="P905" s="11">
        <f t="array" ref="P905">TRIM(_xlfn.XLOOKUP(非皮卡压缩表[[#This Row],[BACKSIZE]],ALL尺码表[内部尺码],ALL尺码表[通用尺码]))</f>
        <v/>
      </c>
    </row>
    <row r="906">
      <c r="A906" s="17" t="inlineStr">
        <is>
          <t>ALL</t>
        </is>
      </c>
      <c r="B906" s="18" t="inlineStr">
        <is>
          <t>Mercury Grand Marquis</t>
        </is>
      </c>
      <c r="C906" s="18" t="inlineStr">
        <is>
          <t>Mercury</t>
        </is>
      </c>
      <c r="D906" s="18" t="inlineStr">
        <is>
          <t>Grand Marquis</t>
        </is>
      </c>
      <c r="E906" s="18" t="inlineStr">
        <is>
          <t>1975-1978</t>
        </is>
      </c>
      <c r="F906" s="18" t="inlineStr"/>
      <c r="G906" s="18" t="inlineStr">
        <is>
          <t>Sedan</t>
        </is>
      </c>
      <c r="H906" s="18" t="inlineStr">
        <is>
          <t>无可用尺码</t>
        </is>
      </c>
      <c r="I906" s="19">
        <f t="array" ref="I906">TRIM(_xlfn.XLOOKUP(非皮卡压缩表[[#This Row],[BACKSIZE]],ALL尺码表[内部尺码],ALL尺码表[分类],""))</f>
        <v/>
      </c>
      <c r="J906" s="19">
        <f t="array" ref="J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6" s="20">
        <f>LEN(非皮卡压缩表[[#This Row],[LONG-TYPE]])</f>
        <v/>
      </c>
      <c r="L906" s="21">
        <f t="array" ref="L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6" s="22">
        <f>LEN(非皮卡压缩表[[#This Row],[TYPE]])</f>
        <v/>
      </c>
      <c r="N906" s="22">
        <f t="array" ref="N906">_xlfn.XLOOKUP(非皮卡压缩表[[#This Row],[MODEL]],MODEL缩写表[长MODEL],MODEL缩写表[短MODEL],非皮卡压缩表[[#This Row],[MODEL]])</f>
        <v/>
      </c>
      <c r="O906" s="22">
        <f>LEN(非皮卡压缩表[[#This Row],[SHORT-MODEL]])</f>
        <v/>
      </c>
      <c r="P906" s="11">
        <f t="array" ref="P906">TRIM(_xlfn.XLOOKUP(非皮卡压缩表[[#This Row],[BACKSIZE]],ALL尺码表[内部尺码],ALL尺码表[通用尺码]))</f>
        <v/>
      </c>
    </row>
    <row r="907">
      <c r="A907" s="17" t="inlineStr">
        <is>
          <t>ALL</t>
        </is>
      </c>
      <c r="B907" s="18" t="inlineStr">
        <is>
          <t>Mercury Grand Marquis</t>
        </is>
      </c>
      <c r="C907" s="18" t="inlineStr">
        <is>
          <t>Mercury</t>
        </is>
      </c>
      <c r="D907" s="18" t="inlineStr">
        <is>
          <t>Grand Marquis</t>
        </is>
      </c>
      <c r="E907" s="18" t="inlineStr">
        <is>
          <t>1979-2011</t>
        </is>
      </c>
      <c r="F907" s="18" t="inlineStr"/>
      <c r="G907" s="18" t="inlineStr">
        <is>
          <t>Sedan</t>
        </is>
      </c>
      <c r="H907" s="18" t="inlineStr">
        <is>
          <t>3XXXL</t>
        </is>
      </c>
      <c r="I907" s="19">
        <f t="array" ref="I907">TRIM(_xlfn.XLOOKUP(非皮卡压缩表[[#This Row],[BACKSIZE]],ALL尺码表[内部尺码],ALL尺码表[分类],""))</f>
        <v/>
      </c>
      <c r="J907" s="19">
        <f t="array" ref="J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7" s="20">
        <f>LEN(非皮卡压缩表[[#This Row],[LONG-TYPE]])</f>
        <v/>
      </c>
      <c r="L907" s="21">
        <f t="array" ref="L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7" s="22">
        <f>LEN(非皮卡压缩表[[#This Row],[TYPE]])</f>
        <v/>
      </c>
      <c r="N907" s="22">
        <f t="array" ref="N907">_xlfn.XLOOKUP(非皮卡压缩表[[#This Row],[MODEL]],MODEL缩写表[长MODEL],MODEL缩写表[短MODEL],非皮卡压缩表[[#This Row],[MODEL]])</f>
        <v/>
      </c>
      <c r="O907" s="22">
        <f>LEN(非皮卡压缩表[[#This Row],[SHORT-MODEL]])</f>
        <v/>
      </c>
      <c r="P907" s="11">
        <f t="array" ref="P907">TRIM(_xlfn.XLOOKUP(非皮卡压缩表[[#This Row],[BACKSIZE]],ALL尺码表[内部尺码],ALL尺码表[通用尺码]))</f>
        <v/>
      </c>
    </row>
    <row r="908">
      <c r="A908" s="17" t="inlineStr">
        <is>
          <t>ALL</t>
        </is>
      </c>
      <c r="B908" s="18" t="inlineStr">
        <is>
          <t>Mercury Marauder</t>
        </is>
      </c>
      <c r="C908" s="18" t="inlineStr">
        <is>
          <t>Mercury</t>
        </is>
      </c>
      <c r="D908" s="18" t="inlineStr">
        <is>
          <t>Marauder</t>
        </is>
      </c>
      <c r="E908" s="18" t="inlineStr">
        <is>
          <t>2003-2004</t>
        </is>
      </c>
      <c r="F908" s="18" t="inlineStr"/>
      <c r="G908" s="18" t="inlineStr">
        <is>
          <t>Sedan</t>
        </is>
      </c>
      <c r="H908" s="18" t="inlineStr">
        <is>
          <t>3XXXL</t>
        </is>
      </c>
      <c r="I908" s="19">
        <f t="array" ref="I908">TRIM(_xlfn.XLOOKUP(非皮卡压缩表[[#This Row],[BACKSIZE]],ALL尺码表[内部尺码],ALL尺码表[分类],""))</f>
        <v/>
      </c>
      <c r="J908" s="19">
        <f t="array" ref="J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8" s="20">
        <f>LEN(非皮卡压缩表[[#This Row],[LONG-TYPE]])</f>
        <v/>
      </c>
      <c r="L908" s="21">
        <f t="array" ref="L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8" s="22">
        <f>LEN(非皮卡压缩表[[#This Row],[TYPE]])</f>
        <v/>
      </c>
      <c r="N908" s="22">
        <f t="array" ref="N908">_xlfn.XLOOKUP(非皮卡压缩表[[#This Row],[MODEL]],MODEL缩写表[长MODEL],MODEL缩写表[短MODEL],非皮卡压缩表[[#This Row],[MODEL]])</f>
        <v/>
      </c>
      <c r="O908" s="22">
        <f>LEN(非皮卡压缩表[[#This Row],[SHORT-MODEL]])</f>
        <v/>
      </c>
      <c r="P908" s="11">
        <f t="array" ref="P908">TRIM(_xlfn.XLOOKUP(非皮卡压缩表[[#This Row],[BACKSIZE]],ALL尺码表[内部尺码],ALL尺码表[通用尺码]))</f>
        <v/>
      </c>
    </row>
    <row r="909">
      <c r="A909" s="17" t="inlineStr">
        <is>
          <t>ALL</t>
        </is>
      </c>
      <c r="B909" s="18" t="inlineStr">
        <is>
          <t>Mercury Mariner</t>
        </is>
      </c>
      <c r="C909" s="18" t="inlineStr">
        <is>
          <t>Mercury</t>
        </is>
      </c>
      <c r="D909" s="18" t="inlineStr">
        <is>
          <t>Mariner</t>
        </is>
      </c>
      <c r="E909" s="18" t="inlineStr">
        <is>
          <t>2005-2011</t>
        </is>
      </c>
      <c r="F909" s="18" t="inlineStr"/>
      <c r="G909" s="18" t="inlineStr">
        <is>
          <t>SUV</t>
        </is>
      </c>
      <c r="H909" s="18" t="inlineStr">
        <is>
          <t>YM+</t>
        </is>
      </c>
      <c r="I909" s="19">
        <f t="array" ref="I909">TRIM(_xlfn.XLOOKUP(非皮卡压缩表[[#This Row],[BACKSIZE]],ALL尺码表[内部尺码],ALL尺码表[分类],""))</f>
        <v/>
      </c>
      <c r="J909" s="19">
        <f t="array" ref="J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9" s="20">
        <f>LEN(非皮卡压缩表[[#This Row],[LONG-TYPE]])</f>
        <v/>
      </c>
      <c r="L909" s="21">
        <f t="array" ref="L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9" s="22">
        <f>LEN(非皮卡压缩表[[#This Row],[TYPE]])</f>
        <v/>
      </c>
      <c r="N909" s="22">
        <f t="array" ref="N909">_xlfn.XLOOKUP(非皮卡压缩表[[#This Row],[MODEL]],MODEL缩写表[长MODEL],MODEL缩写表[短MODEL],非皮卡压缩表[[#This Row],[MODEL]])</f>
        <v/>
      </c>
      <c r="O909" s="22">
        <f>LEN(非皮卡压缩表[[#This Row],[SHORT-MODEL]])</f>
        <v/>
      </c>
      <c r="P909" s="11">
        <f t="array" ref="P909">TRIM(_xlfn.XLOOKUP(非皮卡压缩表[[#This Row],[BACKSIZE]],ALL尺码表[内部尺码],ALL尺码表[通用尺码]))</f>
        <v/>
      </c>
    </row>
    <row r="910">
      <c r="A910" s="17" t="inlineStr">
        <is>
          <t>ALL</t>
        </is>
      </c>
      <c r="B910" s="18" t="inlineStr">
        <is>
          <t>Mercury Marquis</t>
        </is>
      </c>
      <c r="C910" s="18" t="inlineStr">
        <is>
          <t>Mercury</t>
        </is>
      </c>
      <c r="D910" s="18" t="inlineStr">
        <is>
          <t>Marquis</t>
        </is>
      </c>
      <c r="E910" s="18" t="inlineStr">
        <is>
          <t>1967-1978</t>
        </is>
      </c>
      <c r="F910" s="18" t="inlineStr"/>
      <c r="G910" s="18" t="inlineStr">
        <is>
          <t>Coupe</t>
        </is>
      </c>
      <c r="H910" s="18" t="inlineStr">
        <is>
          <t>3XXXXL-0</t>
        </is>
      </c>
      <c r="I910" s="19">
        <f t="array" ref="I910">TRIM(_xlfn.XLOOKUP(非皮卡压缩表[[#This Row],[BACKSIZE]],ALL尺码表[内部尺码],ALL尺码表[分类],""))</f>
        <v/>
      </c>
      <c r="J910" s="19">
        <f t="array" ref="J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0" s="20">
        <f>LEN(非皮卡压缩表[[#This Row],[LONG-TYPE]])</f>
        <v/>
      </c>
      <c r="L910" s="21">
        <f t="array" ref="L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0" s="22">
        <f>LEN(非皮卡压缩表[[#This Row],[TYPE]])</f>
        <v/>
      </c>
      <c r="N910" s="22">
        <f t="array" ref="N910">_xlfn.XLOOKUP(非皮卡压缩表[[#This Row],[MODEL]],MODEL缩写表[长MODEL],MODEL缩写表[短MODEL],非皮卡压缩表[[#This Row],[MODEL]])</f>
        <v/>
      </c>
      <c r="O910" s="22">
        <f>LEN(非皮卡压缩表[[#This Row],[SHORT-MODEL]])</f>
        <v/>
      </c>
      <c r="P910" s="11">
        <f t="array" ref="P910">TRIM(_xlfn.XLOOKUP(非皮卡压缩表[[#This Row],[BACKSIZE]],ALL尺码表[内部尺码],ALL尺码表[通用尺码]))</f>
        <v/>
      </c>
    </row>
    <row r="911">
      <c r="A911" s="17" t="inlineStr">
        <is>
          <t>ALL</t>
        </is>
      </c>
      <c r="B911" s="18" t="inlineStr">
        <is>
          <t>Mercury Marquis</t>
        </is>
      </c>
      <c r="C911" s="18" t="inlineStr">
        <is>
          <t>Mercury</t>
        </is>
      </c>
      <c r="D911" s="18" t="inlineStr">
        <is>
          <t>Marquis</t>
        </is>
      </c>
      <c r="E911" s="18" t="inlineStr">
        <is>
          <t>1969-1978</t>
        </is>
      </c>
      <c r="F911" s="18" t="inlineStr"/>
      <c r="G911" s="18" t="inlineStr">
        <is>
          <t>Sedan</t>
        </is>
      </c>
      <c r="H911" s="18" t="inlineStr">
        <is>
          <t>无可用尺码</t>
        </is>
      </c>
      <c r="I911" s="19">
        <f t="array" ref="I911">TRIM(_xlfn.XLOOKUP(非皮卡压缩表[[#This Row],[BACKSIZE]],ALL尺码表[内部尺码],ALL尺码表[分类],""))</f>
        <v/>
      </c>
      <c r="J911" s="19">
        <f t="array" ref="J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1" s="20">
        <f>LEN(非皮卡压缩表[[#This Row],[LONG-TYPE]])</f>
        <v/>
      </c>
      <c r="L911" s="21">
        <f t="array" ref="L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1" s="22">
        <f>LEN(非皮卡压缩表[[#This Row],[TYPE]])</f>
        <v/>
      </c>
      <c r="N911" s="22">
        <f t="array" ref="N911">_xlfn.XLOOKUP(非皮卡压缩表[[#This Row],[MODEL]],MODEL缩写表[长MODEL],MODEL缩写表[短MODEL],非皮卡压缩表[[#This Row],[MODEL]])</f>
        <v/>
      </c>
      <c r="O911" s="22">
        <f>LEN(非皮卡压缩表[[#This Row],[SHORT-MODEL]])</f>
        <v/>
      </c>
      <c r="P911" s="11">
        <f t="array" ref="P911">TRIM(_xlfn.XLOOKUP(非皮卡压缩表[[#This Row],[BACKSIZE]],ALL尺码表[内部尺码],ALL尺码表[通用尺码]))</f>
        <v/>
      </c>
    </row>
    <row r="912">
      <c r="A912" s="17" t="inlineStr">
        <is>
          <t>ALL</t>
        </is>
      </c>
      <c r="B912" s="18" t="inlineStr">
        <is>
          <t>Mercury Marquis</t>
        </is>
      </c>
      <c r="C912" s="18" t="inlineStr">
        <is>
          <t>Mercury</t>
        </is>
      </c>
      <c r="D912" s="18" t="inlineStr">
        <is>
          <t>Marquis</t>
        </is>
      </c>
      <c r="E912" s="18" t="inlineStr">
        <is>
          <t>1973-1982</t>
        </is>
      </c>
      <c r="F912" s="18" t="inlineStr"/>
      <c r="G912" s="18" t="inlineStr">
        <is>
          <t>Wagon</t>
        </is>
      </c>
      <c r="H912" s="18" t="inlineStr">
        <is>
          <t>无可用尺码</t>
        </is>
      </c>
      <c r="I912" s="19">
        <f t="array" ref="I912">TRIM(_xlfn.XLOOKUP(非皮卡压缩表[[#This Row],[BACKSIZE]],ALL尺码表[内部尺码],ALL尺码表[分类],""))</f>
        <v/>
      </c>
      <c r="J912" s="19">
        <f t="array" ref="J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2" s="20">
        <f>LEN(非皮卡压缩表[[#This Row],[LONG-TYPE]])</f>
        <v/>
      </c>
      <c r="L912" s="21">
        <f t="array" ref="L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2" s="22">
        <f>LEN(非皮卡压缩表[[#This Row],[TYPE]])</f>
        <v/>
      </c>
      <c r="N912" s="22">
        <f t="array" ref="N912">_xlfn.XLOOKUP(非皮卡压缩表[[#This Row],[MODEL]],MODEL缩写表[长MODEL],MODEL缩写表[短MODEL],非皮卡压缩表[[#This Row],[MODEL]])</f>
        <v/>
      </c>
      <c r="O912" s="22">
        <f>LEN(非皮卡压缩表[[#This Row],[SHORT-MODEL]])</f>
        <v/>
      </c>
      <c r="P912" s="11">
        <f t="array" ref="P912">TRIM(_xlfn.XLOOKUP(非皮卡压缩表[[#This Row],[BACKSIZE]],ALL尺码表[内部尺码],ALL尺码表[通用尺码]))</f>
        <v/>
      </c>
    </row>
    <row r="913">
      <c r="A913" s="17" t="inlineStr">
        <is>
          <t>ALL</t>
        </is>
      </c>
      <c r="B913" s="18" t="inlineStr">
        <is>
          <t>Mercury Marquis</t>
        </is>
      </c>
      <c r="C913" s="18" t="inlineStr">
        <is>
          <t>Mercury</t>
        </is>
      </c>
      <c r="D913" s="18" t="inlineStr">
        <is>
          <t>Marquis</t>
        </is>
      </c>
      <c r="E913" s="18" t="inlineStr">
        <is>
          <t>1979-1982</t>
        </is>
      </c>
      <c r="F913" s="18" t="inlineStr"/>
      <c r="G913" s="18" t="inlineStr">
        <is>
          <t>Sedan</t>
        </is>
      </c>
      <c r="H913" s="18" t="inlineStr">
        <is>
          <t>3XXXL</t>
        </is>
      </c>
      <c r="I913" s="19">
        <f t="array" ref="I913">TRIM(_xlfn.XLOOKUP(非皮卡压缩表[[#This Row],[BACKSIZE]],ALL尺码表[内部尺码],ALL尺码表[分类],""))</f>
        <v/>
      </c>
      <c r="J913" s="19">
        <f t="array" ref="J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3" s="20">
        <f>LEN(非皮卡压缩表[[#This Row],[LONG-TYPE]])</f>
        <v/>
      </c>
      <c r="L913" s="21">
        <f t="array" ref="L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3" s="22">
        <f>LEN(非皮卡压缩表[[#This Row],[TYPE]])</f>
        <v/>
      </c>
      <c r="N913" s="22">
        <f t="array" ref="N913">_xlfn.XLOOKUP(非皮卡压缩表[[#This Row],[MODEL]],MODEL缩写表[长MODEL],MODEL缩写表[短MODEL],非皮卡压缩表[[#This Row],[MODEL]])</f>
        <v/>
      </c>
      <c r="O913" s="22">
        <f>LEN(非皮卡压缩表[[#This Row],[SHORT-MODEL]])</f>
        <v/>
      </c>
      <c r="P913" s="11">
        <f t="array" ref="P913">TRIM(_xlfn.XLOOKUP(非皮卡压缩表[[#This Row],[BACKSIZE]],ALL尺码表[内部尺码],ALL尺码表[通用尺码]))</f>
        <v/>
      </c>
    </row>
    <row r="914">
      <c r="A914" s="17" t="inlineStr">
        <is>
          <t>ALL</t>
        </is>
      </c>
      <c r="B914" s="18" t="inlineStr">
        <is>
          <t>Mercury Marquis</t>
        </is>
      </c>
      <c r="C914" s="18" t="inlineStr">
        <is>
          <t>Mercury</t>
        </is>
      </c>
      <c r="D914" s="18" t="inlineStr">
        <is>
          <t>Marquis</t>
        </is>
      </c>
      <c r="E914" s="18" t="inlineStr">
        <is>
          <t>1980-1982</t>
        </is>
      </c>
      <c r="F914" s="18" t="inlineStr"/>
      <c r="G914" s="18" t="inlineStr">
        <is>
          <t>Coupe</t>
        </is>
      </c>
      <c r="H914" s="18" t="inlineStr">
        <is>
          <t>3XXXL-0</t>
        </is>
      </c>
      <c r="I914" s="19">
        <f t="array" ref="I914">TRIM(_xlfn.XLOOKUP(非皮卡压缩表[[#This Row],[BACKSIZE]],ALL尺码表[内部尺码],ALL尺码表[分类],""))</f>
        <v/>
      </c>
      <c r="J914" s="19">
        <f t="array" ref="J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4" s="20">
        <f>LEN(非皮卡压缩表[[#This Row],[LONG-TYPE]])</f>
        <v/>
      </c>
      <c r="L914" s="21">
        <f t="array" ref="L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4" s="22">
        <f>LEN(非皮卡压缩表[[#This Row],[TYPE]])</f>
        <v/>
      </c>
      <c r="N914" s="22">
        <f t="array" ref="N914">_xlfn.XLOOKUP(非皮卡压缩表[[#This Row],[MODEL]],MODEL缩写表[长MODEL],MODEL缩写表[短MODEL],非皮卡压缩表[[#This Row],[MODEL]])</f>
        <v/>
      </c>
      <c r="O914" s="22">
        <f>LEN(非皮卡压缩表[[#This Row],[SHORT-MODEL]])</f>
        <v/>
      </c>
      <c r="P914" s="11">
        <f t="array" ref="P914">TRIM(_xlfn.XLOOKUP(非皮卡压缩表[[#This Row],[BACKSIZE]],ALL尺码表[内部尺码],ALL尺码表[通用尺码]))</f>
        <v/>
      </c>
    </row>
    <row r="915">
      <c r="A915" s="17" t="inlineStr">
        <is>
          <t>ALL</t>
        </is>
      </c>
      <c r="B915" s="18" t="inlineStr">
        <is>
          <t>Mercury Marquis</t>
        </is>
      </c>
      <c r="C915" s="18" t="inlineStr">
        <is>
          <t>Mercury</t>
        </is>
      </c>
      <c r="D915" s="18" t="inlineStr">
        <is>
          <t>Marquis</t>
        </is>
      </c>
      <c r="E915" s="18" t="inlineStr">
        <is>
          <t>1983-1986</t>
        </is>
      </c>
      <c r="F915" s="18" t="inlineStr"/>
      <c r="G915" s="18" t="inlineStr">
        <is>
          <t>Wagon</t>
        </is>
      </c>
      <c r="H915" s="18" t="inlineStr">
        <is>
          <t>2XL+</t>
        </is>
      </c>
      <c r="I915" s="19">
        <f t="array" ref="I915">TRIM(_xlfn.XLOOKUP(非皮卡压缩表[[#This Row],[BACKSIZE]],ALL尺码表[内部尺码],ALL尺码表[分类],""))</f>
        <v/>
      </c>
      <c r="J915" s="19">
        <f t="array" ref="J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5" s="20">
        <f>LEN(非皮卡压缩表[[#This Row],[LONG-TYPE]])</f>
        <v/>
      </c>
      <c r="L915" s="21">
        <f t="array" ref="L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5" s="22">
        <f>LEN(非皮卡压缩表[[#This Row],[TYPE]])</f>
        <v/>
      </c>
      <c r="N915" s="22">
        <f t="array" ref="N915">_xlfn.XLOOKUP(非皮卡压缩表[[#This Row],[MODEL]],MODEL缩写表[长MODEL],MODEL缩写表[短MODEL],非皮卡压缩表[[#This Row],[MODEL]])</f>
        <v/>
      </c>
      <c r="O915" s="22">
        <f>LEN(非皮卡压缩表[[#This Row],[SHORT-MODEL]])</f>
        <v/>
      </c>
      <c r="P915" s="11">
        <f t="array" ref="P915">TRIM(_xlfn.XLOOKUP(非皮卡压缩表[[#This Row],[BACKSIZE]],ALL尺码表[内部尺码],ALL尺码表[通用尺码]))</f>
        <v/>
      </c>
    </row>
    <row r="916">
      <c r="A916" s="17" t="inlineStr">
        <is>
          <t>ALL</t>
        </is>
      </c>
      <c r="B916" s="18" t="inlineStr">
        <is>
          <t>Mercury Marquis</t>
        </is>
      </c>
      <c r="C916" s="18" t="inlineStr">
        <is>
          <t>Mercury</t>
        </is>
      </c>
      <c r="D916" s="18" t="inlineStr">
        <is>
          <t>Marquis</t>
        </is>
      </c>
      <c r="E916" s="18" t="inlineStr">
        <is>
          <t>1983-1986</t>
        </is>
      </c>
      <c r="F916" s="18" t="inlineStr"/>
      <c r="G916" s="18" t="inlineStr">
        <is>
          <t>Sedan</t>
        </is>
      </c>
      <c r="H916" s="18" t="inlineStr">
        <is>
          <t>3XXL</t>
        </is>
      </c>
      <c r="I916" s="19">
        <f t="array" ref="I916">TRIM(_xlfn.XLOOKUP(非皮卡压缩表[[#This Row],[BACKSIZE]],ALL尺码表[内部尺码],ALL尺码表[分类],""))</f>
        <v/>
      </c>
      <c r="J916" s="19">
        <f t="array" ref="J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6" s="20">
        <f>LEN(非皮卡压缩表[[#This Row],[LONG-TYPE]])</f>
        <v/>
      </c>
      <c r="L916" s="21">
        <f t="array" ref="L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6" s="22">
        <f>LEN(非皮卡压缩表[[#This Row],[TYPE]])</f>
        <v/>
      </c>
      <c r="N916" s="22">
        <f t="array" ref="N916">_xlfn.XLOOKUP(非皮卡压缩表[[#This Row],[MODEL]],MODEL缩写表[长MODEL],MODEL缩写表[短MODEL],非皮卡压缩表[[#This Row],[MODEL]])</f>
        <v/>
      </c>
      <c r="O916" s="22">
        <f>LEN(非皮卡压缩表[[#This Row],[SHORT-MODEL]])</f>
        <v/>
      </c>
      <c r="P916" s="11">
        <f t="array" ref="P916">TRIM(_xlfn.XLOOKUP(非皮卡压缩表[[#This Row],[BACKSIZE]],ALL尺码表[内部尺码],ALL尺码表[通用尺码]))</f>
        <v/>
      </c>
    </row>
    <row r="917">
      <c r="A917" s="17" t="inlineStr">
        <is>
          <t>ALL</t>
        </is>
      </c>
      <c r="B917" s="18" t="inlineStr">
        <is>
          <t>Mercury Milan</t>
        </is>
      </c>
      <c r="C917" s="18" t="inlineStr">
        <is>
          <t>Mercury</t>
        </is>
      </c>
      <c r="D917" s="18" t="inlineStr">
        <is>
          <t>Milan</t>
        </is>
      </c>
      <c r="E917" s="18" t="inlineStr">
        <is>
          <t>2006-2011</t>
        </is>
      </c>
      <c r="F917" s="18" t="inlineStr"/>
      <c r="G917" s="18" t="inlineStr">
        <is>
          <t>Sedan</t>
        </is>
      </c>
      <c r="H917" s="18" t="inlineStr">
        <is>
          <t>3XL</t>
        </is>
      </c>
      <c r="I917" s="19">
        <f t="array" ref="I917">TRIM(_xlfn.XLOOKUP(非皮卡压缩表[[#This Row],[BACKSIZE]],ALL尺码表[内部尺码],ALL尺码表[分类],""))</f>
        <v/>
      </c>
      <c r="J917" s="19">
        <f t="array" ref="J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7" s="20">
        <f>LEN(非皮卡压缩表[[#This Row],[LONG-TYPE]])</f>
        <v/>
      </c>
      <c r="L917" s="21">
        <f t="array" ref="L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7" s="22">
        <f>LEN(非皮卡压缩表[[#This Row],[TYPE]])</f>
        <v/>
      </c>
      <c r="N917" s="22">
        <f t="array" ref="N917">_xlfn.XLOOKUP(非皮卡压缩表[[#This Row],[MODEL]],MODEL缩写表[长MODEL],MODEL缩写表[短MODEL],非皮卡压缩表[[#This Row],[MODEL]])</f>
        <v/>
      </c>
      <c r="O917" s="22">
        <f>LEN(非皮卡压缩表[[#This Row],[SHORT-MODEL]])</f>
        <v/>
      </c>
      <c r="P917" s="11">
        <f t="array" ref="P917">TRIM(_xlfn.XLOOKUP(非皮卡压缩表[[#This Row],[BACKSIZE]],ALL尺码表[内部尺码],ALL尺码表[通用尺码]))</f>
        <v/>
      </c>
    </row>
    <row r="918">
      <c r="A918" s="17" t="inlineStr">
        <is>
          <t>ALL</t>
        </is>
      </c>
      <c r="B918" s="18" t="inlineStr">
        <is>
          <t>Mercury Monterey</t>
        </is>
      </c>
      <c r="C918" s="18" t="inlineStr">
        <is>
          <t>Mercury</t>
        </is>
      </c>
      <c r="D918" s="18" t="inlineStr">
        <is>
          <t>Monterey</t>
        </is>
      </c>
      <c r="E918" s="18" t="inlineStr">
        <is>
          <t>1952-1954</t>
        </is>
      </c>
      <c r="F918" s="18" t="inlineStr"/>
      <c r="G918" s="18" t="inlineStr">
        <is>
          <t>Wagon</t>
        </is>
      </c>
      <c r="H918" s="18" t="inlineStr">
        <is>
          <t>2XXL</t>
        </is>
      </c>
      <c r="I918" s="19">
        <f t="array" ref="I918">TRIM(_xlfn.XLOOKUP(非皮卡压缩表[[#This Row],[BACKSIZE]],ALL尺码表[内部尺码],ALL尺码表[分类],""))</f>
        <v/>
      </c>
      <c r="J918" s="19">
        <f t="array" ref="J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8" s="20">
        <f>LEN(非皮卡压缩表[[#This Row],[LONG-TYPE]])</f>
        <v/>
      </c>
      <c r="L918" s="21">
        <f t="array" ref="L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8" s="22">
        <f>LEN(非皮卡压缩表[[#This Row],[TYPE]])</f>
        <v/>
      </c>
      <c r="N918" s="22">
        <f t="array" ref="N918">_xlfn.XLOOKUP(非皮卡压缩表[[#This Row],[MODEL]],MODEL缩写表[长MODEL],MODEL缩写表[短MODEL],非皮卡压缩表[[#This Row],[MODEL]])</f>
        <v/>
      </c>
      <c r="O918" s="22">
        <f>LEN(非皮卡压缩表[[#This Row],[SHORT-MODEL]])</f>
        <v/>
      </c>
      <c r="P918" s="11">
        <f t="array" ref="P918">TRIM(_xlfn.XLOOKUP(非皮卡压缩表[[#This Row],[BACKSIZE]],ALL尺码表[内部尺码],ALL尺码表[通用尺码]))</f>
        <v/>
      </c>
    </row>
    <row r="919">
      <c r="A919" s="17" t="inlineStr">
        <is>
          <t>ALL</t>
        </is>
      </c>
      <c r="B919" s="18" t="inlineStr">
        <is>
          <t>Mercury Monterey</t>
        </is>
      </c>
      <c r="C919" s="18" t="inlineStr">
        <is>
          <t>Mercury</t>
        </is>
      </c>
      <c r="D919" s="18" t="inlineStr">
        <is>
          <t>Monterey</t>
        </is>
      </c>
      <c r="E919" s="18" t="inlineStr">
        <is>
          <t>1952-1953</t>
        </is>
      </c>
      <c r="F919" s="18" t="inlineStr"/>
      <c r="G919" s="18" t="inlineStr">
        <is>
          <t>Convertible/Coupe</t>
        </is>
      </c>
      <c r="H919" s="18" t="inlineStr">
        <is>
          <t>3XL+0</t>
        </is>
      </c>
      <c r="I919" s="19">
        <f t="array" ref="I919">TRIM(_xlfn.XLOOKUP(非皮卡压缩表[[#This Row],[BACKSIZE]],ALL尺码表[内部尺码],ALL尺码表[分类],""))</f>
        <v/>
      </c>
      <c r="J919" s="19">
        <f t="array" ref="J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9" s="20">
        <f>LEN(非皮卡压缩表[[#This Row],[LONG-TYPE]])</f>
        <v/>
      </c>
      <c r="L919" s="21">
        <f t="array" ref="L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9" s="22">
        <f>LEN(非皮卡压缩表[[#This Row],[TYPE]])</f>
        <v/>
      </c>
      <c r="N919" s="22">
        <f t="array" ref="N919">_xlfn.XLOOKUP(非皮卡压缩表[[#This Row],[MODEL]],MODEL缩写表[长MODEL],MODEL缩写表[短MODEL],非皮卡压缩表[[#This Row],[MODEL]])</f>
        <v/>
      </c>
      <c r="O919" s="22">
        <f>LEN(非皮卡压缩表[[#This Row],[SHORT-MODEL]])</f>
        <v/>
      </c>
      <c r="P919" s="11">
        <f t="array" ref="P919">TRIM(_xlfn.XLOOKUP(非皮卡压缩表[[#This Row],[BACKSIZE]],ALL尺码表[内部尺码],ALL尺码表[通用尺码]))</f>
        <v/>
      </c>
    </row>
    <row r="920">
      <c r="A920" s="17" t="inlineStr">
        <is>
          <t>ALL</t>
        </is>
      </c>
      <c r="B920" s="18" t="inlineStr">
        <is>
          <t>Mercury Monterey</t>
        </is>
      </c>
      <c r="C920" s="18" t="inlineStr">
        <is>
          <t>Mercury</t>
        </is>
      </c>
      <c r="D920" s="18" t="inlineStr">
        <is>
          <t>Monterey</t>
        </is>
      </c>
      <c r="E920" s="18" t="inlineStr">
        <is>
          <t>1952-1956</t>
        </is>
      </c>
      <c r="F920" s="18" t="inlineStr"/>
      <c r="G920" s="18" t="inlineStr">
        <is>
          <t>Sedan</t>
        </is>
      </c>
      <c r="H920" s="18" t="inlineStr">
        <is>
          <t>3XXL</t>
        </is>
      </c>
      <c r="I920" s="19">
        <f t="array" ref="I920">TRIM(_xlfn.XLOOKUP(非皮卡压缩表[[#This Row],[BACKSIZE]],ALL尺码表[内部尺码],ALL尺码表[分类],""))</f>
        <v/>
      </c>
      <c r="J920" s="19">
        <f t="array" ref="J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0" s="20">
        <f>LEN(非皮卡压缩表[[#This Row],[LONG-TYPE]])</f>
        <v/>
      </c>
      <c r="L920" s="21">
        <f t="array" ref="L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0" s="22">
        <f>LEN(非皮卡压缩表[[#This Row],[TYPE]])</f>
        <v/>
      </c>
      <c r="N920" s="22">
        <f t="array" ref="N920">_xlfn.XLOOKUP(非皮卡压缩表[[#This Row],[MODEL]],MODEL缩写表[长MODEL],MODEL缩写表[短MODEL],非皮卡压缩表[[#This Row],[MODEL]])</f>
        <v/>
      </c>
      <c r="O920" s="22">
        <f>LEN(非皮卡压缩表[[#This Row],[SHORT-MODEL]])</f>
        <v/>
      </c>
      <c r="P920" s="11">
        <f t="array" ref="P920">TRIM(_xlfn.XLOOKUP(非皮卡压缩表[[#This Row],[BACKSIZE]],ALL尺码表[内部尺码],ALL尺码表[通用尺码]))</f>
        <v/>
      </c>
    </row>
    <row r="921">
      <c r="A921" s="17" t="inlineStr">
        <is>
          <t>ALL</t>
        </is>
      </c>
      <c r="B921" s="18" t="inlineStr">
        <is>
          <t>Mercury Monterey</t>
        </is>
      </c>
      <c r="C921" s="18" t="inlineStr">
        <is>
          <t>Mercury</t>
        </is>
      </c>
      <c r="D921" s="18" t="inlineStr">
        <is>
          <t>Monterey</t>
        </is>
      </c>
      <c r="E921" s="18" t="inlineStr">
        <is>
          <t>1954-1956</t>
        </is>
      </c>
      <c r="F921" s="18" t="inlineStr"/>
      <c r="G921" s="18" t="inlineStr">
        <is>
          <t>Convertible/Coupe</t>
        </is>
      </c>
      <c r="H921" s="18" t="inlineStr">
        <is>
          <t>3XXL-0</t>
        </is>
      </c>
      <c r="I921" s="19">
        <f t="array" ref="I921">TRIM(_xlfn.XLOOKUP(非皮卡压缩表[[#This Row],[BACKSIZE]],ALL尺码表[内部尺码],ALL尺码表[分类],""))</f>
        <v/>
      </c>
      <c r="J921" s="19">
        <f t="array" ref="J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1" s="20">
        <f>LEN(非皮卡压缩表[[#This Row],[LONG-TYPE]])</f>
        <v/>
      </c>
      <c r="L921" s="21">
        <f t="array" ref="L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1" s="22">
        <f>LEN(非皮卡压缩表[[#This Row],[TYPE]])</f>
        <v/>
      </c>
      <c r="N921" s="22">
        <f t="array" ref="N921">_xlfn.XLOOKUP(非皮卡压缩表[[#This Row],[MODEL]],MODEL缩写表[长MODEL],MODEL缩写表[短MODEL],非皮卡压缩表[[#This Row],[MODEL]])</f>
        <v/>
      </c>
      <c r="O921" s="22">
        <f>LEN(非皮卡压缩表[[#This Row],[SHORT-MODEL]])</f>
        <v/>
      </c>
      <c r="P921" s="11">
        <f t="array" ref="P921">TRIM(_xlfn.XLOOKUP(非皮卡压缩表[[#This Row],[BACKSIZE]],ALL尺码表[内部尺码],ALL尺码表[通用尺码]))</f>
        <v/>
      </c>
    </row>
    <row r="922">
      <c r="A922" s="17" t="inlineStr">
        <is>
          <t>ALL</t>
        </is>
      </c>
      <c r="B922" s="18" t="inlineStr">
        <is>
          <t>Mercury Monterey</t>
        </is>
      </c>
      <c r="C922" s="18" t="inlineStr">
        <is>
          <t>Mercury</t>
        </is>
      </c>
      <c r="D922" s="18" t="inlineStr">
        <is>
          <t>Monterey</t>
        </is>
      </c>
      <c r="E922" s="18" t="inlineStr">
        <is>
          <t>1955-1974</t>
        </is>
      </c>
      <c r="F922" s="18" t="inlineStr"/>
      <c r="G922" s="18" t="inlineStr">
        <is>
          <t>Hatchback/Wagon</t>
        </is>
      </c>
      <c r="H922" s="18" t="inlineStr">
        <is>
          <t>无可用尺码</t>
        </is>
      </c>
      <c r="I922" s="19">
        <f t="array" ref="I922">TRIM(_xlfn.XLOOKUP(非皮卡压缩表[[#This Row],[BACKSIZE]],ALL尺码表[内部尺码],ALL尺码表[分类],""))</f>
        <v/>
      </c>
      <c r="J922" s="19">
        <f t="array" ref="J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2" s="20">
        <f>LEN(非皮卡压缩表[[#This Row],[LONG-TYPE]])</f>
        <v/>
      </c>
      <c r="L922" s="21">
        <f t="array" ref="L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2" s="22">
        <f>LEN(非皮卡压缩表[[#This Row],[TYPE]])</f>
        <v/>
      </c>
      <c r="N922" s="22">
        <f t="array" ref="N922">_xlfn.XLOOKUP(非皮卡压缩表[[#This Row],[MODEL]],MODEL缩写表[长MODEL],MODEL缩写表[短MODEL],非皮卡压缩表[[#This Row],[MODEL]])</f>
        <v/>
      </c>
      <c r="O922" s="22">
        <f>LEN(非皮卡压缩表[[#This Row],[SHORT-MODEL]])</f>
        <v/>
      </c>
      <c r="P922" s="11">
        <f t="array" ref="P922">TRIM(_xlfn.XLOOKUP(非皮卡压缩表[[#This Row],[BACKSIZE]],ALL尺码表[内部尺码],ALL尺码表[通用尺码]))</f>
        <v/>
      </c>
    </row>
    <row r="923">
      <c r="A923" s="17" t="inlineStr">
        <is>
          <t>ALL</t>
        </is>
      </c>
      <c r="B923" s="18" t="inlineStr">
        <is>
          <t>Mercury Monterey</t>
        </is>
      </c>
      <c r="C923" s="18" t="inlineStr">
        <is>
          <t>Mercury</t>
        </is>
      </c>
      <c r="D923" s="18" t="inlineStr">
        <is>
          <t>Monterey</t>
        </is>
      </c>
      <c r="E923" s="18" t="inlineStr">
        <is>
          <t>1957-1958</t>
        </is>
      </c>
      <c r="F923" s="18" t="inlineStr"/>
      <c r="G923" s="18" t="inlineStr">
        <is>
          <t>Sedan</t>
        </is>
      </c>
      <c r="H923" s="18" t="inlineStr">
        <is>
          <t>3XXXL</t>
        </is>
      </c>
      <c r="I923" s="19">
        <f t="array" ref="I923">TRIM(_xlfn.XLOOKUP(非皮卡压缩表[[#This Row],[BACKSIZE]],ALL尺码表[内部尺码],ALL尺码表[分类],""))</f>
        <v/>
      </c>
      <c r="J923" s="19">
        <f t="array" ref="J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3" s="20">
        <f>LEN(非皮卡压缩表[[#This Row],[LONG-TYPE]])</f>
        <v/>
      </c>
      <c r="L923" s="21">
        <f t="array" ref="L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3" s="22">
        <f>LEN(非皮卡压缩表[[#This Row],[TYPE]])</f>
        <v/>
      </c>
      <c r="N923" s="22">
        <f t="array" ref="N923">_xlfn.XLOOKUP(非皮卡压缩表[[#This Row],[MODEL]],MODEL缩写表[长MODEL],MODEL缩写表[短MODEL],非皮卡压缩表[[#This Row],[MODEL]])</f>
        <v/>
      </c>
      <c r="O923" s="22">
        <f>LEN(非皮卡压缩表[[#This Row],[SHORT-MODEL]])</f>
        <v/>
      </c>
      <c r="P923" s="11">
        <f t="array" ref="P923">TRIM(_xlfn.XLOOKUP(非皮卡压缩表[[#This Row],[BACKSIZE]],ALL尺码表[内部尺码],ALL尺码表[通用尺码]))</f>
        <v/>
      </c>
    </row>
    <row r="924">
      <c r="A924" s="17" t="inlineStr">
        <is>
          <t>ALL</t>
        </is>
      </c>
      <c r="B924" s="18" t="inlineStr">
        <is>
          <t>Mercury Monterey</t>
        </is>
      </c>
      <c r="C924" s="18" t="inlineStr">
        <is>
          <t>Mercury</t>
        </is>
      </c>
      <c r="D924" s="18" t="inlineStr">
        <is>
          <t>Monterey</t>
        </is>
      </c>
      <c r="E924" s="18" t="inlineStr">
        <is>
          <t>1957-1958</t>
        </is>
      </c>
      <c r="F924" s="18" t="inlineStr"/>
      <c r="G924" s="18" t="inlineStr">
        <is>
          <t>Coupe</t>
        </is>
      </c>
      <c r="H924" s="18" t="inlineStr">
        <is>
          <t>3XXXL-0</t>
        </is>
      </c>
      <c r="I924" s="19">
        <f t="array" ref="I924">TRIM(_xlfn.XLOOKUP(非皮卡压缩表[[#This Row],[BACKSIZE]],ALL尺码表[内部尺码],ALL尺码表[分类],""))</f>
        <v/>
      </c>
      <c r="J924" s="19">
        <f t="array" ref="J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4" s="20">
        <f>LEN(非皮卡压缩表[[#This Row],[LONG-TYPE]])</f>
        <v/>
      </c>
      <c r="L924" s="21">
        <f t="array" ref="L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4" s="22">
        <f>LEN(非皮卡压缩表[[#This Row],[TYPE]])</f>
        <v/>
      </c>
      <c r="N924" s="22">
        <f t="array" ref="N924">_xlfn.XLOOKUP(非皮卡压缩表[[#This Row],[MODEL]],MODEL缩写表[长MODEL],MODEL缩写表[短MODEL],非皮卡压缩表[[#This Row],[MODEL]])</f>
        <v/>
      </c>
      <c r="O924" s="22">
        <f>LEN(非皮卡压缩表[[#This Row],[SHORT-MODEL]])</f>
        <v/>
      </c>
      <c r="P924" s="11">
        <f t="array" ref="P924">TRIM(_xlfn.XLOOKUP(非皮卡压缩表[[#This Row],[BACKSIZE]],ALL尺码表[内部尺码],ALL尺码表[通用尺码]))</f>
        <v/>
      </c>
    </row>
    <row r="925">
      <c r="A925" s="17" t="inlineStr">
        <is>
          <t>ALL</t>
        </is>
      </c>
      <c r="B925" s="18" t="inlineStr">
        <is>
          <t>Mercury Monterey</t>
        </is>
      </c>
      <c r="C925" s="18" t="inlineStr">
        <is>
          <t>Mercury</t>
        </is>
      </c>
      <c r="D925" s="18" t="inlineStr">
        <is>
          <t>Monterey</t>
        </is>
      </c>
      <c r="E925" s="18" t="inlineStr">
        <is>
          <t>1959-1960</t>
        </is>
      </c>
      <c r="F925" s="18" t="inlineStr"/>
      <c r="G925" s="18" t="inlineStr">
        <is>
          <t>Coupe</t>
        </is>
      </c>
      <c r="H925" s="18" t="inlineStr">
        <is>
          <t>3XXXXL-0</t>
        </is>
      </c>
      <c r="I925" s="19">
        <f t="array" ref="I925">TRIM(_xlfn.XLOOKUP(非皮卡压缩表[[#This Row],[BACKSIZE]],ALL尺码表[内部尺码],ALL尺码表[分类],""))</f>
        <v/>
      </c>
      <c r="J925" s="19">
        <f t="array" ref="J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5" s="20">
        <f>LEN(非皮卡压缩表[[#This Row],[LONG-TYPE]])</f>
        <v/>
      </c>
      <c r="L925" s="21">
        <f t="array" ref="L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5" s="22">
        <f>LEN(非皮卡压缩表[[#This Row],[TYPE]])</f>
        <v/>
      </c>
      <c r="N925" s="22">
        <f t="array" ref="N925">_xlfn.XLOOKUP(非皮卡压缩表[[#This Row],[MODEL]],MODEL缩写表[长MODEL],MODEL缩写表[短MODEL],非皮卡压缩表[[#This Row],[MODEL]])</f>
        <v/>
      </c>
      <c r="O925" s="22">
        <f>LEN(非皮卡压缩表[[#This Row],[SHORT-MODEL]])</f>
        <v/>
      </c>
      <c r="P925" s="11">
        <f t="array" ref="P925">TRIM(_xlfn.XLOOKUP(非皮卡压缩表[[#This Row],[BACKSIZE]],ALL尺码表[内部尺码],ALL尺码表[通用尺码]))</f>
        <v/>
      </c>
    </row>
    <row r="926">
      <c r="A926" s="17" t="inlineStr">
        <is>
          <t>ALL</t>
        </is>
      </c>
      <c r="B926" s="18" t="inlineStr">
        <is>
          <t>Mercury Monterey</t>
        </is>
      </c>
      <c r="C926" s="18" t="inlineStr">
        <is>
          <t>Mercury</t>
        </is>
      </c>
      <c r="D926" s="18" t="inlineStr">
        <is>
          <t>Monterey</t>
        </is>
      </c>
      <c r="E926" s="18" t="inlineStr">
        <is>
          <t>1959-1960</t>
        </is>
      </c>
      <c r="F926" s="18" t="inlineStr"/>
      <c r="G926" s="18" t="inlineStr">
        <is>
          <t>Sedan</t>
        </is>
      </c>
      <c r="H926" s="18" t="inlineStr">
        <is>
          <t>无可用尺码</t>
        </is>
      </c>
      <c r="I926" s="19">
        <f t="array" ref="I926">TRIM(_xlfn.XLOOKUP(非皮卡压缩表[[#This Row],[BACKSIZE]],ALL尺码表[内部尺码],ALL尺码表[分类],""))</f>
        <v/>
      </c>
      <c r="J926" s="19">
        <f t="array" ref="J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6" s="20">
        <f>LEN(非皮卡压缩表[[#This Row],[LONG-TYPE]])</f>
        <v/>
      </c>
      <c r="L926" s="21">
        <f t="array" ref="L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6" s="22">
        <f>LEN(非皮卡压缩表[[#This Row],[TYPE]])</f>
        <v/>
      </c>
      <c r="N926" s="22">
        <f t="array" ref="N926">_xlfn.XLOOKUP(非皮卡压缩表[[#This Row],[MODEL]],MODEL缩写表[长MODEL],MODEL缩写表[短MODEL],非皮卡压缩表[[#This Row],[MODEL]])</f>
        <v/>
      </c>
      <c r="O926" s="22">
        <f>LEN(非皮卡压缩表[[#This Row],[SHORT-MODEL]])</f>
        <v/>
      </c>
      <c r="P926" s="11">
        <f t="array" ref="P926">TRIM(_xlfn.XLOOKUP(非皮卡压缩表[[#This Row],[BACKSIZE]],ALL尺码表[内部尺码],ALL尺码表[通用尺码]))</f>
        <v/>
      </c>
    </row>
    <row r="927">
      <c r="A927" s="17" t="inlineStr">
        <is>
          <t>ALL</t>
        </is>
      </c>
      <c r="B927" s="18" t="inlineStr">
        <is>
          <t>Mercury Monterey</t>
        </is>
      </c>
      <c r="C927" s="18" t="inlineStr">
        <is>
          <t>Mercury</t>
        </is>
      </c>
      <c r="D927" s="18" t="inlineStr">
        <is>
          <t>Monterey</t>
        </is>
      </c>
      <c r="E927" s="18" t="inlineStr">
        <is>
          <t>1961-1964</t>
        </is>
      </c>
      <c r="F927" s="18" t="inlineStr"/>
      <c r="G927" s="18" t="inlineStr">
        <is>
          <t>Sedan</t>
        </is>
      </c>
      <c r="H927" s="18" t="inlineStr">
        <is>
          <t>3XXXL</t>
        </is>
      </c>
      <c r="I927" s="19">
        <f t="array" ref="I927">TRIM(_xlfn.XLOOKUP(非皮卡压缩表[[#This Row],[BACKSIZE]],ALL尺码表[内部尺码],ALL尺码表[分类],""))</f>
        <v/>
      </c>
      <c r="J927" s="19">
        <f t="array" ref="J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7" s="20">
        <f>LEN(非皮卡压缩表[[#This Row],[LONG-TYPE]])</f>
        <v/>
      </c>
      <c r="L927" s="21">
        <f t="array" ref="L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7" s="22">
        <f>LEN(非皮卡压缩表[[#This Row],[TYPE]])</f>
        <v/>
      </c>
      <c r="N927" s="22">
        <f t="array" ref="N927">_xlfn.XLOOKUP(非皮卡压缩表[[#This Row],[MODEL]],MODEL缩写表[长MODEL],MODEL缩写表[短MODEL],非皮卡压缩表[[#This Row],[MODEL]])</f>
        <v/>
      </c>
      <c r="O927" s="22">
        <f>LEN(非皮卡压缩表[[#This Row],[SHORT-MODEL]])</f>
        <v/>
      </c>
      <c r="P927" s="11">
        <f t="array" ref="P927">TRIM(_xlfn.XLOOKUP(非皮卡压缩表[[#This Row],[BACKSIZE]],ALL尺码表[内部尺码],ALL尺码表[通用尺码]))</f>
        <v/>
      </c>
    </row>
    <row r="928">
      <c r="A928" s="17" t="inlineStr">
        <is>
          <t>ALL</t>
        </is>
      </c>
      <c r="B928" s="18" t="inlineStr">
        <is>
          <t>Mercury Monterey</t>
        </is>
      </c>
      <c r="C928" s="18" t="inlineStr">
        <is>
          <t>Mercury</t>
        </is>
      </c>
      <c r="D928" s="18" t="inlineStr">
        <is>
          <t>Monterey</t>
        </is>
      </c>
      <c r="E928" s="18" t="inlineStr">
        <is>
          <t>1961-1964</t>
        </is>
      </c>
      <c r="F928" s="18" t="inlineStr"/>
      <c r="G928" s="18" t="inlineStr">
        <is>
          <t>Convertible/Coupe</t>
        </is>
      </c>
      <c r="H928" s="18" t="inlineStr">
        <is>
          <t>3XXXL-0</t>
        </is>
      </c>
      <c r="I928" s="19">
        <f t="array" ref="I928">TRIM(_xlfn.XLOOKUP(非皮卡压缩表[[#This Row],[BACKSIZE]],ALL尺码表[内部尺码],ALL尺码表[分类],""))</f>
        <v/>
      </c>
      <c r="J928" s="19">
        <f t="array" ref="J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8" s="20">
        <f>LEN(非皮卡压缩表[[#This Row],[LONG-TYPE]])</f>
        <v/>
      </c>
      <c r="L928" s="21">
        <f t="array" ref="L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8" s="22">
        <f>LEN(非皮卡压缩表[[#This Row],[TYPE]])</f>
        <v/>
      </c>
      <c r="N928" s="22">
        <f t="array" ref="N928">_xlfn.XLOOKUP(非皮卡压缩表[[#This Row],[MODEL]],MODEL缩写表[长MODEL],MODEL缩写表[短MODEL],非皮卡压缩表[[#This Row],[MODEL]])</f>
        <v/>
      </c>
      <c r="O928" s="22">
        <f>LEN(非皮卡压缩表[[#This Row],[SHORT-MODEL]])</f>
        <v/>
      </c>
      <c r="P928" s="11">
        <f t="array" ref="P928">TRIM(_xlfn.XLOOKUP(非皮卡压缩表[[#This Row],[BACKSIZE]],ALL尺码表[内部尺码],ALL尺码表[通用尺码]))</f>
        <v/>
      </c>
    </row>
    <row r="929">
      <c r="A929" s="17" t="inlineStr">
        <is>
          <t>ALL</t>
        </is>
      </c>
      <c r="B929" s="18" t="inlineStr">
        <is>
          <t>Mercury Monterey</t>
        </is>
      </c>
      <c r="C929" s="18" t="inlineStr">
        <is>
          <t>Mercury</t>
        </is>
      </c>
      <c r="D929" s="18" t="inlineStr">
        <is>
          <t>Monterey</t>
        </is>
      </c>
      <c r="E929" s="18" t="inlineStr">
        <is>
          <t>1965-1974</t>
        </is>
      </c>
      <c r="F929" s="18" t="inlineStr"/>
      <c r="G929" s="18" t="inlineStr">
        <is>
          <t>Convertible/Coupe</t>
        </is>
      </c>
      <c r="H929" s="18" t="inlineStr">
        <is>
          <t>3XXXXL-0</t>
        </is>
      </c>
      <c r="I929" s="19">
        <f t="array" ref="I929">TRIM(_xlfn.XLOOKUP(非皮卡压缩表[[#This Row],[BACKSIZE]],ALL尺码表[内部尺码],ALL尺码表[分类],""))</f>
        <v/>
      </c>
      <c r="J929" s="19">
        <f t="array" ref="J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9" s="20">
        <f>LEN(非皮卡压缩表[[#This Row],[LONG-TYPE]])</f>
        <v/>
      </c>
      <c r="L929" s="21">
        <f t="array" ref="L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9" s="22">
        <f>LEN(非皮卡压缩表[[#This Row],[TYPE]])</f>
        <v/>
      </c>
      <c r="N929" s="22">
        <f t="array" ref="N929">_xlfn.XLOOKUP(非皮卡压缩表[[#This Row],[MODEL]],MODEL缩写表[长MODEL],MODEL缩写表[短MODEL],非皮卡压缩表[[#This Row],[MODEL]])</f>
        <v/>
      </c>
      <c r="O929" s="22">
        <f>LEN(非皮卡压缩表[[#This Row],[SHORT-MODEL]])</f>
        <v/>
      </c>
      <c r="P929" s="11">
        <f t="array" ref="P929">TRIM(_xlfn.XLOOKUP(非皮卡压缩表[[#This Row],[BACKSIZE]],ALL尺码表[内部尺码],ALL尺码表[通用尺码]))</f>
        <v/>
      </c>
    </row>
    <row r="930">
      <c r="A930" s="17" t="inlineStr">
        <is>
          <t>ALL</t>
        </is>
      </c>
      <c r="B930" s="18" t="inlineStr">
        <is>
          <t>Mercury Monterey</t>
        </is>
      </c>
      <c r="C930" s="18" t="inlineStr">
        <is>
          <t>Mercury</t>
        </is>
      </c>
      <c r="D930" s="18" t="inlineStr">
        <is>
          <t>Monterey</t>
        </is>
      </c>
      <c r="E930" s="18" t="inlineStr">
        <is>
          <t>1965-1974</t>
        </is>
      </c>
      <c r="F930" s="18" t="inlineStr"/>
      <c r="G930" s="18" t="inlineStr">
        <is>
          <t>Sedan</t>
        </is>
      </c>
      <c r="H930" s="18" t="inlineStr">
        <is>
          <t>无可用尺码</t>
        </is>
      </c>
      <c r="I930" s="19">
        <f t="array" ref="I930">TRIM(_xlfn.XLOOKUP(非皮卡压缩表[[#This Row],[BACKSIZE]],ALL尺码表[内部尺码],ALL尺码表[分类],""))</f>
        <v/>
      </c>
      <c r="J930" s="19">
        <f t="array" ref="J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0" s="20">
        <f>LEN(非皮卡压缩表[[#This Row],[LONG-TYPE]])</f>
        <v/>
      </c>
      <c r="L930" s="21">
        <f t="array" ref="L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0" s="22">
        <f>LEN(非皮卡压缩表[[#This Row],[TYPE]])</f>
        <v/>
      </c>
      <c r="N930" s="22">
        <f t="array" ref="N930">_xlfn.XLOOKUP(非皮卡压缩表[[#This Row],[MODEL]],MODEL缩写表[长MODEL],MODEL缩写表[短MODEL],非皮卡压缩表[[#This Row],[MODEL]])</f>
        <v/>
      </c>
      <c r="O930" s="22">
        <f>LEN(非皮卡压缩表[[#This Row],[SHORT-MODEL]])</f>
        <v/>
      </c>
      <c r="P930" s="11">
        <f t="array" ref="P930">TRIM(_xlfn.XLOOKUP(非皮卡压缩表[[#This Row],[BACKSIZE]],ALL尺码表[内部尺码],ALL尺码表[通用尺码]))</f>
        <v/>
      </c>
    </row>
    <row r="931">
      <c r="A931" s="17" t="inlineStr">
        <is>
          <t>ALL</t>
        </is>
      </c>
      <c r="B931" s="18" t="inlineStr">
        <is>
          <t>Mercury Monterey</t>
        </is>
      </c>
      <c r="C931" s="18" t="inlineStr">
        <is>
          <t>Mercury</t>
        </is>
      </c>
      <c r="D931" s="18" t="inlineStr">
        <is>
          <t>Monterey</t>
        </is>
      </c>
      <c r="E931" s="18" t="inlineStr">
        <is>
          <t>2004-2007</t>
        </is>
      </c>
      <c r="F931" s="18" t="inlineStr"/>
      <c r="G931" s="18" t="inlineStr">
        <is>
          <t>Minivan</t>
        </is>
      </c>
      <c r="H931" s="18" t="inlineStr">
        <is>
          <t>2XXL</t>
        </is>
      </c>
      <c r="I931" s="19">
        <f t="array" ref="I931">TRIM(_xlfn.XLOOKUP(非皮卡压缩表[[#This Row],[BACKSIZE]],ALL尺码表[内部尺码],ALL尺码表[分类],""))</f>
        <v/>
      </c>
      <c r="J931" s="19">
        <f t="array" ref="J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1" s="20">
        <f>LEN(非皮卡压缩表[[#This Row],[LONG-TYPE]])</f>
        <v/>
      </c>
      <c r="L931" s="21">
        <f t="array" ref="L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1" s="22">
        <f>LEN(非皮卡压缩表[[#This Row],[TYPE]])</f>
        <v/>
      </c>
      <c r="N931" s="22">
        <f t="array" ref="N931">_xlfn.XLOOKUP(非皮卡压缩表[[#This Row],[MODEL]],MODEL缩写表[长MODEL],MODEL缩写表[短MODEL],非皮卡压缩表[[#This Row],[MODEL]])</f>
        <v/>
      </c>
      <c r="O931" s="22">
        <f>LEN(非皮卡压缩表[[#This Row],[SHORT-MODEL]])</f>
        <v/>
      </c>
      <c r="P931" s="11">
        <f t="array" ref="P931">TRIM(_xlfn.XLOOKUP(非皮卡压缩表[[#This Row],[BACKSIZE]],ALL尺码表[内部尺码],ALL尺码表[通用尺码]))</f>
        <v/>
      </c>
    </row>
    <row r="932">
      <c r="A932" s="17" t="inlineStr">
        <is>
          <t>ALL</t>
        </is>
      </c>
      <c r="B932" s="18" t="inlineStr">
        <is>
          <t>Mercury Mountaineer</t>
        </is>
      </c>
      <c r="C932" s="18" t="inlineStr">
        <is>
          <t>Mercury</t>
        </is>
      </c>
      <c r="D932" s="18" t="inlineStr">
        <is>
          <t>Mountaineer</t>
        </is>
      </c>
      <c r="E932" s="18" t="inlineStr">
        <is>
          <t>1997-1998</t>
        </is>
      </c>
      <c r="F932" s="18" t="inlineStr"/>
      <c r="G932" s="18" t="inlineStr">
        <is>
          <t>SUV</t>
        </is>
      </c>
      <c r="H932" s="18" t="inlineStr">
        <is>
          <t>YL</t>
        </is>
      </c>
      <c r="I932" s="19">
        <f t="array" ref="I932">TRIM(_xlfn.XLOOKUP(非皮卡压缩表[[#This Row],[BACKSIZE]],ALL尺码表[内部尺码],ALL尺码表[分类],""))</f>
        <v/>
      </c>
      <c r="J932" s="19">
        <f t="array" ref="J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2" s="20">
        <f>LEN(非皮卡压缩表[[#This Row],[LONG-TYPE]])</f>
        <v/>
      </c>
      <c r="L932" s="21">
        <f t="array" ref="L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2" s="22">
        <f>LEN(非皮卡压缩表[[#This Row],[TYPE]])</f>
        <v/>
      </c>
      <c r="N932" s="22">
        <f t="array" ref="N932">_xlfn.XLOOKUP(非皮卡压缩表[[#This Row],[MODEL]],MODEL缩写表[长MODEL],MODEL缩写表[短MODEL],非皮卡压缩表[[#This Row],[MODEL]])</f>
        <v/>
      </c>
      <c r="O932" s="22">
        <f>LEN(非皮卡压缩表[[#This Row],[SHORT-MODEL]])</f>
        <v/>
      </c>
      <c r="P932" s="11">
        <f t="array" ref="P932">TRIM(_xlfn.XLOOKUP(非皮卡压缩表[[#This Row],[BACKSIZE]],ALL尺码表[内部尺码],ALL尺码表[通用尺码]))</f>
        <v/>
      </c>
    </row>
    <row r="933">
      <c r="A933" s="17" t="inlineStr">
        <is>
          <t>ALL</t>
        </is>
      </c>
      <c r="B933" s="18" t="inlineStr">
        <is>
          <t>Mercury Mountaineer</t>
        </is>
      </c>
      <c r="C933" s="18" t="inlineStr">
        <is>
          <t>Mercury</t>
        </is>
      </c>
      <c r="D933" s="18" t="inlineStr">
        <is>
          <t>Mountaineer</t>
        </is>
      </c>
      <c r="E933" s="18" t="inlineStr">
        <is>
          <t>1999-2010</t>
        </is>
      </c>
      <c r="F933" s="18" t="inlineStr"/>
      <c r="G933" s="18" t="inlineStr">
        <is>
          <t>SUV</t>
        </is>
      </c>
      <c r="H933" s="18" t="inlineStr">
        <is>
          <t>YXL</t>
        </is>
      </c>
      <c r="I933" s="19">
        <f t="array" ref="I933">TRIM(_xlfn.XLOOKUP(非皮卡压缩表[[#This Row],[BACKSIZE]],ALL尺码表[内部尺码],ALL尺码表[分类],""))</f>
        <v/>
      </c>
      <c r="J933" s="19">
        <f t="array" ref="J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3" s="20">
        <f>LEN(非皮卡压缩表[[#This Row],[LONG-TYPE]])</f>
        <v/>
      </c>
      <c r="L933" s="21">
        <f t="array" ref="L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3" s="22">
        <f>LEN(非皮卡压缩表[[#This Row],[TYPE]])</f>
        <v/>
      </c>
      <c r="N933" s="22">
        <f t="array" ref="N933">_xlfn.XLOOKUP(非皮卡压缩表[[#This Row],[MODEL]],MODEL缩写表[长MODEL],MODEL缩写表[短MODEL],非皮卡压缩表[[#This Row],[MODEL]])</f>
        <v/>
      </c>
      <c r="O933" s="22">
        <f>LEN(非皮卡压缩表[[#This Row],[SHORT-MODEL]])</f>
        <v/>
      </c>
      <c r="P933" s="11">
        <f t="array" ref="P933">TRIM(_xlfn.XLOOKUP(非皮卡压缩表[[#This Row],[BACKSIZE]],ALL尺码表[内部尺码],ALL尺码表[通用尺码]))</f>
        <v/>
      </c>
    </row>
    <row r="934">
      <c r="A934" s="17" t="inlineStr">
        <is>
          <t>ALL</t>
        </is>
      </c>
      <c r="B934" s="18" t="inlineStr">
        <is>
          <t>Mercury Sable</t>
        </is>
      </c>
      <c r="C934" s="18" t="inlineStr">
        <is>
          <t>Mercury</t>
        </is>
      </c>
      <c r="D934" s="18" t="inlineStr">
        <is>
          <t>Sable</t>
        </is>
      </c>
      <c r="E934" s="18" t="inlineStr">
        <is>
          <t>1986-2005</t>
        </is>
      </c>
      <c r="F934" s="18" t="inlineStr"/>
      <c r="G934" s="18" t="inlineStr">
        <is>
          <t>Wagon</t>
        </is>
      </c>
      <c r="H934" s="18" t="inlineStr">
        <is>
          <t>2XL+</t>
        </is>
      </c>
      <c r="I934" s="19">
        <f t="array" ref="I934">TRIM(_xlfn.XLOOKUP(非皮卡压缩表[[#This Row],[BACKSIZE]],ALL尺码表[内部尺码],ALL尺码表[分类],""))</f>
        <v/>
      </c>
      <c r="J934" s="19">
        <f t="array" ref="J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4" s="20">
        <f>LEN(非皮卡压缩表[[#This Row],[LONG-TYPE]])</f>
        <v/>
      </c>
      <c r="L934" s="21">
        <f t="array" ref="L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4" s="22">
        <f>LEN(非皮卡压缩表[[#This Row],[TYPE]])</f>
        <v/>
      </c>
      <c r="N934" s="22">
        <f t="array" ref="N934">_xlfn.XLOOKUP(非皮卡压缩表[[#This Row],[MODEL]],MODEL缩写表[长MODEL],MODEL缩写表[短MODEL],非皮卡压缩表[[#This Row],[MODEL]])</f>
        <v/>
      </c>
      <c r="O934" s="22">
        <f>LEN(非皮卡压缩表[[#This Row],[SHORT-MODEL]])</f>
        <v/>
      </c>
      <c r="P934" s="11">
        <f t="array" ref="P934">TRIM(_xlfn.XLOOKUP(非皮卡压缩表[[#This Row],[BACKSIZE]],ALL尺码表[内部尺码],ALL尺码表[通用尺码]))</f>
        <v/>
      </c>
    </row>
    <row r="935">
      <c r="A935" s="17" t="inlineStr">
        <is>
          <t>ALL</t>
        </is>
      </c>
      <c r="B935" s="18" t="inlineStr">
        <is>
          <t>Mercury Sable</t>
        </is>
      </c>
      <c r="C935" s="18" t="inlineStr">
        <is>
          <t>Mercury</t>
        </is>
      </c>
      <c r="D935" s="18" t="inlineStr">
        <is>
          <t>Sable</t>
        </is>
      </c>
      <c r="E935" s="18" t="inlineStr">
        <is>
          <t>1986-2009</t>
        </is>
      </c>
      <c r="F935" s="18" t="inlineStr"/>
      <c r="G935" s="18" t="inlineStr">
        <is>
          <t>Sedan</t>
        </is>
      </c>
      <c r="H935" s="18" t="inlineStr">
        <is>
          <t>3XXL</t>
        </is>
      </c>
      <c r="I935" s="19">
        <f t="array" ref="I935">TRIM(_xlfn.XLOOKUP(非皮卡压缩表[[#This Row],[BACKSIZE]],ALL尺码表[内部尺码],ALL尺码表[分类],""))</f>
        <v/>
      </c>
      <c r="J935" s="19">
        <f t="array" ref="J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5" s="20">
        <f>LEN(非皮卡压缩表[[#This Row],[LONG-TYPE]])</f>
        <v/>
      </c>
      <c r="L935" s="21">
        <f t="array" ref="L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5" s="22">
        <f>LEN(非皮卡压缩表[[#This Row],[TYPE]])</f>
        <v/>
      </c>
      <c r="N935" s="22">
        <f t="array" ref="N935">_xlfn.XLOOKUP(非皮卡压缩表[[#This Row],[MODEL]],MODEL缩写表[长MODEL],MODEL缩写表[短MODEL],非皮卡压缩表[[#This Row],[MODEL]])</f>
        <v/>
      </c>
      <c r="O935" s="22">
        <f>LEN(非皮卡压缩表[[#This Row],[SHORT-MODEL]])</f>
        <v/>
      </c>
      <c r="P935" s="11">
        <f t="array" ref="P935">TRIM(_xlfn.XLOOKUP(非皮卡压缩表[[#This Row],[BACKSIZE]],ALL尺码表[内部尺码],ALL尺码表[通用尺码]))</f>
        <v/>
      </c>
    </row>
    <row r="936">
      <c r="A936" s="17" t="inlineStr">
        <is>
          <t>ALL</t>
        </is>
      </c>
      <c r="B936" s="18" t="inlineStr">
        <is>
          <t>Mercury Tracer</t>
        </is>
      </c>
      <c r="C936" s="18" t="inlineStr">
        <is>
          <t>Mercury</t>
        </is>
      </c>
      <c r="D936" s="18" t="inlineStr">
        <is>
          <t>Tracer</t>
        </is>
      </c>
      <c r="E936" s="18" t="inlineStr">
        <is>
          <t>1988-1999</t>
        </is>
      </c>
      <c r="F936" s="18" t="inlineStr"/>
      <c r="G936" s="18" t="inlineStr">
        <is>
          <t>Sedan</t>
        </is>
      </c>
      <c r="H936" s="18" t="inlineStr">
        <is>
          <t>3L</t>
        </is>
      </c>
      <c r="I936" s="19">
        <f t="array" ref="I936">TRIM(_xlfn.XLOOKUP(非皮卡压缩表[[#This Row],[BACKSIZE]],ALL尺码表[内部尺码],ALL尺码表[分类],""))</f>
        <v/>
      </c>
      <c r="J936" s="19">
        <f t="array" ref="J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6" s="20">
        <f>LEN(非皮卡压缩表[[#This Row],[LONG-TYPE]])</f>
        <v/>
      </c>
      <c r="L936" s="21">
        <f t="array" ref="L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6" s="22">
        <f>LEN(非皮卡压缩表[[#This Row],[TYPE]])</f>
        <v/>
      </c>
      <c r="N936" s="22">
        <f t="array" ref="N936">_xlfn.XLOOKUP(非皮卡压缩表[[#This Row],[MODEL]],MODEL缩写表[长MODEL],MODEL缩写表[短MODEL],非皮卡压缩表[[#This Row],[MODEL]])</f>
        <v/>
      </c>
      <c r="O936" s="22">
        <f>LEN(非皮卡压缩表[[#This Row],[SHORT-MODEL]])</f>
        <v/>
      </c>
      <c r="P936" s="11">
        <f t="array" ref="P936">TRIM(_xlfn.XLOOKUP(非皮卡压缩表[[#This Row],[BACKSIZE]],ALL尺码表[内部尺码],ALL尺码表[通用尺码]))</f>
        <v/>
      </c>
    </row>
    <row r="937">
      <c r="A937" s="17" t="inlineStr">
        <is>
          <t>ALL</t>
        </is>
      </c>
      <c r="B937" s="18" t="inlineStr">
        <is>
          <t>Mercury Tracer</t>
        </is>
      </c>
      <c r="C937" s="18" t="inlineStr">
        <is>
          <t>Mercury</t>
        </is>
      </c>
      <c r="D937" s="18" t="inlineStr">
        <is>
          <t>Tracer</t>
        </is>
      </c>
      <c r="E937" s="18" t="inlineStr">
        <is>
          <t>1991-1999</t>
        </is>
      </c>
      <c r="F937" s="18" t="inlineStr"/>
      <c r="G937" s="18" t="inlineStr">
        <is>
          <t>Wagon</t>
        </is>
      </c>
      <c r="H937" s="18" t="inlineStr">
        <is>
          <t>2L+</t>
        </is>
      </c>
      <c r="I937" s="19">
        <f t="array" ref="I937">TRIM(_xlfn.XLOOKUP(非皮卡压缩表[[#This Row],[BACKSIZE]],ALL尺码表[内部尺码],ALL尺码表[分类],""))</f>
        <v/>
      </c>
      <c r="J937" s="19">
        <f t="array" ref="J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7" s="20">
        <f>LEN(非皮卡压缩表[[#This Row],[LONG-TYPE]])</f>
        <v/>
      </c>
      <c r="L937" s="21">
        <f t="array" ref="L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7" s="22">
        <f>LEN(非皮卡压缩表[[#This Row],[TYPE]])</f>
        <v/>
      </c>
      <c r="N937" s="22">
        <f t="array" ref="N937">_xlfn.XLOOKUP(非皮卡压缩表[[#This Row],[MODEL]],MODEL缩写表[长MODEL],MODEL缩写表[短MODEL],非皮卡压缩表[[#This Row],[MODEL]])</f>
        <v/>
      </c>
      <c r="O937" s="22">
        <f>LEN(非皮卡压缩表[[#This Row],[SHORT-MODEL]])</f>
        <v/>
      </c>
      <c r="P937" s="11">
        <f t="array" ref="P937">TRIM(_xlfn.XLOOKUP(非皮卡压缩表[[#This Row],[BACKSIZE]],ALL尺码表[内部尺码],ALL尺码表[通用尺码]))</f>
        <v/>
      </c>
    </row>
    <row r="938">
      <c r="A938" s="17" t="inlineStr">
        <is>
          <t>ALL</t>
        </is>
      </c>
      <c r="B938" s="18" t="inlineStr">
        <is>
          <t>Mitsubishi 3000GT</t>
        </is>
      </c>
      <c r="C938" s="18" t="inlineStr">
        <is>
          <t>Mitsubishi</t>
        </is>
      </c>
      <c r="D938" s="18" t="inlineStr">
        <is>
          <t>3000GT</t>
        </is>
      </c>
      <c r="E938" s="18" t="inlineStr">
        <is>
          <t>1991-1999</t>
        </is>
      </c>
      <c r="F938" s="18" t="inlineStr"/>
      <c r="G938" s="18" t="inlineStr">
        <is>
          <t>Convertible/Coupe</t>
        </is>
      </c>
      <c r="H938" s="18" t="inlineStr">
        <is>
          <t>3L-0</t>
        </is>
      </c>
      <c r="I938" s="19">
        <f t="array" ref="I938">TRIM(_xlfn.XLOOKUP(非皮卡压缩表[[#This Row],[BACKSIZE]],ALL尺码表[内部尺码],ALL尺码表[分类],""))</f>
        <v/>
      </c>
      <c r="J938" s="19">
        <f t="array" ref="J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8" s="20">
        <f>LEN(非皮卡压缩表[[#This Row],[LONG-TYPE]])</f>
        <v/>
      </c>
      <c r="L938" s="21">
        <f t="array" ref="L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8" s="22">
        <f>LEN(非皮卡压缩表[[#This Row],[TYPE]])</f>
        <v/>
      </c>
      <c r="N938" s="22">
        <f t="array" ref="N938">_xlfn.XLOOKUP(非皮卡压缩表[[#This Row],[MODEL]],MODEL缩写表[长MODEL],MODEL缩写表[短MODEL],非皮卡压缩表[[#This Row],[MODEL]])</f>
        <v/>
      </c>
      <c r="O938" s="22">
        <f>LEN(非皮卡压缩表[[#This Row],[SHORT-MODEL]])</f>
        <v/>
      </c>
      <c r="P938" s="11">
        <f t="array" ref="P938">TRIM(_xlfn.XLOOKUP(非皮卡压缩表[[#This Row],[BACKSIZE]],ALL尺码表[内部尺码],ALL尺码表[通用尺码]))</f>
        <v/>
      </c>
    </row>
    <row r="939">
      <c r="A939" s="17" t="inlineStr">
        <is>
          <t>ALL</t>
        </is>
      </c>
      <c r="B939" s="18" t="inlineStr">
        <is>
          <t>Mitsubishi Diamante</t>
        </is>
      </c>
      <c r="C939" s="18" t="inlineStr">
        <is>
          <t>Mitsubishi</t>
        </is>
      </c>
      <c r="D939" s="18" t="inlineStr">
        <is>
          <t>Diamante</t>
        </is>
      </c>
      <c r="E939" s="18" t="inlineStr">
        <is>
          <t>1992-1993</t>
        </is>
      </c>
      <c r="F939" s="18" t="inlineStr"/>
      <c r="G939" s="18" t="inlineStr">
        <is>
          <t>Sedan</t>
        </is>
      </c>
      <c r="H939" s="18" t="inlineStr">
        <is>
          <t>3XL</t>
        </is>
      </c>
      <c r="I939" s="19">
        <f t="array" ref="I939">TRIM(_xlfn.XLOOKUP(非皮卡压缩表[[#This Row],[BACKSIZE]],ALL尺码表[内部尺码],ALL尺码表[分类],""))</f>
        <v/>
      </c>
      <c r="J939" s="19">
        <f t="array" ref="J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9" s="20">
        <f>LEN(非皮卡压缩表[[#This Row],[LONG-TYPE]])</f>
        <v/>
      </c>
      <c r="L939" s="21">
        <f t="array" ref="L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9" s="22">
        <f>LEN(非皮卡压缩表[[#This Row],[TYPE]])</f>
        <v/>
      </c>
      <c r="N939" s="22">
        <f t="array" ref="N939">_xlfn.XLOOKUP(非皮卡压缩表[[#This Row],[MODEL]],MODEL缩写表[长MODEL],MODEL缩写表[短MODEL],非皮卡压缩表[[#This Row],[MODEL]])</f>
        <v/>
      </c>
      <c r="O939" s="22">
        <f>LEN(非皮卡压缩表[[#This Row],[SHORT-MODEL]])</f>
        <v/>
      </c>
      <c r="P939" s="11">
        <f t="array" ref="P939">TRIM(_xlfn.XLOOKUP(非皮卡压缩表[[#This Row],[BACKSIZE]],ALL尺码表[内部尺码],ALL尺码表[通用尺码]))</f>
        <v/>
      </c>
    </row>
    <row r="940">
      <c r="A940" s="17" t="inlineStr">
        <is>
          <t>ALL</t>
        </is>
      </c>
      <c r="B940" s="18" t="inlineStr">
        <is>
          <t>Mitsubishi Diamante</t>
        </is>
      </c>
      <c r="C940" s="18" t="inlineStr">
        <is>
          <t>Mitsubishi</t>
        </is>
      </c>
      <c r="D940" s="18" t="inlineStr">
        <is>
          <t>Diamante</t>
        </is>
      </c>
      <c r="E940" s="18" t="inlineStr">
        <is>
          <t>1994-2004</t>
        </is>
      </c>
      <c r="F940" s="18" t="inlineStr"/>
      <c r="G940" s="18" t="inlineStr">
        <is>
          <t>Sedan</t>
        </is>
      </c>
      <c r="H940" s="18" t="inlineStr">
        <is>
          <t>3XXL</t>
        </is>
      </c>
      <c r="I940" s="19">
        <f t="array" ref="I940">TRIM(_xlfn.XLOOKUP(非皮卡压缩表[[#This Row],[BACKSIZE]],ALL尺码表[内部尺码],ALL尺码表[分类],""))</f>
        <v/>
      </c>
      <c r="J940" s="19">
        <f t="array" ref="J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0" s="20">
        <f>LEN(非皮卡压缩表[[#This Row],[LONG-TYPE]])</f>
        <v/>
      </c>
      <c r="L940" s="21">
        <f t="array" ref="L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0" s="22">
        <f>LEN(非皮卡压缩表[[#This Row],[TYPE]])</f>
        <v/>
      </c>
      <c r="N940" s="22">
        <f t="array" ref="N940">_xlfn.XLOOKUP(非皮卡压缩表[[#This Row],[MODEL]],MODEL缩写表[长MODEL],MODEL缩写表[短MODEL],非皮卡压缩表[[#This Row],[MODEL]])</f>
        <v/>
      </c>
      <c r="O940" s="22">
        <f>LEN(非皮卡压缩表[[#This Row],[SHORT-MODEL]])</f>
        <v/>
      </c>
      <c r="P940" s="11">
        <f t="array" ref="P940">TRIM(_xlfn.XLOOKUP(非皮卡压缩表[[#This Row],[BACKSIZE]],ALL尺码表[内部尺码],ALL尺码表[通用尺码]))</f>
        <v/>
      </c>
    </row>
    <row r="941">
      <c r="A941" s="17" t="inlineStr">
        <is>
          <t>ALL</t>
        </is>
      </c>
      <c r="B941" s="18" t="inlineStr">
        <is>
          <t>Mitsubishi Eclipse</t>
        </is>
      </c>
      <c r="C941" s="18" t="inlineStr">
        <is>
          <t>Mitsubishi</t>
        </is>
      </c>
      <c r="D941" s="18" t="inlineStr">
        <is>
          <t>Eclipse</t>
        </is>
      </c>
      <c r="E941" s="18" t="inlineStr">
        <is>
          <t>1990-1999</t>
        </is>
      </c>
      <c r="F941" s="18" t="inlineStr"/>
      <c r="G941" s="18" t="inlineStr">
        <is>
          <t>Convertible/Coupe</t>
        </is>
      </c>
      <c r="H941" s="18" t="inlineStr">
        <is>
          <t>3M-0</t>
        </is>
      </c>
      <c r="I941" s="19">
        <f t="array" ref="I941">TRIM(_xlfn.XLOOKUP(非皮卡压缩表[[#This Row],[BACKSIZE]],ALL尺码表[内部尺码],ALL尺码表[分类],""))</f>
        <v/>
      </c>
      <c r="J941" s="19">
        <f t="array" ref="J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1" s="20">
        <f>LEN(非皮卡压缩表[[#This Row],[LONG-TYPE]])</f>
        <v/>
      </c>
      <c r="L941" s="21">
        <f t="array" ref="L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1" s="22">
        <f>LEN(非皮卡压缩表[[#This Row],[TYPE]])</f>
        <v/>
      </c>
      <c r="N941" s="22">
        <f t="array" ref="N941">_xlfn.XLOOKUP(非皮卡压缩表[[#This Row],[MODEL]],MODEL缩写表[长MODEL],MODEL缩写表[短MODEL],非皮卡压缩表[[#This Row],[MODEL]])</f>
        <v/>
      </c>
      <c r="O941" s="22">
        <f>LEN(非皮卡压缩表[[#This Row],[SHORT-MODEL]])</f>
        <v/>
      </c>
      <c r="P941" s="11">
        <f t="array" ref="P941">TRIM(_xlfn.XLOOKUP(非皮卡压缩表[[#This Row],[BACKSIZE]],ALL尺码表[内部尺码],ALL尺码表[通用尺码]))</f>
        <v/>
      </c>
    </row>
    <row r="942">
      <c r="A942" s="17" t="inlineStr">
        <is>
          <t>ALL</t>
        </is>
      </c>
      <c r="B942" s="18" t="inlineStr">
        <is>
          <t>Mitsubishi Eclipse</t>
        </is>
      </c>
      <c r="C942" s="18" t="inlineStr">
        <is>
          <t>Mitsubishi</t>
        </is>
      </c>
      <c r="D942" s="18" t="inlineStr">
        <is>
          <t>Eclipse</t>
        </is>
      </c>
      <c r="E942" s="18" t="inlineStr">
        <is>
          <t>1995-1999</t>
        </is>
      </c>
      <c r="F942" s="18" t="inlineStr"/>
      <c r="G942" s="18" t="inlineStr">
        <is>
          <t>Hatchback</t>
        </is>
      </c>
      <c r="H942" s="18" t="inlineStr">
        <is>
          <t>2L+</t>
        </is>
      </c>
      <c r="I942" s="19">
        <f t="array" ref="I942">TRIM(_xlfn.XLOOKUP(非皮卡压缩表[[#This Row],[BACKSIZE]],ALL尺码表[内部尺码],ALL尺码表[分类],""))</f>
        <v/>
      </c>
      <c r="J942" s="19">
        <f t="array" ref="J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2" s="20">
        <f>LEN(非皮卡压缩表[[#This Row],[LONG-TYPE]])</f>
        <v/>
      </c>
      <c r="L942" s="21">
        <f t="array" ref="L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2" s="22">
        <f>LEN(非皮卡压缩表[[#This Row],[TYPE]])</f>
        <v/>
      </c>
      <c r="N942" s="22">
        <f t="array" ref="N942">_xlfn.XLOOKUP(非皮卡压缩表[[#This Row],[MODEL]],MODEL缩写表[长MODEL],MODEL缩写表[短MODEL],非皮卡压缩表[[#This Row],[MODEL]])</f>
        <v/>
      </c>
      <c r="O942" s="22">
        <f>LEN(非皮卡压缩表[[#This Row],[SHORT-MODEL]])</f>
        <v/>
      </c>
      <c r="P942" s="11">
        <f t="array" ref="P942">TRIM(_xlfn.XLOOKUP(非皮卡压缩表[[#This Row],[BACKSIZE]],ALL尺码表[内部尺码],ALL尺码表[通用尺码]))</f>
        <v/>
      </c>
    </row>
    <row r="943">
      <c r="A943" s="17" t="inlineStr">
        <is>
          <t>ALL</t>
        </is>
      </c>
      <c r="B943" s="18" t="inlineStr">
        <is>
          <t>Mitsubishi Eclipse</t>
        </is>
      </c>
      <c r="C943" s="18" t="inlineStr">
        <is>
          <t>Mitsubishi</t>
        </is>
      </c>
      <c r="D943" s="18" t="inlineStr">
        <is>
          <t>Eclipse</t>
        </is>
      </c>
      <c r="E943" s="18" t="inlineStr">
        <is>
          <t>2000-2012</t>
        </is>
      </c>
      <c r="F943" s="18" t="inlineStr"/>
      <c r="G943" s="18" t="inlineStr">
        <is>
          <t>Convertible</t>
        </is>
      </c>
      <c r="H943" s="18" t="inlineStr">
        <is>
          <t>3L-0</t>
        </is>
      </c>
      <c r="I943" s="19">
        <f t="array" ref="I943">TRIM(_xlfn.XLOOKUP(非皮卡压缩表[[#This Row],[BACKSIZE]],ALL尺码表[内部尺码],ALL尺码表[分类],""))</f>
        <v/>
      </c>
      <c r="J943" s="19">
        <f t="array" ref="J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3" s="20">
        <f>LEN(非皮卡压缩表[[#This Row],[LONG-TYPE]])</f>
        <v/>
      </c>
      <c r="L943" s="21">
        <f t="array" ref="L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3" s="22">
        <f>LEN(非皮卡压缩表[[#This Row],[TYPE]])</f>
        <v/>
      </c>
      <c r="N943" s="22">
        <f t="array" ref="N943">_xlfn.XLOOKUP(非皮卡压缩表[[#This Row],[MODEL]],MODEL缩写表[长MODEL],MODEL缩写表[短MODEL],非皮卡压缩表[[#This Row],[MODEL]])</f>
        <v/>
      </c>
      <c r="O943" s="22">
        <f>LEN(非皮卡压缩表[[#This Row],[SHORT-MODEL]])</f>
        <v/>
      </c>
      <c r="P943" s="11">
        <f t="array" ref="P943">TRIM(_xlfn.XLOOKUP(非皮卡压缩表[[#This Row],[BACKSIZE]],ALL尺码表[内部尺码],ALL尺码表[通用尺码]))</f>
        <v/>
      </c>
    </row>
    <row r="944">
      <c r="A944" s="17" t="inlineStr">
        <is>
          <t>ALL</t>
        </is>
      </c>
      <c r="B944" s="18" t="inlineStr">
        <is>
          <t>Mitsubishi Eclipse</t>
        </is>
      </c>
      <c r="C944" s="18" t="inlineStr">
        <is>
          <t>Mitsubishi</t>
        </is>
      </c>
      <c r="D944" s="18" t="inlineStr">
        <is>
          <t>Eclipse</t>
        </is>
      </c>
      <c r="E944" s="18" t="inlineStr">
        <is>
          <t>2000-2012</t>
        </is>
      </c>
      <c r="F944" s="18" t="inlineStr"/>
      <c r="G944" s="18" t="inlineStr">
        <is>
          <t>Coupe</t>
        </is>
      </c>
      <c r="H944" s="18" t="inlineStr">
        <is>
          <t>3L-0</t>
        </is>
      </c>
      <c r="I944" s="19">
        <f t="array" ref="I944">TRIM(_xlfn.XLOOKUP(非皮卡压缩表[[#This Row],[BACKSIZE]],ALL尺码表[内部尺码],ALL尺码表[分类],""))</f>
        <v/>
      </c>
      <c r="J944" s="19">
        <f t="array" ref="J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4" s="20">
        <f>LEN(非皮卡压缩表[[#This Row],[LONG-TYPE]])</f>
        <v/>
      </c>
      <c r="L944" s="21">
        <f t="array" ref="L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4" s="22">
        <f>LEN(非皮卡压缩表[[#This Row],[TYPE]])</f>
        <v/>
      </c>
      <c r="N944" s="22">
        <f t="array" ref="N944">_xlfn.XLOOKUP(非皮卡压缩表[[#This Row],[MODEL]],MODEL缩写表[长MODEL],MODEL缩写表[短MODEL],非皮卡压缩表[[#This Row],[MODEL]])</f>
        <v/>
      </c>
      <c r="O944" s="22">
        <f>LEN(非皮卡压缩表[[#This Row],[SHORT-MODEL]])</f>
        <v/>
      </c>
      <c r="P944" s="11">
        <f t="array" ref="P944">TRIM(_xlfn.XLOOKUP(非皮卡压缩表[[#This Row],[BACKSIZE]],ALL尺码表[内部尺码],ALL尺码表[通用尺码]))</f>
        <v/>
      </c>
    </row>
    <row r="945">
      <c r="A945" s="17" t="inlineStr">
        <is>
          <t>ALL</t>
        </is>
      </c>
      <c r="B945" s="18" t="inlineStr">
        <is>
          <t>Mitsubishi Eclipse</t>
        </is>
      </c>
      <c r="C945" s="18" t="inlineStr">
        <is>
          <t>Mitsubishi</t>
        </is>
      </c>
      <c r="D945" s="18" t="inlineStr">
        <is>
          <t>Eclipse</t>
        </is>
      </c>
      <c r="E945" s="18" t="inlineStr">
        <is>
          <t>2000-2005</t>
        </is>
      </c>
      <c r="F945" s="18" t="inlineStr"/>
      <c r="G945" s="18" t="inlineStr">
        <is>
          <t>Coupe</t>
        </is>
      </c>
      <c r="H945" s="18" t="inlineStr">
        <is>
          <t>3M-0</t>
        </is>
      </c>
      <c r="I945" s="19">
        <f t="array" ref="I945">TRIM(_xlfn.XLOOKUP(非皮卡压缩表[[#This Row],[BACKSIZE]],ALL尺码表[内部尺码],ALL尺码表[分类],""))</f>
        <v/>
      </c>
      <c r="J945" s="19">
        <f t="array" ref="J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5" s="20">
        <f>LEN(非皮卡压缩表[[#This Row],[LONG-TYPE]])</f>
        <v/>
      </c>
      <c r="L945" s="21">
        <f t="array" ref="L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5" s="22">
        <f>LEN(非皮卡压缩表[[#This Row],[TYPE]])</f>
        <v/>
      </c>
      <c r="N945" s="22">
        <f t="array" ref="N945">_xlfn.XLOOKUP(非皮卡压缩表[[#This Row],[MODEL]],MODEL缩写表[长MODEL],MODEL缩写表[短MODEL],非皮卡压缩表[[#This Row],[MODEL]])</f>
        <v/>
      </c>
      <c r="O945" s="22">
        <f>LEN(非皮卡压缩表[[#This Row],[SHORT-MODEL]])</f>
        <v/>
      </c>
      <c r="P945" s="11">
        <f t="array" ref="P945">TRIM(_xlfn.XLOOKUP(非皮卡压缩表[[#This Row],[BACKSIZE]],ALL尺码表[内部尺码],ALL尺码表[通用尺码]))</f>
        <v/>
      </c>
    </row>
    <row r="946">
      <c r="A946" s="17" t="inlineStr">
        <is>
          <t>ALL</t>
        </is>
      </c>
      <c r="B946" s="18" t="inlineStr">
        <is>
          <t>Mitsubishi Eclipse Cross</t>
        </is>
      </c>
      <c r="C946" s="18" t="inlineStr">
        <is>
          <t>Mitsubishi</t>
        </is>
      </c>
      <c r="D946" s="18" t="inlineStr">
        <is>
          <t>Eclipse Cross</t>
        </is>
      </c>
      <c r="E946" s="18" t="inlineStr">
        <is>
          <t>2018-2026</t>
        </is>
      </c>
      <c r="F946" s="18" t="inlineStr"/>
      <c r="G946" s="18" t="inlineStr">
        <is>
          <t>CUV</t>
        </is>
      </c>
      <c r="H946" s="18" t="inlineStr">
        <is>
          <t>YM+</t>
        </is>
      </c>
      <c r="I946" s="19">
        <f t="array" ref="I946">TRIM(_xlfn.XLOOKUP(非皮卡压缩表[[#This Row],[BACKSIZE]],ALL尺码表[内部尺码],ALL尺码表[分类],""))</f>
        <v/>
      </c>
      <c r="J946" s="19">
        <f t="array" ref="J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6" s="20">
        <f>LEN(非皮卡压缩表[[#This Row],[LONG-TYPE]])</f>
        <v/>
      </c>
      <c r="L946" s="21">
        <f t="array" ref="L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6" s="22">
        <f>LEN(非皮卡压缩表[[#This Row],[TYPE]])</f>
        <v/>
      </c>
      <c r="N946" s="22">
        <f t="array" ref="N946">_xlfn.XLOOKUP(非皮卡压缩表[[#This Row],[MODEL]],MODEL缩写表[长MODEL],MODEL缩写表[短MODEL],非皮卡压缩表[[#This Row],[MODEL]])</f>
        <v/>
      </c>
      <c r="O946" s="22">
        <f>LEN(非皮卡压缩表[[#This Row],[SHORT-MODEL]])</f>
        <v/>
      </c>
      <c r="P946" s="11">
        <f t="array" ref="P946">TRIM(_xlfn.XLOOKUP(非皮卡压缩表[[#This Row],[BACKSIZE]],ALL尺码表[内部尺码],ALL尺码表[通用尺码]))</f>
        <v/>
      </c>
    </row>
    <row r="947">
      <c r="A947" s="17" t="inlineStr">
        <is>
          <t>ALL</t>
        </is>
      </c>
      <c r="B947" s="18" t="inlineStr">
        <is>
          <t>Mitsubishi Endeavor</t>
        </is>
      </c>
      <c r="C947" s="18" t="inlineStr">
        <is>
          <t>Mitsubishi</t>
        </is>
      </c>
      <c r="D947" s="18" t="inlineStr">
        <is>
          <t>Endeavor</t>
        </is>
      </c>
      <c r="E947" s="18" t="inlineStr">
        <is>
          <t>2004-2011</t>
        </is>
      </c>
      <c r="F947" s="18" t="inlineStr"/>
      <c r="G947" s="18" t="inlineStr">
        <is>
          <t>SUV</t>
        </is>
      </c>
      <c r="H947" s="18" t="inlineStr">
        <is>
          <t>YXL</t>
        </is>
      </c>
      <c r="I947" s="19">
        <f t="array" ref="I947">TRIM(_xlfn.XLOOKUP(非皮卡压缩表[[#This Row],[BACKSIZE]],ALL尺码表[内部尺码],ALL尺码表[分类],""))</f>
        <v/>
      </c>
      <c r="J947" s="19">
        <f t="array" ref="J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7" s="20">
        <f>LEN(非皮卡压缩表[[#This Row],[LONG-TYPE]])</f>
        <v/>
      </c>
      <c r="L947" s="21">
        <f t="array" ref="L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7" s="22">
        <f>LEN(非皮卡压缩表[[#This Row],[TYPE]])</f>
        <v/>
      </c>
      <c r="N947" s="22">
        <f t="array" ref="N947">_xlfn.XLOOKUP(非皮卡压缩表[[#This Row],[MODEL]],MODEL缩写表[长MODEL],MODEL缩写表[短MODEL],非皮卡压缩表[[#This Row],[MODEL]])</f>
        <v/>
      </c>
      <c r="O947" s="22">
        <f>LEN(非皮卡压缩表[[#This Row],[SHORT-MODEL]])</f>
        <v/>
      </c>
      <c r="P947" s="11">
        <f t="array" ref="P947">TRIM(_xlfn.XLOOKUP(非皮卡压缩表[[#This Row],[BACKSIZE]],ALL尺码表[内部尺码],ALL尺码表[通用尺码]))</f>
        <v/>
      </c>
    </row>
    <row r="948">
      <c r="A948" s="17" t="inlineStr">
        <is>
          <t>ALL</t>
        </is>
      </c>
      <c r="B948" s="18" t="inlineStr">
        <is>
          <t>Mitsubishi Galant</t>
        </is>
      </c>
      <c r="C948" s="18" t="inlineStr">
        <is>
          <t>Mitsubishi</t>
        </is>
      </c>
      <c r="D948" s="18" t="inlineStr">
        <is>
          <t>Galant</t>
        </is>
      </c>
      <c r="E948" s="18" t="inlineStr">
        <is>
          <t>1989-1993</t>
        </is>
      </c>
      <c r="F948" s="18" t="inlineStr"/>
      <c r="G948" s="18" t="inlineStr">
        <is>
          <t>Sedan</t>
        </is>
      </c>
      <c r="H948" s="18" t="inlineStr">
        <is>
          <t>3L</t>
        </is>
      </c>
      <c r="I948" s="19">
        <f t="array" ref="I948">TRIM(_xlfn.XLOOKUP(非皮卡压缩表[[#This Row],[BACKSIZE]],ALL尺码表[内部尺码],ALL尺码表[分类],""))</f>
        <v/>
      </c>
      <c r="J948" s="19">
        <f t="array" ref="J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8" s="20">
        <f>LEN(非皮卡压缩表[[#This Row],[LONG-TYPE]])</f>
        <v/>
      </c>
      <c r="L948" s="21">
        <f t="array" ref="L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8" s="22">
        <f>LEN(非皮卡压缩表[[#This Row],[TYPE]])</f>
        <v/>
      </c>
      <c r="N948" s="22">
        <f t="array" ref="N948">_xlfn.XLOOKUP(非皮卡压缩表[[#This Row],[MODEL]],MODEL缩写表[长MODEL],MODEL缩写表[短MODEL],非皮卡压缩表[[#This Row],[MODEL]])</f>
        <v/>
      </c>
      <c r="O948" s="22">
        <f>LEN(非皮卡压缩表[[#This Row],[SHORT-MODEL]])</f>
        <v/>
      </c>
      <c r="P948" s="11">
        <f t="array" ref="P948">TRIM(_xlfn.XLOOKUP(非皮卡压缩表[[#This Row],[BACKSIZE]],ALL尺码表[内部尺码],ALL尺码表[通用尺码]))</f>
        <v/>
      </c>
    </row>
    <row r="949">
      <c r="A949" s="17" t="inlineStr">
        <is>
          <t>ALL</t>
        </is>
      </c>
      <c r="B949" s="18" t="inlineStr">
        <is>
          <t>Mitsubishi Galant</t>
        </is>
      </c>
      <c r="C949" s="18" t="inlineStr">
        <is>
          <t>Mitsubishi</t>
        </is>
      </c>
      <c r="D949" s="18" t="inlineStr">
        <is>
          <t>Galant</t>
        </is>
      </c>
      <c r="E949" s="18" t="inlineStr">
        <is>
          <t>1994-2012</t>
        </is>
      </c>
      <c r="F949" s="18" t="inlineStr"/>
      <c r="G949" s="18" t="inlineStr">
        <is>
          <t>Sedan</t>
        </is>
      </c>
      <c r="H949" s="18" t="inlineStr">
        <is>
          <t>3XL</t>
        </is>
      </c>
      <c r="I949" s="19">
        <f t="array" ref="I949">TRIM(_xlfn.XLOOKUP(非皮卡压缩表[[#This Row],[BACKSIZE]],ALL尺码表[内部尺码],ALL尺码表[分类],""))</f>
        <v/>
      </c>
      <c r="J949" s="19">
        <f t="array" ref="J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9" s="20">
        <f>LEN(非皮卡压缩表[[#This Row],[LONG-TYPE]])</f>
        <v/>
      </c>
      <c r="L949" s="21">
        <f t="array" ref="L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9" s="22">
        <f>LEN(非皮卡压缩表[[#This Row],[TYPE]])</f>
        <v/>
      </c>
      <c r="N949" s="22">
        <f t="array" ref="N949">_xlfn.XLOOKUP(非皮卡压缩表[[#This Row],[MODEL]],MODEL缩写表[长MODEL],MODEL缩写表[短MODEL],非皮卡压缩表[[#This Row],[MODEL]])</f>
        <v/>
      </c>
      <c r="O949" s="22">
        <f>LEN(非皮卡压缩表[[#This Row],[SHORT-MODEL]])</f>
        <v/>
      </c>
      <c r="P949" s="11">
        <f t="array" ref="P949">TRIM(_xlfn.XLOOKUP(非皮卡压缩表[[#This Row],[BACKSIZE]],ALL尺码表[内部尺码],ALL尺码表[通用尺码]))</f>
        <v/>
      </c>
    </row>
    <row r="950">
      <c r="A950" s="17" t="inlineStr">
        <is>
          <t>ALL</t>
        </is>
      </c>
      <c r="B950" s="18" t="inlineStr">
        <is>
          <t>Mitsubishi Lancer</t>
        </is>
      </c>
      <c r="C950" s="18" t="inlineStr">
        <is>
          <t>Mitsubishi</t>
        </is>
      </c>
      <c r="D950" s="18" t="inlineStr">
        <is>
          <t>Lancer</t>
        </is>
      </c>
      <c r="E950" s="18" t="inlineStr">
        <is>
          <t>2002-2017</t>
        </is>
      </c>
      <c r="F950" s="18" t="inlineStr"/>
      <c r="G950" s="18" t="inlineStr">
        <is>
          <t>Sedan</t>
        </is>
      </c>
      <c r="H950" s="18" t="inlineStr">
        <is>
          <t>3L</t>
        </is>
      </c>
      <c r="I950" s="19">
        <f t="array" ref="I950">TRIM(_xlfn.XLOOKUP(非皮卡压缩表[[#This Row],[BACKSIZE]],ALL尺码表[内部尺码],ALL尺码表[分类],""))</f>
        <v/>
      </c>
      <c r="J950" s="19">
        <f t="array" ref="J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0" s="20">
        <f>LEN(非皮卡压缩表[[#This Row],[LONG-TYPE]])</f>
        <v/>
      </c>
      <c r="L950" s="21">
        <f t="array" ref="L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0" s="22">
        <f>LEN(非皮卡压缩表[[#This Row],[TYPE]])</f>
        <v/>
      </c>
      <c r="N950" s="22">
        <f t="array" ref="N950">_xlfn.XLOOKUP(非皮卡压缩表[[#This Row],[MODEL]],MODEL缩写表[长MODEL],MODEL缩写表[短MODEL],非皮卡压缩表[[#This Row],[MODEL]])</f>
        <v/>
      </c>
      <c r="O950" s="22">
        <f>LEN(非皮卡压缩表[[#This Row],[SHORT-MODEL]])</f>
        <v/>
      </c>
      <c r="P950" s="11">
        <f t="array" ref="P950">TRIM(_xlfn.XLOOKUP(非皮卡压缩表[[#This Row],[BACKSIZE]],ALL尺码表[内部尺码],ALL尺码表[通用尺码]))</f>
        <v/>
      </c>
    </row>
    <row r="951">
      <c r="A951" s="17" t="inlineStr">
        <is>
          <t>ALL</t>
        </is>
      </c>
      <c r="B951" s="18" t="inlineStr">
        <is>
          <t>Mitsubishi Lancer</t>
        </is>
      </c>
      <c r="C951" s="18" t="inlineStr">
        <is>
          <t>Mitsubishi</t>
        </is>
      </c>
      <c r="D951" s="18" t="inlineStr">
        <is>
          <t>Lancer</t>
        </is>
      </c>
      <c r="E951" s="18" t="inlineStr">
        <is>
          <t>2011-2015</t>
        </is>
      </c>
      <c r="F951" s="18" t="inlineStr"/>
      <c r="G951" s="18" t="inlineStr">
        <is>
          <t>Sportback</t>
        </is>
      </c>
      <c r="H951" s="18" t="inlineStr">
        <is>
          <t>2XL</t>
        </is>
      </c>
      <c r="I951" s="19">
        <f t="array" ref="I951">TRIM(_xlfn.XLOOKUP(非皮卡压缩表[[#This Row],[BACKSIZE]],ALL尺码表[内部尺码],ALL尺码表[分类],""))</f>
        <v/>
      </c>
      <c r="J951" s="19">
        <f t="array" ref="J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1" s="20">
        <f>LEN(非皮卡压缩表[[#This Row],[LONG-TYPE]])</f>
        <v/>
      </c>
      <c r="L951" s="21">
        <f t="array" ref="L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1" s="22">
        <f>LEN(非皮卡压缩表[[#This Row],[TYPE]])</f>
        <v/>
      </c>
      <c r="N951" s="22">
        <f t="array" ref="N951">_xlfn.XLOOKUP(非皮卡压缩表[[#This Row],[MODEL]],MODEL缩写表[长MODEL],MODEL缩写表[短MODEL],非皮卡压缩表[[#This Row],[MODEL]])</f>
        <v/>
      </c>
      <c r="O951" s="22">
        <f>LEN(非皮卡压缩表[[#This Row],[SHORT-MODEL]])</f>
        <v/>
      </c>
      <c r="P951" s="11">
        <f t="array" ref="P951">TRIM(_xlfn.XLOOKUP(非皮卡压缩表[[#This Row],[BACKSIZE]],ALL尺码表[内部尺码],ALL尺码表[通用尺码]))</f>
        <v/>
      </c>
    </row>
    <row r="952">
      <c r="A952" s="17" t="inlineStr">
        <is>
          <t>ALL</t>
        </is>
      </c>
      <c r="B952" s="18" t="inlineStr">
        <is>
          <t>Mitsubishi Mirage</t>
        </is>
      </c>
      <c r="C952" s="18" t="inlineStr">
        <is>
          <t>Mitsubishi</t>
        </is>
      </c>
      <c r="D952" s="18" t="inlineStr">
        <is>
          <t>Mirage</t>
        </is>
      </c>
      <c r="E952" s="18" t="inlineStr">
        <is>
          <t>2014-2024</t>
        </is>
      </c>
      <c r="F952" s="18" t="inlineStr"/>
      <c r="G952" s="18" t="inlineStr">
        <is>
          <t>Hatchback</t>
        </is>
      </c>
      <c r="H952" s="18" t="inlineStr">
        <is>
          <t>2M</t>
        </is>
      </c>
      <c r="I952" s="19">
        <f t="array" ref="I952">TRIM(_xlfn.XLOOKUP(非皮卡压缩表[[#This Row],[BACKSIZE]],ALL尺码表[内部尺码],ALL尺码表[分类],""))</f>
        <v/>
      </c>
      <c r="J952" s="19">
        <f t="array" ref="J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2" s="20">
        <f>LEN(非皮卡压缩表[[#This Row],[LONG-TYPE]])</f>
        <v/>
      </c>
      <c r="L952" s="21">
        <f t="array" ref="L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2" s="22">
        <f>LEN(非皮卡压缩表[[#This Row],[TYPE]])</f>
        <v/>
      </c>
      <c r="N952" s="22">
        <f t="array" ref="N952">_xlfn.XLOOKUP(非皮卡压缩表[[#This Row],[MODEL]],MODEL缩写表[长MODEL],MODEL缩写表[短MODEL],非皮卡压缩表[[#This Row],[MODEL]])</f>
        <v/>
      </c>
      <c r="O952" s="22">
        <f>LEN(非皮卡压缩表[[#This Row],[SHORT-MODEL]])</f>
        <v/>
      </c>
      <c r="P952" s="11">
        <f t="array" ref="P952">TRIM(_xlfn.XLOOKUP(非皮卡压缩表[[#This Row],[BACKSIZE]],ALL尺码表[内部尺码],ALL尺码表[通用尺码]))</f>
        <v/>
      </c>
    </row>
    <row r="953">
      <c r="A953" s="17" t="inlineStr">
        <is>
          <t>ALL</t>
        </is>
      </c>
      <c r="B953" s="18" t="inlineStr">
        <is>
          <t>Mitsubishi Mirage</t>
        </is>
      </c>
      <c r="C953" s="18" t="inlineStr">
        <is>
          <t>Mitsubishi</t>
        </is>
      </c>
      <c r="D953" s="18" t="inlineStr">
        <is>
          <t>Mirage</t>
        </is>
      </c>
      <c r="E953" s="18" t="inlineStr">
        <is>
          <t>2017-2024</t>
        </is>
      </c>
      <c r="F953" s="18" t="inlineStr"/>
      <c r="G953" s="18" t="inlineStr">
        <is>
          <t>Sedan</t>
        </is>
      </c>
      <c r="H953" s="18" t="inlineStr">
        <is>
          <t>3L</t>
        </is>
      </c>
      <c r="I953" s="19">
        <f t="array" ref="I953">TRIM(_xlfn.XLOOKUP(非皮卡压缩表[[#This Row],[BACKSIZE]],ALL尺码表[内部尺码],ALL尺码表[分类],""))</f>
        <v/>
      </c>
      <c r="J953" s="19">
        <f t="array" ref="J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3" s="20">
        <f>LEN(非皮卡压缩表[[#This Row],[LONG-TYPE]])</f>
        <v/>
      </c>
      <c r="L953" s="21">
        <f t="array" ref="L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3" s="22">
        <f>LEN(非皮卡压缩表[[#This Row],[TYPE]])</f>
        <v/>
      </c>
      <c r="N953" s="22">
        <f t="array" ref="N953">_xlfn.XLOOKUP(非皮卡压缩表[[#This Row],[MODEL]],MODEL缩写表[长MODEL],MODEL缩写表[短MODEL],非皮卡压缩表[[#This Row],[MODEL]])</f>
        <v/>
      </c>
      <c r="O953" s="22">
        <f>LEN(非皮卡压缩表[[#This Row],[SHORT-MODEL]])</f>
        <v/>
      </c>
      <c r="P953" s="11">
        <f t="array" ref="P953">TRIM(_xlfn.XLOOKUP(非皮卡压缩表[[#This Row],[BACKSIZE]],ALL尺码表[内部尺码],ALL尺码表[通用尺码]))</f>
        <v/>
      </c>
    </row>
    <row r="954">
      <c r="A954" s="17" t="inlineStr">
        <is>
          <t>ALL</t>
        </is>
      </c>
      <c r="B954" s="18" t="inlineStr">
        <is>
          <t>Mitsubishi Montero</t>
        </is>
      </c>
      <c r="C954" s="18" t="inlineStr">
        <is>
          <t>Mitsubishi</t>
        </is>
      </c>
      <c r="D954" s="18" t="inlineStr">
        <is>
          <t>Montero</t>
        </is>
      </c>
      <c r="E954" s="18" t="inlineStr">
        <is>
          <t>1983-1989</t>
        </is>
      </c>
      <c r="F954" s="18" t="inlineStr"/>
      <c r="G954" s="18" t="inlineStr">
        <is>
          <t>SUV</t>
        </is>
      </c>
      <c r="H954" s="18" t="inlineStr">
        <is>
          <t>YM+</t>
        </is>
      </c>
      <c r="I954" s="19">
        <f t="array" ref="I954">TRIM(_xlfn.XLOOKUP(非皮卡压缩表[[#This Row],[BACKSIZE]],ALL尺码表[内部尺码],ALL尺码表[分类],""))</f>
        <v/>
      </c>
      <c r="J954" s="19">
        <f t="array" ref="J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4" s="20">
        <f>LEN(非皮卡压缩表[[#This Row],[LONG-TYPE]])</f>
        <v/>
      </c>
      <c r="L954" s="21">
        <f t="array" ref="L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4" s="22">
        <f>LEN(非皮卡压缩表[[#This Row],[TYPE]])</f>
        <v/>
      </c>
      <c r="N954" s="22">
        <f t="array" ref="N954">_xlfn.XLOOKUP(非皮卡压缩表[[#This Row],[MODEL]],MODEL缩写表[长MODEL],MODEL缩写表[短MODEL],非皮卡压缩表[[#This Row],[MODEL]])</f>
        <v/>
      </c>
      <c r="O954" s="22">
        <f>LEN(非皮卡压缩表[[#This Row],[SHORT-MODEL]])</f>
        <v/>
      </c>
      <c r="P954" s="11">
        <f t="array" ref="P954">TRIM(_xlfn.XLOOKUP(非皮卡压缩表[[#This Row],[BACKSIZE]],ALL尺码表[内部尺码],ALL尺码表[通用尺码]))</f>
        <v/>
      </c>
    </row>
    <row r="955">
      <c r="A955" s="17" t="inlineStr">
        <is>
          <t>ALL</t>
        </is>
      </c>
      <c r="B955" s="18" t="inlineStr">
        <is>
          <t>Mitsubishi Montero</t>
        </is>
      </c>
      <c r="C955" s="18" t="inlineStr">
        <is>
          <t>Mitsubishi</t>
        </is>
      </c>
      <c r="D955" s="18" t="inlineStr">
        <is>
          <t>Montero</t>
        </is>
      </c>
      <c r="E955" s="18" t="inlineStr">
        <is>
          <t>1989-1997</t>
        </is>
      </c>
      <c r="F955" s="18" t="inlineStr"/>
      <c r="G955" s="18" t="inlineStr">
        <is>
          <t>SUV</t>
        </is>
      </c>
      <c r="H955" s="18" t="inlineStr">
        <is>
          <t>YL</t>
        </is>
      </c>
      <c r="I955" s="19">
        <f t="array" ref="I955">TRIM(_xlfn.XLOOKUP(非皮卡压缩表[[#This Row],[BACKSIZE]],ALL尺码表[内部尺码],ALL尺码表[分类],""))</f>
        <v/>
      </c>
      <c r="J955" s="19">
        <f t="array" ref="J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5" s="20">
        <f>LEN(非皮卡压缩表[[#This Row],[LONG-TYPE]])</f>
        <v/>
      </c>
      <c r="L955" s="21">
        <f t="array" ref="L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5" s="22">
        <f>LEN(非皮卡压缩表[[#This Row],[TYPE]])</f>
        <v/>
      </c>
      <c r="N955" s="22">
        <f t="array" ref="N955">_xlfn.XLOOKUP(非皮卡压缩表[[#This Row],[MODEL]],MODEL缩写表[长MODEL],MODEL缩写表[短MODEL],非皮卡压缩表[[#This Row],[MODEL]])</f>
        <v/>
      </c>
      <c r="O955" s="22">
        <f>LEN(非皮卡压缩表[[#This Row],[SHORT-MODEL]])</f>
        <v/>
      </c>
      <c r="P955" s="11">
        <f t="array" ref="P955">TRIM(_xlfn.XLOOKUP(非皮卡压缩表[[#This Row],[BACKSIZE]],ALL尺码表[内部尺码],ALL尺码表[通用尺码]))</f>
        <v/>
      </c>
    </row>
    <row r="956">
      <c r="A956" s="17" t="inlineStr">
        <is>
          <t>ALL</t>
        </is>
      </c>
      <c r="B956" s="18" t="inlineStr">
        <is>
          <t>Mitsubishi Montero</t>
        </is>
      </c>
      <c r="C956" s="18" t="inlineStr">
        <is>
          <t>Mitsubishi</t>
        </is>
      </c>
      <c r="D956" s="18" t="inlineStr">
        <is>
          <t>Montero</t>
        </is>
      </c>
      <c r="E956" s="18" t="inlineStr">
        <is>
          <t>1990</t>
        </is>
      </c>
      <c r="F956" s="18" t="inlineStr"/>
      <c r="G956" s="18" t="inlineStr">
        <is>
          <t>SUV</t>
        </is>
      </c>
      <c r="H956" s="18" t="inlineStr">
        <is>
          <t>无可用尺码</t>
        </is>
      </c>
      <c r="I956" s="19">
        <f t="array" ref="I956">TRIM(_xlfn.XLOOKUP(非皮卡压缩表[[#This Row],[BACKSIZE]],ALL尺码表[内部尺码],ALL尺码表[分类],""))</f>
        <v/>
      </c>
      <c r="J956" s="19">
        <f t="array" ref="J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6" s="20">
        <f>LEN(非皮卡压缩表[[#This Row],[LONG-TYPE]])</f>
        <v/>
      </c>
      <c r="L956" s="21">
        <f t="array" ref="L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6" s="22">
        <f>LEN(非皮卡压缩表[[#This Row],[TYPE]])</f>
        <v/>
      </c>
      <c r="N956" s="22">
        <f t="array" ref="N956">_xlfn.XLOOKUP(非皮卡压缩表[[#This Row],[MODEL]],MODEL缩写表[长MODEL],MODEL缩写表[短MODEL],非皮卡压缩表[[#This Row],[MODEL]])</f>
        <v/>
      </c>
      <c r="O956" s="22">
        <f>LEN(非皮卡压缩表[[#This Row],[SHORT-MODEL]])</f>
        <v/>
      </c>
      <c r="P956" s="11">
        <f t="array" ref="P956">TRIM(_xlfn.XLOOKUP(非皮卡压缩表[[#This Row],[BACKSIZE]],ALL尺码表[内部尺码],ALL尺码表[通用尺码]))</f>
        <v/>
      </c>
    </row>
    <row r="957">
      <c r="A957" s="17" t="inlineStr">
        <is>
          <t>ALL</t>
        </is>
      </c>
      <c r="B957" s="18" t="inlineStr">
        <is>
          <t>Mitsubishi Montero</t>
        </is>
      </c>
      <c r="C957" s="18" t="inlineStr">
        <is>
          <t>Mitsubishi</t>
        </is>
      </c>
      <c r="D957" s="18" t="inlineStr">
        <is>
          <t>Montero</t>
        </is>
      </c>
      <c r="E957" s="18" t="inlineStr">
        <is>
          <t>1999-2000</t>
        </is>
      </c>
      <c r="F957" s="18" t="inlineStr"/>
      <c r="G957" s="18" t="inlineStr">
        <is>
          <t>SUV</t>
        </is>
      </c>
      <c r="H957" s="18" t="inlineStr">
        <is>
          <t>YL</t>
        </is>
      </c>
      <c r="I957" s="19">
        <f t="array" ref="I957">TRIM(_xlfn.XLOOKUP(非皮卡压缩表[[#This Row],[BACKSIZE]],ALL尺码表[内部尺码],ALL尺码表[分类],""))</f>
        <v/>
      </c>
      <c r="J957" s="19">
        <f t="array" ref="J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7" s="20">
        <f>LEN(非皮卡压缩表[[#This Row],[LONG-TYPE]])</f>
        <v/>
      </c>
      <c r="L957" s="21">
        <f t="array" ref="L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7" s="22">
        <f>LEN(非皮卡压缩表[[#This Row],[TYPE]])</f>
        <v/>
      </c>
      <c r="N957" s="22">
        <f t="array" ref="N957">_xlfn.XLOOKUP(非皮卡压缩表[[#This Row],[MODEL]],MODEL缩写表[长MODEL],MODEL缩写表[短MODEL],非皮卡压缩表[[#This Row],[MODEL]])</f>
        <v/>
      </c>
      <c r="O957" s="22">
        <f>LEN(非皮卡压缩表[[#This Row],[SHORT-MODEL]])</f>
        <v/>
      </c>
      <c r="P957" s="11">
        <f t="array" ref="P957">TRIM(_xlfn.XLOOKUP(非皮卡压缩表[[#This Row],[BACKSIZE]],ALL尺码表[内部尺码],ALL尺码表[通用尺码]))</f>
        <v/>
      </c>
    </row>
    <row r="958">
      <c r="A958" s="17" t="inlineStr">
        <is>
          <t>ALL</t>
        </is>
      </c>
      <c r="B958" s="18" t="inlineStr">
        <is>
          <t>Mitsubishi Montero</t>
        </is>
      </c>
      <c r="C958" s="18" t="inlineStr">
        <is>
          <t>Mitsubishi</t>
        </is>
      </c>
      <c r="D958" s="18" t="inlineStr">
        <is>
          <t>Montero</t>
        </is>
      </c>
      <c r="E958" s="18" t="inlineStr">
        <is>
          <t>2001-2006</t>
        </is>
      </c>
      <c r="F958" s="18" t="inlineStr"/>
      <c r="G958" s="18" t="inlineStr">
        <is>
          <t>SUV</t>
        </is>
      </c>
      <c r="H958" s="18" t="inlineStr">
        <is>
          <t>YXL</t>
        </is>
      </c>
      <c r="I958" s="19">
        <f t="array" ref="I958">TRIM(_xlfn.XLOOKUP(非皮卡压缩表[[#This Row],[BACKSIZE]],ALL尺码表[内部尺码],ALL尺码表[分类],""))</f>
        <v/>
      </c>
      <c r="J958" s="19">
        <f t="array" ref="J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8" s="20">
        <f>LEN(非皮卡压缩表[[#This Row],[LONG-TYPE]])</f>
        <v/>
      </c>
      <c r="L958" s="21">
        <f t="array" ref="L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8" s="22">
        <f>LEN(非皮卡压缩表[[#This Row],[TYPE]])</f>
        <v/>
      </c>
      <c r="N958" s="22">
        <f t="array" ref="N958">_xlfn.XLOOKUP(非皮卡压缩表[[#This Row],[MODEL]],MODEL缩写表[长MODEL],MODEL缩写表[短MODEL],非皮卡压缩表[[#This Row],[MODEL]])</f>
        <v/>
      </c>
      <c r="O958" s="22">
        <f>LEN(非皮卡压缩表[[#This Row],[SHORT-MODEL]])</f>
        <v/>
      </c>
      <c r="P958" s="11">
        <f t="array" ref="P958">TRIM(_xlfn.XLOOKUP(非皮卡压缩表[[#This Row],[BACKSIZE]],ALL尺码表[内部尺码],ALL尺码表[通用尺码]))</f>
        <v/>
      </c>
    </row>
    <row r="959">
      <c r="A959" s="17" t="inlineStr">
        <is>
          <t>ALL</t>
        </is>
      </c>
      <c r="B959" s="18" t="inlineStr">
        <is>
          <t>Mitsubishi Montero Sport</t>
        </is>
      </c>
      <c r="C959" s="18" t="inlineStr">
        <is>
          <t>Mitsubishi</t>
        </is>
      </c>
      <c r="D959" s="18" t="inlineStr">
        <is>
          <t>Montero Sport</t>
        </is>
      </c>
      <c r="E959" s="18" t="inlineStr">
        <is>
          <t>1997-2004</t>
        </is>
      </c>
      <c r="F959" s="18" t="inlineStr"/>
      <c r="G959" s="18" t="inlineStr">
        <is>
          <t>SUV</t>
        </is>
      </c>
      <c r="H959" s="18" t="inlineStr">
        <is>
          <t>YL</t>
        </is>
      </c>
      <c r="I959" s="19">
        <f t="array" ref="I959">TRIM(_xlfn.XLOOKUP(非皮卡压缩表[[#This Row],[BACKSIZE]],ALL尺码表[内部尺码],ALL尺码表[分类],""))</f>
        <v/>
      </c>
      <c r="J959" s="19">
        <f t="array" ref="J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9" s="20">
        <f>LEN(非皮卡压缩表[[#This Row],[LONG-TYPE]])</f>
        <v/>
      </c>
      <c r="L959" s="21">
        <f t="array" ref="L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9" s="22">
        <f>LEN(非皮卡压缩表[[#This Row],[TYPE]])</f>
        <v/>
      </c>
      <c r="N959" s="22">
        <f t="array" ref="N959">_xlfn.XLOOKUP(非皮卡压缩表[[#This Row],[MODEL]],MODEL缩写表[长MODEL],MODEL缩写表[短MODEL],非皮卡压缩表[[#This Row],[MODEL]])</f>
        <v/>
      </c>
      <c r="O959" s="22">
        <f>LEN(非皮卡压缩表[[#This Row],[SHORT-MODEL]])</f>
        <v/>
      </c>
      <c r="P959" s="11">
        <f t="array" ref="P959">TRIM(_xlfn.XLOOKUP(非皮卡压缩表[[#This Row],[BACKSIZE]],ALL尺码表[内部尺码],ALL尺码表[通用尺码]))</f>
        <v/>
      </c>
    </row>
    <row r="960">
      <c r="A960" s="17" t="inlineStr">
        <is>
          <t>ALL</t>
        </is>
      </c>
      <c r="B960" s="18" t="inlineStr">
        <is>
          <t>Mitsubishi Outlander</t>
        </is>
      </c>
      <c r="C960" s="18" t="inlineStr">
        <is>
          <t>Mitsubishi</t>
        </is>
      </c>
      <c r="D960" s="18" t="inlineStr">
        <is>
          <t>Outlander</t>
        </is>
      </c>
      <c r="E960" s="18" t="inlineStr">
        <is>
          <t>2003-2006</t>
        </is>
      </c>
      <c r="F960" s="18" t="inlineStr"/>
      <c r="G960" s="18" t="inlineStr">
        <is>
          <t>SUV</t>
        </is>
      </c>
      <c r="H960" s="18" t="inlineStr">
        <is>
          <t>YM+</t>
        </is>
      </c>
      <c r="I960" s="19">
        <f t="array" ref="I960">TRIM(_xlfn.XLOOKUP(非皮卡压缩表[[#This Row],[BACKSIZE]],ALL尺码表[内部尺码],ALL尺码表[分类],""))</f>
        <v/>
      </c>
      <c r="J960" s="19">
        <f t="array" ref="J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0" s="20">
        <f>LEN(非皮卡压缩表[[#This Row],[LONG-TYPE]])</f>
        <v/>
      </c>
      <c r="L960" s="21">
        <f t="array" ref="L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0" s="22">
        <f>LEN(非皮卡压缩表[[#This Row],[TYPE]])</f>
        <v/>
      </c>
      <c r="N960" s="22">
        <f t="array" ref="N960">_xlfn.XLOOKUP(非皮卡压缩表[[#This Row],[MODEL]],MODEL缩写表[长MODEL],MODEL缩写表[短MODEL],非皮卡压缩表[[#This Row],[MODEL]])</f>
        <v/>
      </c>
      <c r="O960" s="22">
        <f>LEN(非皮卡压缩表[[#This Row],[SHORT-MODEL]])</f>
        <v/>
      </c>
      <c r="P960" s="11">
        <f t="array" ref="P960">TRIM(_xlfn.XLOOKUP(非皮卡压缩表[[#This Row],[BACKSIZE]],ALL尺码表[内部尺码],ALL尺码表[通用尺码]))</f>
        <v/>
      </c>
    </row>
    <row r="961">
      <c r="A961" s="17" t="inlineStr">
        <is>
          <t>ALL</t>
        </is>
      </c>
      <c r="B961" s="18" t="inlineStr">
        <is>
          <t>Mitsubishi Outlander</t>
        </is>
      </c>
      <c r="C961" s="18" t="inlineStr">
        <is>
          <t>Mitsubishi</t>
        </is>
      </c>
      <c r="D961" s="18" t="inlineStr">
        <is>
          <t>Outlander</t>
        </is>
      </c>
      <c r="E961" s="18" t="inlineStr">
        <is>
          <t>2007-2026</t>
        </is>
      </c>
      <c r="F961" s="18" t="inlineStr"/>
      <c r="G961" s="18" t="inlineStr">
        <is>
          <t>SUV</t>
        </is>
      </c>
      <c r="H961" s="18" t="inlineStr">
        <is>
          <t>YL</t>
        </is>
      </c>
      <c r="I961" s="19">
        <f t="array" ref="I961">TRIM(_xlfn.XLOOKUP(非皮卡压缩表[[#This Row],[BACKSIZE]],ALL尺码表[内部尺码],ALL尺码表[分类],""))</f>
        <v/>
      </c>
      <c r="J961" s="19">
        <f t="array" ref="J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1" s="20">
        <f>LEN(非皮卡压缩表[[#This Row],[LONG-TYPE]])</f>
        <v/>
      </c>
      <c r="L961" s="21">
        <f t="array" ref="L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1" s="22">
        <f>LEN(非皮卡压缩表[[#This Row],[TYPE]])</f>
        <v/>
      </c>
      <c r="N961" s="22">
        <f t="array" ref="N961">_xlfn.XLOOKUP(非皮卡压缩表[[#This Row],[MODEL]],MODEL缩写表[长MODEL],MODEL缩写表[短MODEL],非皮卡压缩表[[#This Row],[MODEL]])</f>
        <v/>
      </c>
      <c r="O961" s="22">
        <f>LEN(非皮卡压缩表[[#This Row],[SHORT-MODEL]])</f>
        <v/>
      </c>
      <c r="P961" s="11">
        <f t="array" ref="P961">TRIM(_xlfn.XLOOKUP(非皮卡压缩表[[#This Row],[BACKSIZE]],ALL尺码表[内部尺码],ALL尺码表[通用尺码]))</f>
        <v/>
      </c>
    </row>
    <row r="962">
      <c r="A962" s="17" t="inlineStr">
        <is>
          <t>ALL</t>
        </is>
      </c>
      <c r="B962" s="18" t="inlineStr">
        <is>
          <t>Mitsubishi Outlander Sport</t>
        </is>
      </c>
      <c r="C962" s="18" t="inlineStr">
        <is>
          <t>Mitsubishi</t>
        </is>
      </c>
      <c r="D962" s="18" t="inlineStr">
        <is>
          <t>Outlander Sport</t>
        </is>
      </c>
      <c r="E962" s="18" t="inlineStr">
        <is>
          <t>2011-2025</t>
        </is>
      </c>
      <c r="F962" s="18" t="inlineStr"/>
      <c r="G962" s="18" t="inlineStr">
        <is>
          <t>SUV</t>
        </is>
      </c>
      <c r="H962" s="18" t="inlineStr">
        <is>
          <t>YM+</t>
        </is>
      </c>
      <c r="I962" s="19">
        <f t="array" ref="I962">TRIM(_xlfn.XLOOKUP(非皮卡压缩表[[#This Row],[BACKSIZE]],ALL尺码表[内部尺码],ALL尺码表[分类],""))</f>
        <v/>
      </c>
      <c r="J962" s="19">
        <f t="array" ref="J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2" s="20">
        <f>LEN(非皮卡压缩表[[#This Row],[LONG-TYPE]])</f>
        <v/>
      </c>
      <c r="L962" s="21">
        <f t="array" ref="L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2" s="22">
        <f>LEN(非皮卡压缩表[[#This Row],[TYPE]])</f>
        <v/>
      </c>
      <c r="N962" s="22">
        <f t="array" ref="N962">_xlfn.XLOOKUP(非皮卡压缩表[[#This Row],[MODEL]],MODEL缩写表[长MODEL],MODEL缩写表[短MODEL],非皮卡压缩表[[#This Row],[MODEL]])</f>
        <v/>
      </c>
      <c r="O962" s="22">
        <f>LEN(非皮卡压缩表[[#This Row],[SHORT-MODEL]])</f>
        <v/>
      </c>
      <c r="P962" s="11">
        <f t="array" ref="P962">TRIM(_xlfn.XLOOKUP(非皮卡压缩表[[#This Row],[BACKSIZE]],ALL尺码表[内部尺码],ALL尺码表[通用尺码]))</f>
        <v/>
      </c>
    </row>
    <row r="963">
      <c r="A963" s="17" t="inlineStr">
        <is>
          <t>ALL</t>
        </is>
      </c>
      <c r="B963" s="18" t="inlineStr">
        <is>
          <t>Mitsubishi i-MiEV</t>
        </is>
      </c>
      <c r="C963" s="18" t="inlineStr">
        <is>
          <t>Mitsubishi</t>
        </is>
      </c>
      <c r="D963" s="18" t="inlineStr">
        <is>
          <t>i-MiEV</t>
        </is>
      </c>
      <c r="E963" s="18" t="inlineStr">
        <is>
          <t>2012-2017</t>
        </is>
      </c>
      <c r="F963" s="18" t="inlineStr"/>
      <c r="G963" s="18" t="inlineStr">
        <is>
          <t>Hatchback</t>
        </is>
      </c>
      <c r="H963" s="18" t="inlineStr">
        <is>
          <t>2M</t>
        </is>
      </c>
      <c r="I963" s="19">
        <f t="array" ref="I963">TRIM(_xlfn.XLOOKUP(非皮卡压缩表[[#This Row],[BACKSIZE]],ALL尺码表[内部尺码],ALL尺码表[分类],""))</f>
        <v/>
      </c>
      <c r="J963" s="19">
        <f t="array" ref="J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3" s="20">
        <f>LEN(非皮卡压缩表[[#This Row],[LONG-TYPE]])</f>
        <v/>
      </c>
      <c r="L963" s="21">
        <f t="array" ref="L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3" s="22">
        <f>LEN(非皮卡压缩表[[#This Row],[TYPE]])</f>
        <v/>
      </c>
      <c r="N963" s="22">
        <f t="array" ref="N963">_xlfn.XLOOKUP(非皮卡压缩表[[#This Row],[MODEL]],MODEL缩写表[长MODEL],MODEL缩写表[短MODEL],非皮卡压缩表[[#This Row],[MODEL]])</f>
        <v/>
      </c>
      <c r="O963" s="22">
        <f>LEN(非皮卡压缩表[[#This Row],[SHORT-MODEL]])</f>
        <v/>
      </c>
      <c r="P963" s="11">
        <f t="array" ref="P963">TRIM(_xlfn.XLOOKUP(非皮卡压缩表[[#This Row],[BACKSIZE]],ALL尺码表[内部尺码],ALL尺码表[通用尺码]))</f>
        <v/>
      </c>
    </row>
    <row r="964">
      <c r="A964" s="17" t="inlineStr">
        <is>
          <t>ALL</t>
        </is>
      </c>
      <c r="B964" s="18" t="inlineStr">
        <is>
          <t>Nissan 240SX</t>
        </is>
      </c>
      <c r="C964" s="18" t="inlineStr">
        <is>
          <t>Nissan</t>
        </is>
      </c>
      <c r="D964" s="18" t="inlineStr">
        <is>
          <t>240SX</t>
        </is>
      </c>
      <c r="E964" s="18" t="inlineStr">
        <is>
          <t>1989-1992</t>
        </is>
      </c>
      <c r="F964" s="18" t="inlineStr"/>
      <c r="G964" s="18" t="inlineStr">
        <is>
          <t>Hatchback</t>
        </is>
      </c>
      <c r="H964" s="18" t="inlineStr">
        <is>
          <t>2L+</t>
        </is>
      </c>
      <c r="I964" s="19">
        <f t="array" ref="I964">TRIM(_xlfn.XLOOKUP(非皮卡压缩表[[#This Row],[BACKSIZE]],ALL尺码表[内部尺码],ALL尺码表[分类],""))</f>
        <v/>
      </c>
      <c r="J964" s="19">
        <f t="array" ref="J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4" s="20">
        <f>LEN(非皮卡压缩表[[#This Row],[LONG-TYPE]])</f>
        <v/>
      </c>
      <c r="L964" s="21">
        <f t="array" ref="L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4" s="22">
        <f>LEN(非皮卡压缩表[[#This Row],[TYPE]])</f>
        <v/>
      </c>
      <c r="N964" s="22">
        <f t="array" ref="N964">_xlfn.XLOOKUP(非皮卡压缩表[[#This Row],[MODEL]],MODEL缩写表[长MODEL],MODEL缩写表[短MODEL],非皮卡压缩表[[#This Row],[MODEL]])</f>
        <v/>
      </c>
      <c r="O964" s="22">
        <f>LEN(非皮卡压缩表[[#This Row],[SHORT-MODEL]])</f>
        <v/>
      </c>
      <c r="P964" s="11">
        <f t="array" ref="P964">TRIM(_xlfn.XLOOKUP(非皮卡压缩表[[#This Row],[BACKSIZE]],ALL尺码表[内部尺码],ALL尺码表[通用尺码]))</f>
        <v/>
      </c>
    </row>
    <row r="965">
      <c r="A965" s="17" t="inlineStr">
        <is>
          <t>ALL</t>
        </is>
      </c>
      <c r="B965" s="18" t="inlineStr">
        <is>
          <t>Nissan 240SX</t>
        </is>
      </c>
      <c r="C965" s="18" t="inlineStr">
        <is>
          <t>Nissan</t>
        </is>
      </c>
      <c r="D965" s="18" t="inlineStr">
        <is>
          <t>240SX</t>
        </is>
      </c>
      <c r="E965" s="18" t="inlineStr">
        <is>
          <t>1989-1998</t>
        </is>
      </c>
      <c r="F965" s="18" t="inlineStr"/>
      <c r="G965" s="18" t="inlineStr">
        <is>
          <t>Convertible/Coupe</t>
        </is>
      </c>
      <c r="H965" s="18" t="inlineStr">
        <is>
          <t>3M-0</t>
        </is>
      </c>
      <c r="I965" s="19">
        <f t="array" ref="I965">TRIM(_xlfn.XLOOKUP(非皮卡压缩表[[#This Row],[BACKSIZE]],ALL尺码表[内部尺码],ALL尺码表[分类],""))</f>
        <v/>
      </c>
      <c r="J965" s="19">
        <f t="array" ref="J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5" s="20">
        <f>LEN(非皮卡压缩表[[#This Row],[LONG-TYPE]])</f>
        <v/>
      </c>
      <c r="L965" s="21">
        <f t="array" ref="L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5" s="22">
        <f>LEN(非皮卡压缩表[[#This Row],[TYPE]])</f>
        <v/>
      </c>
      <c r="N965" s="22">
        <f t="array" ref="N965">_xlfn.XLOOKUP(非皮卡压缩表[[#This Row],[MODEL]],MODEL缩写表[长MODEL],MODEL缩写表[短MODEL],非皮卡压缩表[[#This Row],[MODEL]])</f>
        <v/>
      </c>
      <c r="O965" s="22">
        <f>LEN(非皮卡压缩表[[#This Row],[SHORT-MODEL]])</f>
        <v/>
      </c>
      <c r="P965" s="11">
        <f t="array" ref="P965">TRIM(_xlfn.XLOOKUP(非皮卡压缩表[[#This Row],[BACKSIZE]],ALL尺码表[内部尺码],ALL尺码表[通用尺码]))</f>
        <v/>
      </c>
    </row>
    <row r="966">
      <c r="A966" s="17" t="inlineStr">
        <is>
          <t>ALL</t>
        </is>
      </c>
      <c r="B966" s="18" t="inlineStr">
        <is>
          <t>Nissan 300ZX</t>
        </is>
      </c>
      <c r="C966" s="18" t="inlineStr">
        <is>
          <t>Nissan</t>
        </is>
      </c>
      <c r="D966" s="18" t="inlineStr">
        <is>
          <t>300ZX</t>
        </is>
      </c>
      <c r="E966" s="18" t="inlineStr">
        <is>
          <t>1984-1985</t>
        </is>
      </c>
      <c r="F966" s="18" t="inlineStr"/>
      <c r="G966" s="18" t="inlineStr">
        <is>
          <t>Coupe</t>
        </is>
      </c>
      <c r="H966" s="18" t="inlineStr">
        <is>
          <t>3M-0</t>
        </is>
      </c>
      <c r="I966" s="19">
        <f t="array" ref="I966">TRIM(_xlfn.XLOOKUP(非皮卡压缩表[[#This Row],[BACKSIZE]],ALL尺码表[内部尺码],ALL尺码表[分类],""))</f>
        <v/>
      </c>
      <c r="J966" s="19">
        <f t="array" ref="J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6" s="20">
        <f>LEN(非皮卡压缩表[[#This Row],[LONG-TYPE]])</f>
        <v/>
      </c>
      <c r="L966" s="21">
        <f t="array" ref="L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6" s="22">
        <f>LEN(非皮卡压缩表[[#This Row],[TYPE]])</f>
        <v/>
      </c>
      <c r="N966" s="22">
        <f t="array" ref="N966">_xlfn.XLOOKUP(非皮卡压缩表[[#This Row],[MODEL]],MODEL缩写表[长MODEL],MODEL缩写表[短MODEL],非皮卡压缩表[[#This Row],[MODEL]])</f>
        <v/>
      </c>
      <c r="O966" s="22">
        <f>LEN(非皮卡压缩表[[#This Row],[SHORT-MODEL]])</f>
        <v/>
      </c>
      <c r="P966" s="11">
        <f t="array" ref="P966">TRIM(_xlfn.XLOOKUP(非皮卡压缩表[[#This Row],[BACKSIZE]],ALL尺码表[内部尺码],ALL尺码表[通用尺码]))</f>
        <v/>
      </c>
    </row>
    <row r="967">
      <c r="A967" s="17" t="inlineStr">
        <is>
          <t>ALL</t>
        </is>
      </c>
      <c r="B967" s="18" t="inlineStr">
        <is>
          <t>Nissan 300ZX</t>
        </is>
      </c>
      <c r="C967" s="18" t="inlineStr">
        <is>
          <t>Nissan</t>
        </is>
      </c>
      <c r="D967" s="18" t="inlineStr">
        <is>
          <t>300ZX</t>
        </is>
      </c>
      <c r="E967" s="18" t="inlineStr">
        <is>
          <t>1986-1989</t>
        </is>
      </c>
      <c r="F967" s="18" t="inlineStr"/>
      <c r="G967" s="18" t="inlineStr">
        <is>
          <t>Coupe</t>
        </is>
      </c>
      <c r="H967" s="18" t="inlineStr">
        <is>
          <t>3L-0</t>
        </is>
      </c>
      <c r="I967" s="19">
        <f t="array" ref="I967">TRIM(_xlfn.XLOOKUP(非皮卡压缩表[[#This Row],[BACKSIZE]],ALL尺码表[内部尺码],ALL尺码表[分类],""))</f>
        <v/>
      </c>
      <c r="J967" s="19">
        <f t="array" ref="J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7" s="20">
        <f>LEN(非皮卡压缩表[[#This Row],[LONG-TYPE]])</f>
        <v/>
      </c>
      <c r="L967" s="21">
        <f t="array" ref="L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7" s="22">
        <f>LEN(非皮卡压缩表[[#This Row],[TYPE]])</f>
        <v/>
      </c>
      <c r="N967" s="22">
        <f t="array" ref="N967">_xlfn.XLOOKUP(非皮卡压缩表[[#This Row],[MODEL]],MODEL缩写表[长MODEL],MODEL缩写表[短MODEL],非皮卡压缩表[[#This Row],[MODEL]])</f>
        <v/>
      </c>
      <c r="O967" s="22">
        <f>LEN(非皮卡压缩表[[#This Row],[SHORT-MODEL]])</f>
        <v/>
      </c>
      <c r="P967" s="11">
        <f t="array" ref="P967">TRIM(_xlfn.XLOOKUP(非皮卡压缩表[[#This Row],[BACKSIZE]],ALL尺码表[内部尺码],ALL尺码表[通用尺码]))</f>
        <v/>
      </c>
    </row>
    <row r="968" ht="30" customHeight="1" s="23">
      <c r="A968" s="17" t="inlineStr">
        <is>
          <t>ALL</t>
        </is>
      </c>
      <c r="B968" s="18" t="inlineStr">
        <is>
          <t>Nissan 300ZX</t>
        </is>
      </c>
      <c r="C968" s="18" t="inlineStr">
        <is>
          <t>Nissan</t>
        </is>
      </c>
      <c r="D968" s="18" t="inlineStr">
        <is>
          <t>300ZX</t>
        </is>
      </c>
      <c r="E968" s="18" t="inlineStr">
        <is>
          <t>1990-1996</t>
        </is>
      </c>
      <c r="F968" s="18" t="inlineStr">
        <is>
          <t>Incl: 2+2</t>
        </is>
      </c>
      <c r="G968" s="18" t="inlineStr">
        <is>
          <t>Convertible/Coupe</t>
        </is>
      </c>
      <c r="H968" s="18" t="inlineStr">
        <is>
          <t>3M-0</t>
        </is>
      </c>
      <c r="I968" s="19">
        <f t="array" ref="I968">TRIM(_xlfn.XLOOKUP(非皮卡压缩表[[#This Row],[BACKSIZE]],ALL尺码表[内部尺码],ALL尺码表[分类],""))</f>
        <v/>
      </c>
      <c r="J968" s="19">
        <f t="array" ref="J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8" s="20">
        <f>LEN(非皮卡压缩表[[#This Row],[LONG-TYPE]])</f>
        <v/>
      </c>
      <c r="L968" s="21">
        <f t="array" ref="L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8" s="22">
        <f>LEN(非皮卡压缩表[[#This Row],[TYPE]])</f>
        <v/>
      </c>
      <c r="N968" s="22">
        <f t="array" ref="N968">_xlfn.XLOOKUP(非皮卡压缩表[[#This Row],[MODEL]],MODEL缩写表[长MODEL],MODEL缩写表[短MODEL],非皮卡压缩表[[#This Row],[MODEL]])</f>
        <v/>
      </c>
      <c r="O968" s="22">
        <f>LEN(非皮卡压缩表[[#This Row],[SHORT-MODEL]])</f>
        <v/>
      </c>
      <c r="P968" s="11">
        <f t="array" ref="P968">TRIM(_xlfn.XLOOKUP(非皮卡压缩表[[#This Row],[BACKSIZE]],ALL尺码表[内部尺码],ALL尺码表[通用尺码]))</f>
        <v/>
      </c>
    </row>
    <row r="969">
      <c r="A969" s="17" t="inlineStr">
        <is>
          <t>ALL</t>
        </is>
      </c>
      <c r="B969" s="18" t="inlineStr">
        <is>
          <t>Nissan 350Z</t>
        </is>
      </c>
      <c r="C969" s="18" t="inlineStr">
        <is>
          <t>Nissan</t>
        </is>
      </c>
      <c r="D969" s="18" t="inlineStr">
        <is>
          <t>350Z</t>
        </is>
      </c>
      <c r="E969" s="18" t="inlineStr">
        <is>
          <t>2003-2009</t>
        </is>
      </c>
      <c r="F969" s="18" t="inlineStr"/>
      <c r="G969" s="18" t="inlineStr">
        <is>
          <t>Convertible/Coupe</t>
        </is>
      </c>
      <c r="H969" s="18" t="inlineStr">
        <is>
          <t>3M-0</t>
        </is>
      </c>
      <c r="I969" s="19">
        <f t="array" ref="I969">TRIM(_xlfn.XLOOKUP(非皮卡压缩表[[#This Row],[BACKSIZE]],ALL尺码表[内部尺码],ALL尺码表[分类],""))</f>
        <v/>
      </c>
      <c r="J969" s="19">
        <f t="array" ref="J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9" s="20">
        <f>LEN(非皮卡压缩表[[#This Row],[LONG-TYPE]])</f>
        <v/>
      </c>
      <c r="L969" s="21">
        <f t="array" ref="L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9" s="22">
        <f>LEN(非皮卡压缩表[[#This Row],[TYPE]])</f>
        <v/>
      </c>
      <c r="N969" s="22">
        <f t="array" ref="N969">_xlfn.XLOOKUP(非皮卡压缩表[[#This Row],[MODEL]],MODEL缩写表[长MODEL],MODEL缩写表[短MODEL],非皮卡压缩表[[#This Row],[MODEL]])</f>
        <v/>
      </c>
      <c r="O969" s="22">
        <f>LEN(非皮卡压缩表[[#This Row],[SHORT-MODEL]])</f>
        <v/>
      </c>
      <c r="P969" s="11">
        <f t="array" ref="P969">TRIM(_xlfn.XLOOKUP(非皮卡压缩表[[#This Row],[BACKSIZE]],ALL尺码表[内部尺码],ALL尺码表[通用尺码]))</f>
        <v/>
      </c>
    </row>
    <row r="970">
      <c r="A970" s="17" t="inlineStr">
        <is>
          <t>ALL</t>
        </is>
      </c>
      <c r="B970" s="18" t="inlineStr">
        <is>
          <t>Nissan 370Z</t>
        </is>
      </c>
      <c r="C970" s="18" t="inlineStr">
        <is>
          <t>Nissan</t>
        </is>
      </c>
      <c r="D970" s="18" t="inlineStr">
        <is>
          <t>370Z</t>
        </is>
      </c>
      <c r="E970" s="18" t="inlineStr">
        <is>
          <t>2009-2020</t>
        </is>
      </c>
      <c r="F970" s="18" t="inlineStr">
        <is>
          <t>Incl: NISMO</t>
        </is>
      </c>
      <c r="G970" s="18" t="inlineStr">
        <is>
          <t>Convertible/Coupe</t>
        </is>
      </c>
      <c r="H970" s="18" t="inlineStr">
        <is>
          <t>3M-0</t>
        </is>
      </c>
      <c r="I970" s="19">
        <f t="array" ref="I970">TRIM(_xlfn.XLOOKUP(非皮卡压缩表[[#This Row],[BACKSIZE]],ALL尺码表[内部尺码],ALL尺码表[分类],""))</f>
        <v/>
      </c>
      <c r="J970" s="19">
        <f t="array" ref="J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0" s="20">
        <f>LEN(非皮卡压缩表[[#This Row],[LONG-TYPE]])</f>
        <v/>
      </c>
      <c r="L970" s="21">
        <f t="array" ref="L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0" s="22">
        <f>LEN(非皮卡压缩表[[#This Row],[TYPE]])</f>
        <v/>
      </c>
      <c r="N970" s="22">
        <f t="array" ref="N970">_xlfn.XLOOKUP(非皮卡压缩表[[#This Row],[MODEL]],MODEL缩写表[长MODEL],MODEL缩写表[短MODEL],非皮卡压缩表[[#This Row],[MODEL]])</f>
        <v/>
      </c>
      <c r="O970" s="22">
        <f>LEN(非皮卡压缩表[[#This Row],[SHORT-MODEL]])</f>
        <v/>
      </c>
      <c r="P970" s="11">
        <f t="array" ref="P970">TRIM(_xlfn.XLOOKUP(非皮卡压缩表[[#This Row],[BACKSIZE]],ALL尺码表[内部尺码],ALL尺码表[通用尺码]))</f>
        <v/>
      </c>
    </row>
    <row r="971">
      <c r="A971" s="17" t="inlineStr">
        <is>
          <t>ALL</t>
        </is>
      </c>
      <c r="B971" s="18" t="inlineStr">
        <is>
          <t>Nissan Altima</t>
        </is>
      </c>
      <c r="C971" s="18" t="inlineStr">
        <is>
          <t>Nissan</t>
        </is>
      </c>
      <c r="D971" s="18" t="inlineStr">
        <is>
          <t>Altima</t>
        </is>
      </c>
      <c r="E971" s="18" t="inlineStr">
        <is>
          <t>1993-1997</t>
        </is>
      </c>
      <c r="F971" s="18" t="inlineStr"/>
      <c r="G971" s="18" t="inlineStr">
        <is>
          <t>Sedan</t>
        </is>
      </c>
      <c r="H971" s="18" t="inlineStr">
        <is>
          <t>3L</t>
        </is>
      </c>
      <c r="I971" s="19">
        <f t="array" ref="I971">TRIM(_xlfn.XLOOKUP(非皮卡压缩表[[#This Row],[BACKSIZE]],ALL尺码表[内部尺码],ALL尺码表[分类],""))</f>
        <v/>
      </c>
      <c r="J971" s="19">
        <f t="array" ref="J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1" s="20">
        <f>LEN(非皮卡压缩表[[#This Row],[LONG-TYPE]])</f>
        <v/>
      </c>
      <c r="L971" s="21">
        <f t="array" ref="L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1" s="22">
        <f>LEN(非皮卡压缩表[[#This Row],[TYPE]])</f>
        <v/>
      </c>
      <c r="N971" s="22">
        <f t="array" ref="N971">_xlfn.XLOOKUP(非皮卡压缩表[[#This Row],[MODEL]],MODEL缩写表[长MODEL],MODEL缩写表[短MODEL],非皮卡压缩表[[#This Row],[MODEL]])</f>
        <v/>
      </c>
      <c r="O971" s="22">
        <f>LEN(非皮卡压缩表[[#This Row],[SHORT-MODEL]])</f>
        <v/>
      </c>
      <c r="P971" s="11">
        <f t="array" ref="P971">TRIM(_xlfn.XLOOKUP(非皮卡压缩表[[#This Row],[BACKSIZE]],ALL尺码表[内部尺码],ALL尺码表[通用尺码]))</f>
        <v/>
      </c>
    </row>
    <row r="972">
      <c r="A972" s="17" t="inlineStr">
        <is>
          <t>ALL</t>
        </is>
      </c>
      <c r="B972" s="18" t="inlineStr">
        <is>
          <t>Nissan Altima</t>
        </is>
      </c>
      <c r="C972" s="18" t="inlineStr">
        <is>
          <t>Nissan</t>
        </is>
      </c>
      <c r="D972" s="18" t="inlineStr">
        <is>
          <t>Altima</t>
        </is>
      </c>
      <c r="E972" s="18" t="inlineStr">
        <is>
          <t>1998-2018</t>
        </is>
      </c>
      <c r="F972" s="18" t="inlineStr"/>
      <c r="G972" s="18" t="inlineStr">
        <is>
          <t>Sedan</t>
        </is>
      </c>
      <c r="H972" s="18" t="inlineStr">
        <is>
          <t>3XL</t>
        </is>
      </c>
      <c r="I972" s="19">
        <f t="array" ref="I972">TRIM(_xlfn.XLOOKUP(非皮卡压缩表[[#This Row],[BACKSIZE]],ALL尺码表[内部尺码],ALL尺码表[分类],""))</f>
        <v/>
      </c>
      <c r="J972" s="19">
        <f t="array" ref="J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2" s="20">
        <f>LEN(非皮卡压缩表[[#This Row],[LONG-TYPE]])</f>
        <v/>
      </c>
      <c r="L972" s="21">
        <f t="array" ref="L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2" s="22">
        <f>LEN(非皮卡压缩表[[#This Row],[TYPE]])</f>
        <v/>
      </c>
      <c r="N972" s="22">
        <f t="array" ref="N972">_xlfn.XLOOKUP(非皮卡压缩表[[#This Row],[MODEL]],MODEL缩写表[长MODEL],MODEL缩写表[短MODEL],非皮卡压缩表[[#This Row],[MODEL]])</f>
        <v/>
      </c>
      <c r="O972" s="22">
        <f>LEN(非皮卡压缩表[[#This Row],[SHORT-MODEL]])</f>
        <v/>
      </c>
      <c r="P972" s="11">
        <f t="array" ref="P972">TRIM(_xlfn.XLOOKUP(非皮卡压缩表[[#This Row],[BACKSIZE]],ALL尺码表[内部尺码],ALL尺码表[通用尺码]))</f>
        <v/>
      </c>
    </row>
    <row r="973">
      <c r="A973" s="17" t="inlineStr">
        <is>
          <t>ALL</t>
        </is>
      </c>
      <c r="B973" s="18" t="inlineStr">
        <is>
          <t>Nissan Altima</t>
        </is>
      </c>
      <c r="C973" s="18" t="inlineStr">
        <is>
          <t>Nissan</t>
        </is>
      </c>
      <c r="D973" s="18" t="inlineStr">
        <is>
          <t>Altima</t>
        </is>
      </c>
      <c r="E973" s="18" t="inlineStr">
        <is>
          <t>2008-2013</t>
        </is>
      </c>
      <c r="F973" s="18" t="inlineStr"/>
      <c r="G973" s="18" t="inlineStr">
        <is>
          <t>Coupe</t>
        </is>
      </c>
      <c r="H973" s="18" t="inlineStr">
        <is>
          <t>3L-0</t>
        </is>
      </c>
      <c r="I973" s="19">
        <f t="array" ref="I973">TRIM(_xlfn.XLOOKUP(非皮卡压缩表[[#This Row],[BACKSIZE]],ALL尺码表[内部尺码],ALL尺码表[分类],""))</f>
        <v/>
      </c>
      <c r="J973" s="19">
        <f t="array" ref="J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3" s="20">
        <f>LEN(非皮卡压缩表[[#This Row],[LONG-TYPE]])</f>
        <v/>
      </c>
      <c r="L973" s="21">
        <f t="array" ref="L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3" s="22">
        <f>LEN(非皮卡压缩表[[#This Row],[TYPE]])</f>
        <v/>
      </c>
      <c r="N973" s="22">
        <f t="array" ref="N973">_xlfn.XLOOKUP(非皮卡压缩表[[#This Row],[MODEL]],MODEL缩写表[长MODEL],MODEL缩写表[短MODEL],非皮卡压缩表[[#This Row],[MODEL]])</f>
        <v/>
      </c>
      <c r="O973" s="22">
        <f>LEN(非皮卡压缩表[[#This Row],[SHORT-MODEL]])</f>
        <v/>
      </c>
      <c r="P973" s="11">
        <f t="array" ref="P973">TRIM(_xlfn.XLOOKUP(非皮卡压缩表[[#This Row],[BACKSIZE]],ALL尺码表[内部尺码],ALL尺码表[通用尺码]))</f>
        <v/>
      </c>
    </row>
    <row r="974">
      <c r="A974" s="17" t="inlineStr">
        <is>
          <t>ALL</t>
        </is>
      </c>
      <c r="B974" s="18" t="inlineStr">
        <is>
          <t>Nissan Altima</t>
        </is>
      </c>
      <c r="C974" s="18" t="inlineStr">
        <is>
          <t>Nissan</t>
        </is>
      </c>
      <c r="D974" s="18" t="inlineStr">
        <is>
          <t>Altima</t>
        </is>
      </c>
      <c r="E974" s="18" t="inlineStr">
        <is>
          <t>2019-2026</t>
        </is>
      </c>
      <c r="F974" s="18" t="inlineStr"/>
      <c r="G974" s="18" t="inlineStr">
        <is>
          <t>Sedan</t>
        </is>
      </c>
      <c r="H974" s="18" t="inlineStr">
        <is>
          <t>3XXL</t>
        </is>
      </c>
      <c r="I974" s="19">
        <f t="array" ref="I974">TRIM(_xlfn.XLOOKUP(非皮卡压缩表[[#This Row],[BACKSIZE]],ALL尺码表[内部尺码],ALL尺码表[分类],""))</f>
        <v/>
      </c>
      <c r="J974" s="19">
        <f t="array" ref="J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4" s="20">
        <f>LEN(非皮卡压缩表[[#This Row],[LONG-TYPE]])</f>
        <v/>
      </c>
      <c r="L974" s="21">
        <f t="array" ref="L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4" s="22">
        <f>LEN(非皮卡压缩表[[#This Row],[TYPE]])</f>
        <v/>
      </c>
      <c r="N974" s="22">
        <f t="array" ref="N974">_xlfn.XLOOKUP(非皮卡压缩表[[#This Row],[MODEL]],MODEL缩写表[长MODEL],MODEL缩写表[短MODEL],非皮卡压缩表[[#This Row],[MODEL]])</f>
        <v/>
      </c>
      <c r="O974" s="22">
        <f>LEN(非皮卡压缩表[[#This Row],[SHORT-MODEL]])</f>
        <v/>
      </c>
      <c r="P974" s="11">
        <f t="array" ref="P974">TRIM(_xlfn.XLOOKUP(非皮卡压缩表[[#This Row],[BACKSIZE]],ALL尺码表[内部尺码],ALL尺码表[通用尺码]))</f>
        <v/>
      </c>
    </row>
    <row r="975">
      <c r="A975" s="17" t="inlineStr">
        <is>
          <t>ALL</t>
        </is>
      </c>
      <c r="B975" s="18" t="inlineStr">
        <is>
          <t>Nissan Ariya</t>
        </is>
      </c>
      <c r="C975" s="18" t="inlineStr">
        <is>
          <t>Nissan</t>
        </is>
      </c>
      <c r="D975" s="18" t="inlineStr">
        <is>
          <t>Ariya</t>
        </is>
      </c>
      <c r="E975" s="18" t="inlineStr">
        <is>
          <t>2023-2026</t>
        </is>
      </c>
      <c r="F975" s="18" t="inlineStr"/>
      <c r="G975" s="18" t="inlineStr">
        <is>
          <t>SUV</t>
        </is>
      </c>
      <c r="H975" s="18" t="inlineStr">
        <is>
          <t>YL</t>
        </is>
      </c>
      <c r="I975" s="19">
        <f t="array" ref="I975">TRIM(_xlfn.XLOOKUP(非皮卡压缩表[[#This Row],[BACKSIZE]],ALL尺码表[内部尺码],ALL尺码表[分类],""))</f>
        <v/>
      </c>
      <c r="J975" s="19">
        <f t="array" ref="J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5" s="20">
        <f>LEN(非皮卡压缩表[[#This Row],[LONG-TYPE]])</f>
        <v/>
      </c>
      <c r="L975" s="21">
        <f t="array" ref="L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5" s="22">
        <f>LEN(非皮卡压缩表[[#This Row],[TYPE]])</f>
        <v/>
      </c>
      <c r="N975" s="22">
        <f t="array" ref="N975">_xlfn.XLOOKUP(非皮卡压缩表[[#This Row],[MODEL]],MODEL缩写表[长MODEL],MODEL缩写表[短MODEL],非皮卡压缩表[[#This Row],[MODEL]])</f>
        <v/>
      </c>
      <c r="O975" s="22">
        <f>LEN(非皮卡压缩表[[#This Row],[SHORT-MODEL]])</f>
        <v/>
      </c>
      <c r="P975" s="11">
        <f t="array" ref="P975">TRIM(_xlfn.XLOOKUP(非皮卡压缩表[[#This Row],[BACKSIZE]],ALL尺码表[内部尺码],ALL尺码表[通用尺码]))</f>
        <v/>
      </c>
    </row>
    <row r="976">
      <c r="A976" s="17" t="inlineStr">
        <is>
          <t>ALL</t>
        </is>
      </c>
      <c r="B976" s="18" t="inlineStr">
        <is>
          <t>Nissan Armada</t>
        </is>
      </c>
      <c r="C976" s="18" t="inlineStr">
        <is>
          <t>Nissan</t>
        </is>
      </c>
      <c r="D976" s="18" t="inlineStr">
        <is>
          <t>Armada</t>
        </is>
      </c>
      <c r="E976" s="18" t="inlineStr">
        <is>
          <t>2004-2007</t>
        </is>
      </c>
      <c r="F976" s="18" t="inlineStr"/>
      <c r="G976" s="18" t="inlineStr">
        <is>
          <t>SUV</t>
        </is>
      </c>
      <c r="H976" s="18" t="inlineStr">
        <is>
          <t>YXXL</t>
        </is>
      </c>
      <c r="I976" s="19">
        <f t="array" ref="I976">TRIM(_xlfn.XLOOKUP(非皮卡压缩表[[#This Row],[BACKSIZE]],ALL尺码表[内部尺码],ALL尺码表[分类],""))</f>
        <v/>
      </c>
      <c r="J976" s="19">
        <f t="array" ref="J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6" s="20">
        <f>LEN(非皮卡压缩表[[#This Row],[LONG-TYPE]])</f>
        <v/>
      </c>
      <c r="L976" s="21">
        <f t="array" ref="L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6" s="22">
        <f>LEN(非皮卡压缩表[[#This Row],[TYPE]])</f>
        <v/>
      </c>
      <c r="N976" s="22">
        <f t="array" ref="N976">_xlfn.XLOOKUP(非皮卡压缩表[[#This Row],[MODEL]],MODEL缩写表[长MODEL],MODEL缩写表[短MODEL],非皮卡压缩表[[#This Row],[MODEL]])</f>
        <v/>
      </c>
      <c r="O976" s="22">
        <f>LEN(非皮卡压缩表[[#This Row],[SHORT-MODEL]])</f>
        <v/>
      </c>
      <c r="P976" s="11">
        <f t="array" ref="P976">TRIM(_xlfn.XLOOKUP(非皮卡压缩表[[#This Row],[BACKSIZE]],ALL尺码表[内部尺码],ALL尺码表[通用尺码]))</f>
        <v/>
      </c>
    </row>
    <row r="977">
      <c r="A977" s="17" t="inlineStr">
        <is>
          <t>ALL</t>
        </is>
      </c>
      <c r="B977" s="18" t="inlineStr">
        <is>
          <t>Nissan Armada</t>
        </is>
      </c>
      <c r="C977" s="18" t="inlineStr">
        <is>
          <t>Nissan</t>
        </is>
      </c>
      <c r="D977" s="18" t="inlineStr">
        <is>
          <t>Armada</t>
        </is>
      </c>
      <c r="E977" s="18" t="inlineStr">
        <is>
          <t>2008-2026</t>
        </is>
      </c>
      <c r="F977" s="18" t="inlineStr">
        <is>
          <t>Incl: NISMO/PRO-4X</t>
        </is>
      </c>
      <c r="G977" s="18" t="inlineStr">
        <is>
          <t>SUV</t>
        </is>
      </c>
      <c r="H977" s="18" t="inlineStr">
        <is>
          <t>YXXL-545</t>
        </is>
      </c>
      <c r="I977" s="19">
        <f t="array" ref="I977">TRIM(_xlfn.XLOOKUP(非皮卡压缩表[[#This Row],[BACKSIZE]],ALL尺码表[内部尺码],ALL尺码表[分类],""))</f>
        <v/>
      </c>
      <c r="J977" s="19">
        <f t="array" ref="J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7" s="20">
        <f>LEN(非皮卡压缩表[[#This Row],[LONG-TYPE]])</f>
        <v/>
      </c>
      <c r="L977" s="21">
        <f t="array" ref="L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7" s="22">
        <f>LEN(非皮卡压缩表[[#This Row],[TYPE]])</f>
        <v/>
      </c>
      <c r="N977" s="22">
        <f t="array" ref="N977">_xlfn.XLOOKUP(非皮卡压缩表[[#This Row],[MODEL]],MODEL缩写表[长MODEL],MODEL缩写表[短MODEL],非皮卡压缩表[[#This Row],[MODEL]])</f>
        <v/>
      </c>
      <c r="O977" s="22">
        <f>LEN(非皮卡压缩表[[#This Row],[SHORT-MODEL]])</f>
        <v/>
      </c>
      <c r="P977" s="11">
        <f t="array" ref="P977">TRIM(_xlfn.XLOOKUP(非皮卡压缩表[[#This Row],[BACKSIZE]],ALL尺码表[内部尺码],ALL尺码表[通用尺码]))</f>
        <v/>
      </c>
    </row>
    <row r="978">
      <c r="A978" s="17" t="inlineStr">
        <is>
          <t>ALL</t>
        </is>
      </c>
      <c r="B978" s="18" t="inlineStr">
        <is>
          <t>Nissan Cube</t>
        </is>
      </c>
      <c r="C978" s="18" t="inlineStr">
        <is>
          <t>Nissan</t>
        </is>
      </c>
      <c r="D978" s="18" t="inlineStr">
        <is>
          <t>Cube</t>
        </is>
      </c>
      <c r="E978" s="18" t="inlineStr">
        <is>
          <t>2009-2014</t>
        </is>
      </c>
      <c r="F978" s="18" t="inlineStr"/>
      <c r="G978" s="18" t="inlineStr">
        <is>
          <t>Wagon</t>
        </is>
      </c>
      <c r="H978" s="18" t="inlineStr">
        <is>
          <t>2M</t>
        </is>
      </c>
      <c r="I978" s="19">
        <f t="array" ref="I978">TRIM(_xlfn.XLOOKUP(非皮卡压缩表[[#This Row],[BACKSIZE]],ALL尺码表[内部尺码],ALL尺码表[分类],""))</f>
        <v/>
      </c>
      <c r="J978" s="19">
        <f t="array" ref="J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8" s="20">
        <f>LEN(非皮卡压缩表[[#This Row],[LONG-TYPE]])</f>
        <v/>
      </c>
      <c r="L978" s="21">
        <f t="array" ref="L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8" s="22">
        <f>LEN(非皮卡压缩表[[#This Row],[TYPE]])</f>
        <v/>
      </c>
      <c r="N978" s="22">
        <f t="array" ref="N978">_xlfn.XLOOKUP(非皮卡压缩表[[#This Row],[MODEL]],MODEL缩写表[长MODEL],MODEL缩写表[短MODEL],非皮卡压缩表[[#This Row],[MODEL]])</f>
        <v/>
      </c>
      <c r="O978" s="22">
        <f>LEN(非皮卡压缩表[[#This Row],[SHORT-MODEL]])</f>
        <v/>
      </c>
      <c r="P978" s="11">
        <f t="array" ref="P978">TRIM(_xlfn.XLOOKUP(非皮卡压缩表[[#This Row],[BACKSIZE]],ALL尺码表[内部尺码],ALL尺码表[通用尺码]))</f>
        <v/>
      </c>
    </row>
    <row r="979">
      <c r="A979" s="17" t="inlineStr">
        <is>
          <t>ALL</t>
        </is>
      </c>
      <c r="B979" s="18" t="inlineStr">
        <is>
          <t>Nissan GT-R</t>
        </is>
      </c>
      <c r="C979" s="18" t="inlineStr">
        <is>
          <t>Nissan</t>
        </is>
      </c>
      <c r="D979" s="18" t="inlineStr">
        <is>
          <t>GT-R</t>
        </is>
      </c>
      <c r="E979" s="18" t="inlineStr">
        <is>
          <t>2009-2016</t>
        </is>
      </c>
      <c r="F979" s="18" t="inlineStr"/>
      <c r="G979" s="18" t="inlineStr">
        <is>
          <t>Coupe</t>
        </is>
      </c>
      <c r="H979" s="18" t="inlineStr">
        <is>
          <t>3L-0</t>
        </is>
      </c>
      <c r="I979" s="19">
        <f t="array" ref="I979">TRIM(_xlfn.XLOOKUP(非皮卡压缩表[[#This Row],[BACKSIZE]],ALL尺码表[内部尺码],ALL尺码表[分类],""))</f>
        <v/>
      </c>
      <c r="J979" s="19">
        <f t="array" ref="J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9" s="20">
        <f>LEN(非皮卡压缩表[[#This Row],[LONG-TYPE]])</f>
        <v/>
      </c>
      <c r="L979" s="21">
        <f t="array" ref="L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9" s="22">
        <f>LEN(非皮卡压缩表[[#This Row],[TYPE]])</f>
        <v/>
      </c>
      <c r="N979" s="22">
        <f t="array" ref="N979">_xlfn.XLOOKUP(非皮卡压缩表[[#This Row],[MODEL]],MODEL缩写表[长MODEL],MODEL缩写表[短MODEL],非皮卡压缩表[[#This Row],[MODEL]])</f>
        <v/>
      </c>
      <c r="O979" s="22">
        <f>LEN(非皮卡压缩表[[#This Row],[SHORT-MODEL]])</f>
        <v/>
      </c>
      <c r="P979" s="11">
        <f t="array" ref="P979">TRIM(_xlfn.XLOOKUP(非皮卡压缩表[[#This Row],[BACKSIZE]],ALL尺码表[内部尺码],ALL尺码表[通用尺码]))</f>
        <v/>
      </c>
    </row>
    <row r="980">
      <c r="A980" s="17" t="inlineStr">
        <is>
          <t>ALL</t>
        </is>
      </c>
      <c r="B980" s="18" t="inlineStr">
        <is>
          <t>Nissan GT-R</t>
        </is>
      </c>
      <c r="C980" s="18" t="inlineStr">
        <is>
          <t>Nissan</t>
        </is>
      </c>
      <c r="D980" s="18" t="inlineStr">
        <is>
          <t>GT-R</t>
        </is>
      </c>
      <c r="E980" s="18" t="inlineStr">
        <is>
          <t>2017-2024</t>
        </is>
      </c>
      <c r="F980" s="18" t="inlineStr">
        <is>
          <t>NISMO</t>
        </is>
      </c>
      <c r="G980" s="18" t="inlineStr">
        <is>
          <t>Coupe</t>
        </is>
      </c>
      <c r="H980" s="18" t="inlineStr">
        <is>
          <t>3XL-0</t>
        </is>
      </c>
      <c r="I980" s="19">
        <f t="array" ref="I980">TRIM(_xlfn.XLOOKUP(非皮卡压缩表[[#This Row],[BACKSIZE]],ALL尺码表[内部尺码],ALL尺码表[分类],""))</f>
        <v/>
      </c>
      <c r="J980" s="19">
        <f t="array" ref="J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0" s="20">
        <f>LEN(非皮卡压缩表[[#This Row],[LONG-TYPE]])</f>
        <v/>
      </c>
      <c r="L980" s="21">
        <f t="array" ref="L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0" s="22">
        <f>LEN(非皮卡压缩表[[#This Row],[TYPE]])</f>
        <v/>
      </c>
      <c r="N980" s="22">
        <f t="array" ref="N980">_xlfn.XLOOKUP(非皮卡压缩表[[#This Row],[MODEL]],MODEL缩写表[长MODEL],MODEL缩写表[短MODEL],非皮卡压缩表[[#This Row],[MODEL]])</f>
        <v/>
      </c>
      <c r="O980" s="22">
        <f>LEN(非皮卡压缩表[[#This Row],[SHORT-MODEL]])</f>
        <v/>
      </c>
      <c r="P980" s="11">
        <f t="array" ref="P980">TRIM(_xlfn.XLOOKUP(非皮卡压缩表[[#This Row],[BACKSIZE]],ALL尺码表[内部尺码],ALL尺码表[通用尺码]))</f>
        <v/>
      </c>
    </row>
    <row r="981">
      <c r="A981" s="17" t="inlineStr">
        <is>
          <t>ALL</t>
        </is>
      </c>
      <c r="B981" s="18" t="inlineStr">
        <is>
          <t>Nissan Juke</t>
        </is>
      </c>
      <c r="C981" s="18" t="inlineStr">
        <is>
          <t>Nissan</t>
        </is>
      </c>
      <c r="D981" s="18" t="inlineStr">
        <is>
          <t>Juke</t>
        </is>
      </c>
      <c r="E981" s="18" t="inlineStr">
        <is>
          <t>2011-2017</t>
        </is>
      </c>
      <c r="F981" s="18" t="inlineStr"/>
      <c r="G981" s="18" t="inlineStr">
        <is>
          <t>CUV</t>
        </is>
      </c>
      <c r="H981" s="18" t="inlineStr">
        <is>
          <t>YM+</t>
        </is>
      </c>
      <c r="I981" s="19">
        <f t="array" ref="I981">TRIM(_xlfn.XLOOKUP(非皮卡压缩表[[#This Row],[BACKSIZE]],ALL尺码表[内部尺码],ALL尺码表[分类],""))</f>
        <v/>
      </c>
      <c r="J981" s="19">
        <f t="array" ref="J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1" s="20">
        <f>LEN(非皮卡压缩表[[#This Row],[LONG-TYPE]])</f>
        <v/>
      </c>
      <c r="L981" s="21">
        <f t="array" ref="L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1" s="22">
        <f>LEN(非皮卡压缩表[[#This Row],[TYPE]])</f>
        <v/>
      </c>
      <c r="N981" s="22">
        <f t="array" ref="N981">_xlfn.XLOOKUP(非皮卡压缩表[[#This Row],[MODEL]],MODEL缩写表[长MODEL],MODEL缩写表[短MODEL],非皮卡压缩表[[#This Row],[MODEL]])</f>
        <v/>
      </c>
      <c r="O981" s="22">
        <f>LEN(非皮卡压缩表[[#This Row],[SHORT-MODEL]])</f>
        <v/>
      </c>
      <c r="P981" s="11">
        <f t="array" ref="P981">TRIM(_xlfn.XLOOKUP(非皮卡压缩表[[#This Row],[BACKSIZE]],ALL尺码表[内部尺码],ALL尺码表[通用尺码]))</f>
        <v/>
      </c>
    </row>
    <row r="982">
      <c r="A982" s="17" t="inlineStr">
        <is>
          <t>ALL</t>
        </is>
      </c>
      <c r="B982" s="18" t="inlineStr">
        <is>
          <t>Nissan Kicks</t>
        </is>
      </c>
      <c r="C982" s="18" t="inlineStr">
        <is>
          <t>Nissan</t>
        </is>
      </c>
      <c r="D982" s="18" t="inlineStr">
        <is>
          <t>Kicks</t>
        </is>
      </c>
      <c r="E982" s="18" t="inlineStr">
        <is>
          <t>2018-2026</t>
        </is>
      </c>
      <c r="F982" s="18" t="inlineStr"/>
      <c r="G982" s="18" t="inlineStr">
        <is>
          <t>SUV</t>
        </is>
      </c>
      <c r="H982" s="18" t="inlineStr">
        <is>
          <t>YM+</t>
        </is>
      </c>
      <c r="I982" s="19">
        <f t="array" ref="I982">TRIM(_xlfn.XLOOKUP(非皮卡压缩表[[#This Row],[BACKSIZE]],ALL尺码表[内部尺码],ALL尺码表[分类],""))</f>
        <v/>
      </c>
      <c r="J982" s="19">
        <f t="array" ref="J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2" s="20">
        <f>LEN(非皮卡压缩表[[#This Row],[LONG-TYPE]])</f>
        <v/>
      </c>
      <c r="L982" s="21">
        <f t="array" ref="L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2" s="22">
        <f>LEN(非皮卡压缩表[[#This Row],[TYPE]])</f>
        <v/>
      </c>
      <c r="N982" s="22">
        <f t="array" ref="N982">_xlfn.XLOOKUP(非皮卡压缩表[[#This Row],[MODEL]],MODEL缩写表[长MODEL],MODEL缩写表[短MODEL],非皮卡压缩表[[#This Row],[MODEL]])</f>
        <v/>
      </c>
      <c r="O982" s="22">
        <f>LEN(非皮卡压缩表[[#This Row],[SHORT-MODEL]])</f>
        <v/>
      </c>
      <c r="P982" s="11">
        <f t="array" ref="P982">TRIM(_xlfn.XLOOKUP(非皮卡压缩表[[#This Row],[BACKSIZE]],ALL尺码表[内部尺码],ALL尺码表[通用尺码]))</f>
        <v/>
      </c>
    </row>
    <row r="983">
      <c r="A983" s="17" t="inlineStr">
        <is>
          <t>ALL</t>
        </is>
      </c>
      <c r="B983" s="18" t="inlineStr">
        <is>
          <t>Nissan Leaf</t>
        </is>
      </c>
      <c r="C983" s="18" t="inlineStr">
        <is>
          <t>Nissan</t>
        </is>
      </c>
      <c r="D983" s="18" t="inlineStr">
        <is>
          <t>Leaf</t>
        </is>
      </c>
      <c r="E983" s="18" t="inlineStr">
        <is>
          <t>2011-2025</t>
        </is>
      </c>
      <c r="F983" s="18" t="inlineStr"/>
      <c r="G983" s="18" t="inlineStr">
        <is>
          <t>Hatchback</t>
        </is>
      </c>
      <c r="H983" s="18" t="inlineStr">
        <is>
          <t>2L+</t>
        </is>
      </c>
      <c r="I983" s="19">
        <f t="array" ref="I983">TRIM(_xlfn.XLOOKUP(非皮卡压缩表[[#This Row],[BACKSIZE]],ALL尺码表[内部尺码],ALL尺码表[分类],""))</f>
        <v/>
      </c>
      <c r="J983" s="19">
        <f t="array" ref="J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3" s="20">
        <f>LEN(非皮卡压缩表[[#This Row],[LONG-TYPE]])</f>
        <v/>
      </c>
      <c r="L983" s="21">
        <f t="array" ref="L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3" s="22">
        <f>LEN(非皮卡压缩表[[#This Row],[TYPE]])</f>
        <v/>
      </c>
      <c r="N983" s="22">
        <f t="array" ref="N983">_xlfn.XLOOKUP(非皮卡压缩表[[#This Row],[MODEL]],MODEL缩写表[长MODEL],MODEL缩写表[短MODEL],非皮卡压缩表[[#This Row],[MODEL]])</f>
        <v/>
      </c>
      <c r="O983" s="22">
        <f>LEN(非皮卡压缩表[[#This Row],[SHORT-MODEL]])</f>
        <v/>
      </c>
      <c r="P983" s="11">
        <f t="array" ref="P983">TRIM(_xlfn.XLOOKUP(非皮卡压缩表[[#This Row],[BACKSIZE]],ALL尺码表[内部尺码],ALL尺码表[通用尺码]))</f>
        <v/>
      </c>
    </row>
    <row r="984">
      <c r="A984" s="17" t="inlineStr">
        <is>
          <t>ALL</t>
        </is>
      </c>
      <c r="B984" s="18" t="inlineStr">
        <is>
          <t>Nissan Leaf</t>
        </is>
      </c>
      <c r="C984" s="18" t="inlineStr">
        <is>
          <t>Nissan</t>
        </is>
      </c>
      <c r="D984" s="18" t="inlineStr">
        <is>
          <t>Leaf</t>
        </is>
      </c>
      <c r="E984" s="18" t="inlineStr">
        <is>
          <t>2026</t>
        </is>
      </c>
      <c r="F984" s="18" t="inlineStr"/>
      <c r="G984" s="18" t="inlineStr">
        <is>
          <t>CUV</t>
        </is>
      </c>
      <c r="H984" s="18" t="inlineStr">
        <is>
          <t>YM+</t>
        </is>
      </c>
      <c r="I984" s="19">
        <f t="array" ref="I984">TRIM(_xlfn.XLOOKUP(非皮卡压缩表[[#This Row],[BACKSIZE]],ALL尺码表[内部尺码],ALL尺码表[分类],""))</f>
        <v/>
      </c>
      <c r="J984" s="19">
        <f t="array" ref="J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4" s="20">
        <f>LEN(非皮卡压缩表[[#This Row],[LONG-TYPE]])</f>
        <v/>
      </c>
      <c r="L984" s="21">
        <f t="array" ref="L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4" s="22">
        <f>LEN(非皮卡压缩表[[#This Row],[TYPE]])</f>
        <v/>
      </c>
      <c r="N984" s="22">
        <f t="array" ref="N984">_xlfn.XLOOKUP(非皮卡压缩表[[#This Row],[MODEL]],MODEL缩写表[长MODEL],MODEL缩写表[短MODEL],非皮卡压缩表[[#This Row],[MODEL]])</f>
        <v/>
      </c>
      <c r="O984" s="22">
        <f>LEN(非皮卡压缩表[[#This Row],[SHORT-MODEL]])</f>
        <v/>
      </c>
      <c r="P984" s="11">
        <f t="array" ref="P984">TRIM(_xlfn.XLOOKUP(非皮卡压缩表[[#This Row],[BACKSIZE]],ALL尺码表[内部尺码],ALL尺码表[通用尺码]))</f>
        <v/>
      </c>
    </row>
    <row r="985">
      <c r="A985" s="17" t="inlineStr">
        <is>
          <t>ALL</t>
        </is>
      </c>
      <c r="B985" s="18" t="inlineStr">
        <is>
          <t>Nissan Maxima</t>
        </is>
      </c>
      <c r="C985" s="18" t="inlineStr">
        <is>
          <t>Nissan</t>
        </is>
      </c>
      <c r="D985" s="18" t="inlineStr">
        <is>
          <t>Maxima</t>
        </is>
      </c>
      <c r="E985" s="18" t="inlineStr">
        <is>
          <t>1981-1984</t>
        </is>
      </c>
      <c r="F985" s="18" t="inlineStr"/>
      <c r="G985" s="18" t="inlineStr">
        <is>
          <t>Wagon</t>
        </is>
      </c>
      <c r="H985" s="18" t="inlineStr">
        <is>
          <t>2XL</t>
        </is>
      </c>
      <c r="I985" s="19">
        <f t="array" ref="I985">TRIM(_xlfn.XLOOKUP(非皮卡压缩表[[#This Row],[BACKSIZE]],ALL尺码表[内部尺码],ALL尺码表[分类],""))</f>
        <v/>
      </c>
      <c r="J985" s="19">
        <f t="array" ref="J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5" s="20">
        <f>LEN(非皮卡压缩表[[#This Row],[LONG-TYPE]])</f>
        <v/>
      </c>
      <c r="L985" s="21">
        <f t="array" ref="L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5" s="22">
        <f>LEN(非皮卡压缩表[[#This Row],[TYPE]])</f>
        <v/>
      </c>
      <c r="N985" s="22">
        <f t="array" ref="N985">_xlfn.XLOOKUP(非皮卡压缩表[[#This Row],[MODEL]],MODEL缩写表[长MODEL],MODEL缩写表[短MODEL],非皮卡压缩表[[#This Row],[MODEL]])</f>
        <v/>
      </c>
      <c r="O985" s="22">
        <f>LEN(非皮卡压缩表[[#This Row],[SHORT-MODEL]])</f>
        <v/>
      </c>
      <c r="P985" s="11">
        <f t="array" ref="P985">TRIM(_xlfn.XLOOKUP(非皮卡压缩表[[#This Row],[BACKSIZE]],ALL尺码表[内部尺码],ALL尺码表[通用尺码]))</f>
        <v/>
      </c>
    </row>
    <row r="986">
      <c r="A986" s="17" t="inlineStr">
        <is>
          <t>ALL</t>
        </is>
      </c>
      <c r="B986" s="18" t="inlineStr">
        <is>
          <t>Nissan Maxima</t>
        </is>
      </c>
      <c r="C986" s="18" t="inlineStr">
        <is>
          <t>Nissan</t>
        </is>
      </c>
      <c r="D986" s="18" t="inlineStr">
        <is>
          <t>Maxima</t>
        </is>
      </c>
      <c r="E986" s="18" t="inlineStr">
        <is>
          <t>1981-1984</t>
        </is>
      </c>
      <c r="F986" s="18" t="inlineStr"/>
      <c r="G986" s="18" t="inlineStr">
        <is>
          <t>Sedan</t>
        </is>
      </c>
      <c r="H986" s="18" t="inlineStr">
        <is>
          <t>3XL</t>
        </is>
      </c>
      <c r="I986" s="19">
        <f t="array" ref="I986">TRIM(_xlfn.XLOOKUP(非皮卡压缩表[[#This Row],[BACKSIZE]],ALL尺码表[内部尺码],ALL尺码表[分类],""))</f>
        <v/>
      </c>
      <c r="J986" s="19">
        <f t="array" ref="J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6" s="20">
        <f>LEN(非皮卡压缩表[[#This Row],[LONG-TYPE]])</f>
        <v/>
      </c>
      <c r="L986" s="21">
        <f t="array" ref="L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6" s="22">
        <f>LEN(非皮卡压缩表[[#This Row],[TYPE]])</f>
        <v/>
      </c>
      <c r="N986" s="22">
        <f t="array" ref="N986">_xlfn.XLOOKUP(非皮卡压缩表[[#This Row],[MODEL]],MODEL缩写表[长MODEL],MODEL缩写表[短MODEL],非皮卡压缩表[[#This Row],[MODEL]])</f>
        <v/>
      </c>
      <c r="O986" s="22">
        <f>LEN(非皮卡压缩表[[#This Row],[SHORT-MODEL]])</f>
        <v/>
      </c>
      <c r="P986" s="11">
        <f t="array" ref="P986">TRIM(_xlfn.XLOOKUP(非皮卡压缩表[[#This Row],[BACKSIZE]],ALL尺码表[内部尺码],ALL尺码表[通用尺码]))</f>
        <v/>
      </c>
    </row>
    <row r="987">
      <c r="A987" s="17" t="inlineStr">
        <is>
          <t>ALL</t>
        </is>
      </c>
      <c r="B987" s="18" t="inlineStr">
        <is>
          <t>Nissan Maxima</t>
        </is>
      </c>
      <c r="C987" s="18" t="inlineStr">
        <is>
          <t>Nissan</t>
        </is>
      </c>
      <c r="D987" s="18" t="inlineStr">
        <is>
          <t>Maxima</t>
        </is>
      </c>
      <c r="E987" s="18" t="inlineStr">
        <is>
          <t>1985-1988</t>
        </is>
      </c>
      <c r="F987" s="18" t="inlineStr"/>
      <c r="G987" s="18" t="inlineStr">
        <is>
          <t>Sedan</t>
        </is>
      </c>
      <c r="H987" s="18" t="inlineStr">
        <is>
          <t>3L</t>
        </is>
      </c>
      <c r="I987" s="19">
        <f t="array" ref="I987">TRIM(_xlfn.XLOOKUP(非皮卡压缩表[[#This Row],[BACKSIZE]],ALL尺码表[内部尺码],ALL尺码表[分类],""))</f>
        <v/>
      </c>
      <c r="J987" s="19">
        <f t="array" ref="J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7" s="20">
        <f>LEN(非皮卡压缩表[[#This Row],[LONG-TYPE]])</f>
        <v/>
      </c>
      <c r="L987" s="21">
        <f t="array" ref="L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7" s="22">
        <f>LEN(非皮卡压缩表[[#This Row],[TYPE]])</f>
        <v/>
      </c>
      <c r="N987" s="22">
        <f t="array" ref="N987">_xlfn.XLOOKUP(非皮卡压缩表[[#This Row],[MODEL]],MODEL缩写表[长MODEL],MODEL缩写表[短MODEL],非皮卡压缩表[[#This Row],[MODEL]])</f>
        <v/>
      </c>
      <c r="O987" s="22">
        <f>LEN(非皮卡压缩表[[#This Row],[SHORT-MODEL]])</f>
        <v/>
      </c>
      <c r="P987" s="11">
        <f t="array" ref="P987">TRIM(_xlfn.XLOOKUP(非皮卡压缩表[[#This Row],[BACKSIZE]],ALL尺码表[内部尺码],ALL尺码表[通用尺码]))</f>
        <v/>
      </c>
    </row>
    <row r="988">
      <c r="A988" s="17" t="inlineStr">
        <is>
          <t>ALL</t>
        </is>
      </c>
      <c r="B988" s="18" t="inlineStr">
        <is>
          <t>Nissan Maxima</t>
        </is>
      </c>
      <c r="C988" s="18" t="inlineStr">
        <is>
          <t>Nissan</t>
        </is>
      </c>
      <c r="D988" s="18" t="inlineStr">
        <is>
          <t>Maxima</t>
        </is>
      </c>
      <c r="E988" s="18" t="inlineStr">
        <is>
          <t>1989-2003</t>
        </is>
      </c>
      <c r="F988" s="18" t="inlineStr"/>
      <c r="G988" s="18" t="inlineStr">
        <is>
          <t>Sedan</t>
        </is>
      </c>
      <c r="H988" s="18" t="inlineStr">
        <is>
          <t>3XL</t>
        </is>
      </c>
      <c r="I988" s="19">
        <f t="array" ref="I988">TRIM(_xlfn.XLOOKUP(非皮卡压缩表[[#This Row],[BACKSIZE]],ALL尺码表[内部尺码],ALL尺码表[分类],""))</f>
        <v/>
      </c>
      <c r="J988" s="19">
        <f t="array" ref="J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8" s="20">
        <f>LEN(非皮卡压缩表[[#This Row],[LONG-TYPE]])</f>
        <v/>
      </c>
      <c r="L988" s="21">
        <f t="array" ref="L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8" s="22">
        <f>LEN(非皮卡压缩表[[#This Row],[TYPE]])</f>
        <v/>
      </c>
      <c r="N988" s="22">
        <f t="array" ref="N988">_xlfn.XLOOKUP(非皮卡压缩表[[#This Row],[MODEL]],MODEL缩写表[长MODEL],MODEL缩写表[短MODEL],非皮卡压缩表[[#This Row],[MODEL]])</f>
        <v/>
      </c>
      <c r="O988" s="22">
        <f>LEN(非皮卡压缩表[[#This Row],[SHORT-MODEL]])</f>
        <v/>
      </c>
      <c r="P988" s="11">
        <f t="array" ref="P988">TRIM(_xlfn.XLOOKUP(非皮卡压缩表[[#This Row],[BACKSIZE]],ALL尺码表[内部尺码],ALL尺码表[通用尺码]))</f>
        <v/>
      </c>
    </row>
    <row r="989">
      <c r="A989" s="17" t="inlineStr">
        <is>
          <t>ALL</t>
        </is>
      </c>
      <c r="B989" s="18" t="inlineStr">
        <is>
          <t>Nissan Maxima</t>
        </is>
      </c>
      <c r="C989" s="18" t="inlineStr">
        <is>
          <t>Nissan</t>
        </is>
      </c>
      <c r="D989" s="18" t="inlineStr">
        <is>
          <t>Maxima</t>
        </is>
      </c>
      <c r="E989" s="18" t="inlineStr">
        <is>
          <t>2004-2008</t>
        </is>
      </c>
      <c r="F989" s="18" t="inlineStr"/>
      <c r="G989" s="18" t="inlineStr">
        <is>
          <t>Sedan</t>
        </is>
      </c>
      <c r="H989" s="18" t="inlineStr">
        <is>
          <t>3XXL</t>
        </is>
      </c>
      <c r="I989" s="19">
        <f t="array" ref="I989">TRIM(_xlfn.XLOOKUP(非皮卡压缩表[[#This Row],[BACKSIZE]],ALL尺码表[内部尺码],ALL尺码表[分类],""))</f>
        <v/>
      </c>
      <c r="J989" s="19">
        <f t="array" ref="J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9" s="20">
        <f>LEN(非皮卡压缩表[[#This Row],[LONG-TYPE]])</f>
        <v/>
      </c>
      <c r="L989" s="21">
        <f t="array" ref="L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9" s="22">
        <f>LEN(非皮卡压缩表[[#This Row],[TYPE]])</f>
        <v/>
      </c>
      <c r="N989" s="22">
        <f t="array" ref="N989">_xlfn.XLOOKUP(非皮卡压缩表[[#This Row],[MODEL]],MODEL缩写表[长MODEL],MODEL缩写表[短MODEL],非皮卡压缩表[[#This Row],[MODEL]])</f>
        <v/>
      </c>
      <c r="O989" s="22">
        <f>LEN(非皮卡压缩表[[#This Row],[SHORT-MODEL]])</f>
        <v/>
      </c>
      <c r="P989" s="11">
        <f t="array" ref="P989">TRIM(_xlfn.XLOOKUP(非皮卡压缩表[[#This Row],[BACKSIZE]],ALL尺码表[内部尺码],ALL尺码表[通用尺码]))</f>
        <v/>
      </c>
    </row>
    <row r="990">
      <c r="A990" s="17" t="inlineStr">
        <is>
          <t>ALL</t>
        </is>
      </c>
      <c r="B990" s="18" t="inlineStr">
        <is>
          <t>Nissan Maxima</t>
        </is>
      </c>
      <c r="C990" s="18" t="inlineStr">
        <is>
          <t>Nissan</t>
        </is>
      </c>
      <c r="D990" s="18" t="inlineStr">
        <is>
          <t>Maxima</t>
        </is>
      </c>
      <c r="E990" s="18" t="inlineStr">
        <is>
          <t>2009-2014</t>
        </is>
      </c>
      <c r="F990" s="18" t="inlineStr"/>
      <c r="G990" s="18" t="inlineStr">
        <is>
          <t>Sedan</t>
        </is>
      </c>
      <c r="H990" s="18" t="inlineStr">
        <is>
          <t>3XL</t>
        </is>
      </c>
      <c r="I990" s="19">
        <f t="array" ref="I990">TRIM(_xlfn.XLOOKUP(非皮卡压缩表[[#This Row],[BACKSIZE]],ALL尺码表[内部尺码],ALL尺码表[分类],""))</f>
        <v/>
      </c>
      <c r="J990" s="19">
        <f t="array" ref="J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0" s="20">
        <f>LEN(非皮卡压缩表[[#This Row],[LONG-TYPE]])</f>
        <v/>
      </c>
      <c r="L990" s="21">
        <f t="array" ref="L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0" s="22">
        <f>LEN(非皮卡压缩表[[#This Row],[TYPE]])</f>
        <v/>
      </c>
      <c r="N990" s="22">
        <f t="array" ref="N990">_xlfn.XLOOKUP(非皮卡压缩表[[#This Row],[MODEL]],MODEL缩写表[长MODEL],MODEL缩写表[短MODEL],非皮卡压缩表[[#This Row],[MODEL]])</f>
        <v/>
      </c>
      <c r="O990" s="22">
        <f>LEN(非皮卡压缩表[[#This Row],[SHORT-MODEL]])</f>
        <v/>
      </c>
      <c r="P990" s="11">
        <f t="array" ref="P990">TRIM(_xlfn.XLOOKUP(非皮卡压缩表[[#This Row],[BACKSIZE]],ALL尺码表[内部尺码],ALL尺码表[通用尺码]))</f>
        <v/>
      </c>
    </row>
    <row r="991">
      <c r="A991" s="17" t="inlineStr">
        <is>
          <t>ALL</t>
        </is>
      </c>
      <c r="B991" s="18" t="inlineStr">
        <is>
          <t>Nissan Maxima</t>
        </is>
      </c>
      <c r="C991" s="18" t="inlineStr">
        <is>
          <t>Nissan</t>
        </is>
      </c>
      <c r="D991" s="18" t="inlineStr">
        <is>
          <t>Maxima</t>
        </is>
      </c>
      <c r="E991" s="18" t="inlineStr">
        <is>
          <t>2016-2023</t>
        </is>
      </c>
      <c r="F991" s="18" t="inlineStr"/>
      <c r="G991" s="18" t="inlineStr">
        <is>
          <t>Sedan</t>
        </is>
      </c>
      <c r="H991" s="18" t="inlineStr">
        <is>
          <t>3XXL</t>
        </is>
      </c>
      <c r="I991" s="19">
        <f t="array" ref="I991">TRIM(_xlfn.XLOOKUP(非皮卡压缩表[[#This Row],[BACKSIZE]],ALL尺码表[内部尺码],ALL尺码表[分类],""))</f>
        <v/>
      </c>
      <c r="J991" s="19">
        <f t="array" ref="J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1" s="20">
        <f>LEN(非皮卡压缩表[[#This Row],[LONG-TYPE]])</f>
        <v/>
      </c>
      <c r="L991" s="21">
        <f t="array" ref="L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1" s="22">
        <f>LEN(非皮卡压缩表[[#This Row],[TYPE]])</f>
        <v/>
      </c>
      <c r="N991" s="22">
        <f t="array" ref="N991">_xlfn.XLOOKUP(非皮卡压缩表[[#This Row],[MODEL]],MODEL缩写表[长MODEL],MODEL缩写表[短MODEL],非皮卡压缩表[[#This Row],[MODEL]])</f>
        <v/>
      </c>
      <c r="O991" s="22">
        <f>LEN(非皮卡压缩表[[#This Row],[SHORT-MODEL]])</f>
        <v/>
      </c>
      <c r="P991" s="11">
        <f t="array" ref="P991">TRIM(_xlfn.XLOOKUP(非皮卡压缩表[[#This Row],[BACKSIZE]],ALL尺码表[内部尺码],ALL尺码表[通用尺码]))</f>
        <v/>
      </c>
    </row>
    <row r="992">
      <c r="A992" s="17" t="inlineStr">
        <is>
          <t>ALL</t>
        </is>
      </c>
      <c r="B992" s="18" t="inlineStr">
        <is>
          <t>Nissan Murano</t>
        </is>
      </c>
      <c r="C992" s="18" t="inlineStr">
        <is>
          <t>Nissan</t>
        </is>
      </c>
      <c r="D992" s="18" t="inlineStr">
        <is>
          <t>Murano</t>
        </is>
      </c>
      <c r="E992" s="18" t="inlineStr">
        <is>
          <t>2003-2014</t>
        </is>
      </c>
      <c r="F992" s="18" t="inlineStr"/>
      <c r="G992" s="18" t="inlineStr">
        <is>
          <t>SUV</t>
        </is>
      </c>
      <c r="H992" s="18" t="inlineStr">
        <is>
          <t>YL</t>
        </is>
      </c>
      <c r="I992" s="19">
        <f t="array" ref="I992">TRIM(_xlfn.XLOOKUP(非皮卡压缩表[[#This Row],[BACKSIZE]],ALL尺码表[内部尺码],ALL尺码表[分类],""))</f>
        <v/>
      </c>
      <c r="J992" s="19">
        <f t="array" ref="J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2" s="20">
        <f>LEN(非皮卡压缩表[[#This Row],[LONG-TYPE]])</f>
        <v/>
      </c>
      <c r="L992" s="21">
        <f t="array" ref="L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2" s="22">
        <f>LEN(非皮卡压缩表[[#This Row],[TYPE]])</f>
        <v/>
      </c>
      <c r="N992" s="22">
        <f t="array" ref="N992">_xlfn.XLOOKUP(非皮卡压缩表[[#This Row],[MODEL]],MODEL缩写表[长MODEL],MODEL缩写表[短MODEL],非皮卡压缩表[[#This Row],[MODEL]])</f>
        <v/>
      </c>
      <c r="O992" s="22">
        <f>LEN(非皮卡压缩表[[#This Row],[SHORT-MODEL]])</f>
        <v/>
      </c>
      <c r="P992" s="11">
        <f t="array" ref="P992">TRIM(_xlfn.XLOOKUP(非皮卡压缩表[[#This Row],[BACKSIZE]],ALL尺码表[内部尺码],ALL尺码表[通用尺码]))</f>
        <v/>
      </c>
    </row>
    <row r="993">
      <c r="A993" s="17" t="inlineStr">
        <is>
          <t>ALL</t>
        </is>
      </c>
      <c r="B993" s="18" t="inlineStr">
        <is>
          <t>Nissan Murano</t>
        </is>
      </c>
      <c r="C993" s="18" t="inlineStr">
        <is>
          <t>Nissan</t>
        </is>
      </c>
      <c r="D993" s="18" t="inlineStr">
        <is>
          <t>Murano</t>
        </is>
      </c>
      <c r="E993" s="18" t="inlineStr">
        <is>
          <t>2015-2026</t>
        </is>
      </c>
      <c r="F993" s="18" t="inlineStr"/>
      <c r="G993" s="18" t="inlineStr">
        <is>
          <t>SUV</t>
        </is>
      </c>
      <c r="H993" s="18" t="inlineStr">
        <is>
          <t>YXL</t>
        </is>
      </c>
      <c r="I993" s="19">
        <f t="array" ref="I993">TRIM(_xlfn.XLOOKUP(非皮卡压缩表[[#This Row],[BACKSIZE]],ALL尺码表[内部尺码],ALL尺码表[分类],""))</f>
        <v/>
      </c>
      <c r="J993" s="19">
        <f t="array" ref="J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3" s="20">
        <f>LEN(非皮卡压缩表[[#This Row],[LONG-TYPE]])</f>
        <v/>
      </c>
      <c r="L993" s="21">
        <f t="array" ref="L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3" s="22">
        <f>LEN(非皮卡压缩表[[#This Row],[TYPE]])</f>
        <v/>
      </c>
      <c r="N993" s="22">
        <f t="array" ref="N993">_xlfn.XLOOKUP(非皮卡压缩表[[#This Row],[MODEL]],MODEL缩写表[长MODEL],MODEL缩写表[短MODEL],非皮卡压缩表[[#This Row],[MODEL]])</f>
        <v/>
      </c>
      <c r="O993" s="22">
        <f>LEN(非皮卡压缩表[[#This Row],[SHORT-MODEL]])</f>
        <v/>
      </c>
      <c r="P993" s="11">
        <f t="array" ref="P993">TRIM(_xlfn.XLOOKUP(非皮卡压缩表[[#This Row],[BACKSIZE]],ALL尺码表[内部尺码],ALL尺码表[通用尺码]))</f>
        <v/>
      </c>
    </row>
    <row r="994">
      <c r="A994" s="17" t="inlineStr">
        <is>
          <t>ALL</t>
        </is>
      </c>
      <c r="B994" s="18" t="inlineStr">
        <is>
          <t>Nissan Pathfinder</t>
        </is>
      </c>
      <c r="C994" s="18" t="inlineStr">
        <is>
          <t>Nissan</t>
        </is>
      </c>
      <c r="D994" s="18" t="inlineStr">
        <is>
          <t>Pathfinder</t>
        </is>
      </c>
      <c r="E994" s="18" t="inlineStr">
        <is>
          <t>1987</t>
        </is>
      </c>
      <c r="F994" s="18" t="inlineStr"/>
      <c r="G994" s="18" t="inlineStr">
        <is>
          <t>SUV</t>
        </is>
      </c>
      <c r="H994" s="18" t="inlineStr">
        <is>
          <t>YM+</t>
        </is>
      </c>
      <c r="I994" s="19">
        <f t="array" ref="I994">TRIM(_xlfn.XLOOKUP(非皮卡压缩表[[#This Row],[BACKSIZE]],ALL尺码表[内部尺码],ALL尺码表[分类],""))</f>
        <v/>
      </c>
      <c r="J994" s="19">
        <f t="array" ref="J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4" s="20">
        <f>LEN(非皮卡压缩表[[#This Row],[LONG-TYPE]])</f>
        <v/>
      </c>
      <c r="L994" s="21">
        <f t="array" ref="L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4" s="22">
        <f>LEN(非皮卡压缩表[[#This Row],[TYPE]])</f>
        <v/>
      </c>
      <c r="N994" s="22">
        <f t="array" ref="N994">_xlfn.XLOOKUP(非皮卡压缩表[[#This Row],[MODEL]],MODEL缩写表[长MODEL],MODEL缩写表[短MODEL],非皮卡压缩表[[#This Row],[MODEL]])</f>
        <v/>
      </c>
      <c r="O994" s="22">
        <f>LEN(非皮卡压缩表[[#This Row],[SHORT-MODEL]])</f>
        <v/>
      </c>
      <c r="P994" s="11">
        <f t="array" ref="P994">TRIM(_xlfn.XLOOKUP(非皮卡压缩表[[#This Row],[BACKSIZE]],ALL尺码表[内部尺码],ALL尺码表[通用尺码]))</f>
        <v/>
      </c>
    </row>
    <row r="995">
      <c r="A995" s="17" t="inlineStr">
        <is>
          <t>ALL</t>
        </is>
      </c>
      <c r="B995" s="18" t="inlineStr">
        <is>
          <t>Nissan Pathfinder</t>
        </is>
      </c>
      <c r="C995" s="18" t="inlineStr">
        <is>
          <t>Nissan</t>
        </is>
      </c>
      <c r="D995" s="18" t="inlineStr">
        <is>
          <t>Pathfinder</t>
        </is>
      </c>
      <c r="E995" s="18" t="inlineStr">
        <is>
          <t>1988-1995</t>
        </is>
      </c>
      <c r="F995" s="18" t="inlineStr"/>
      <c r="G995" s="18" t="inlineStr">
        <is>
          <t>SUV</t>
        </is>
      </c>
      <c r="H995" s="18" t="inlineStr">
        <is>
          <t>YL</t>
        </is>
      </c>
      <c r="I995" s="19">
        <f t="array" ref="I995">TRIM(_xlfn.XLOOKUP(非皮卡压缩表[[#This Row],[BACKSIZE]],ALL尺码表[内部尺码],ALL尺码表[分类],""))</f>
        <v/>
      </c>
      <c r="J995" s="19">
        <f t="array" ref="J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5" s="20">
        <f>LEN(非皮卡压缩表[[#This Row],[LONG-TYPE]])</f>
        <v/>
      </c>
      <c r="L995" s="21">
        <f t="array" ref="L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5" s="22">
        <f>LEN(非皮卡压缩表[[#This Row],[TYPE]])</f>
        <v/>
      </c>
      <c r="N995" s="22">
        <f t="array" ref="N995">_xlfn.XLOOKUP(非皮卡压缩表[[#This Row],[MODEL]],MODEL缩写表[长MODEL],MODEL缩写表[短MODEL],非皮卡压缩表[[#This Row],[MODEL]])</f>
        <v/>
      </c>
      <c r="O995" s="22">
        <f>LEN(非皮卡压缩表[[#This Row],[SHORT-MODEL]])</f>
        <v/>
      </c>
      <c r="P995" s="11">
        <f t="array" ref="P995">TRIM(_xlfn.XLOOKUP(非皮卡压缩表[[#This Row],[BACKSIZE]],ALL尺码表[内部尺码],ALL尺码表[通用尺码]))</f>
        <v/>
      </c>
    </row>
    <row r="996">
      <c r="A996" s="17" t="inlineStr">
        <is>
          <t>ALL</t>
        </is>
      </c>
      <c r="B996" s="18" t="inlineStr">
        <is>
          <t>Nissan Pathfinder</t>
        </is>
      </c>
      <c r="C996" s="18" t="inlineStr">
        <is>
          <t>Nissan</t>
        </is>
      </c>
      <c r="D996" s="18" t="inlineStr">
        <is>
          <t>Pathfinder</t>
        </is>
      </c>
      <c r="E996" s="18" t="inlineStr">
        <is>
          <t>1990-2004</t>
        </is>
      </c>
      <c r="F996" s="18" t="inlineStr"/>
      <c r="G996" s="18" t="inlineStr">
        <is>
          <t>SUV</t>
        </is>
      </c>
      <c r="H996" s="18" t="inlineStr">
        <is>
          <t>YM+</t>
        </is>
      </c>
      <c r="I996" s="19">
        <f t="array" ref="I996">TRIM(_xlfn.XLOOKUP(非皮卡压缩表[[#This Row],[BACKSIZE]],ALL尺码表[内部尺码],ALL尺码表[分类],""))</f>
        <v/>
      </c>
      <c r="J996" s="19">
        <f t="array" ref="J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6" s="20">
        <f>LEN(非皮卡压缩表[[#This Row],[LONG-TYPE]])</f>
        <v/>
      </c>
      <c r="L996" s="21">
        <f t="array" ref="L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6" s="22">
        <f>LEN(非皮卡压缩表[[#This Row],[TYPE]])</f>
        <v/>
      </c>
      <c r="N996" s="22">
        <f t="array" ref="N996">_xlfn.XLOOKUP(非皮卡压缩表[[#This Row],[MODEL]],MODEL缩写表[长MODEL],MODEL缩写表[短MODEL],非皮卡压缩表[[#This Row],[MODEL]])</f>
        <v/>
      </c>
      <c r="O996" s="22">
        <f>LEN(非皮卡压缩表[[#This Row],[SHORT-MODEL]])</f>
        <v/>
      </c>
      <c r="P996" s="11">
        <f t="array" ref="P996">TRIM(_xlfn.XLOOKUP(非皮卡压缩表[[#This Row],[BACKSIZE]],ALL尺码表[内部尺码],ALL尺码表[通用尺码]))</f>
        <v/>
      </c>
    </row>
    <row r="997">
      <c r="A997" s="17" t="inlineStr">
        <is>
          <t>ALL</t>
        </is>
      </c>
      <c r="B997" s="18" t="inlineStr">
        <is>
          <t>Nissan Pathfinder</t>
        </is>
      </c>
      <c r="C997" s="18" t="inlineStr">
        <is>
          <t>Nissan</t>
        </is>
      </c>
      <c r="D997" s="18" t="inlineStr">
        <is>
          <t>Pathfinder</t>
        </is>
      </c>
      <c r="E997" s="18" t="inlineStr">
        <is>
          <t>2005-2011</t>
        </is>
      </c>
      <c r="F997" s="18" t="inlineStr"/>
      <c r="G997" s="18" t="inlineStr">
        <is>
          <t>SUV</t>
        </is>
      </c>
      <c r="H997" s="18" t="inlineStr">
        <is>
          <t>YL</t>
        </is>
      </c>
      <c r="I997" s="19">
        <f t="array" ref="I997">TRIM(_xlfn.XLOOKUP(非皮卡压缩表[[#This Row],[BACKSIZE]],ALL尺码表[内部尺码],ALL尺码表[分类],""))</f>
        <v/>
      </c>
      <c r="J997" s="19">
        <f t="array" ref="J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7" s="20">
        <f>LEN(非皮卡压缩表[[#This Row],[LONG-TYPE]])</f>
        <v/>
      </c>
      <c r="L997" s="21">
        <f t="array" ref="L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7" s="22">
        <f>LEN(非皮卡压缩表[[#This Row],[TYPE]])</f>
        <v/>
      </c>
      <c r="N997" s="22">
        <f t="array" ref="N997">_xlfn.XLOOKUP(非皮卡压缩表[[#This Row],[MODEL]],MODEL缩写表[长MODEL],MODEL缩写表[短MODEL],非皮卡压缩表[[#This Row],[MODEL]])</f>
        <v/>
      </c>
      <c r="O997" s="22">
        <f>LEN(非皮卡压缩表[[#This Row],[SHORT-MODEL]])</f>
        <v/>
      </c>
      <c r="P997" s="11">
        <f t="array" ref="P997">TRIM(_xlfn.XLOOKUP(非皮卡压缩表[[#This Row],[BACKSIZE]],ALL尺码表[内部尺码],ALL尺码表[通用尺码]))</f>
        <v/>
      </c>
    </row>
    <row r="998">
      <c r="A998" s="17" t="inlineStr">
        <is>
          <t>ALL</t>
        </is>
      </c>
      <c r="B998" s="18" t="inlineStr">
        <is>
          <t>Nissan Pathfinder</t>
        </is>
      </c>
      <c r="C998" s="18" t="inlineStr">
        <is>
          <t>Nissan</t>
        </is>
      </c>
      <c r="D998" s="18" t="inlineStr">
        <is>
          <t>Pathfinder</t>
        </is>
      </c>
      <c r="E998" s="18" t="inlineStr">
        <is>
          <t>2012-2026</t>
        </is>
      </c>
      <c r="F998" s="18" t="inlineStr">
        <is>
          <t>Incl: Rock Creek</t>
        </is>
      </c>
      <c r="G998" s="18" t="inlineStr">
        <is>
          <t>SUV</t>
        </is>
      </c>
      <c r="H998" s="18" t="inlineStr">
        <is>
          <t>YXL</t>
        </is>
      </c>
      <c r="I998" s="19">
        <f t="array" ref="I998">TRIM(_xlfn.XLOOKUP(非皮卡压缩表[[#This Row],[BACKSIZE]],ALL尺码表[内部尺码],ALL尺码表[分类],""))</f>
        <v/>
      </c>
      <c r="J998" s="19">
        <f t="array" ref="J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8" s="20">
        <f>LEN(非皮卡压缩表[[#This Row],[LONG-TYPE]])</f>
        <v/>
      </c>
      <c r="L998" s="21">
        <f t="array" ref="L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8" s="22">
        <f>LEN(非皮卡压缩表[[#This Row],[TYPE]])</f>
        <v/>
      </c>
      <c r="N998" s="22">
        <f t="array" ref="N998">_xlfn.XLOOKUP(非皮卡压缩表[[#This Row],[MODEL]],MODEL缩写表[长MODEL],MODEL缩写表[短MODEL],非皮卡压缩表[[#This Row],[MODEL]])</f>
        <v/>
      </c>
      <c r="O998" s="22">
        <f>LEN(非皮卡压缩表[[#This Row],[SHORT-MODEL]])</f>
        <v/>
      </c>
      <c r="P998" s="11">
        <f t="array" ref="P998">TRIM(_xlfn.XLOOKUP(非皮卡压缩表[[#This Row],[BACKSIZE]],ALL尺码表[内部尺码],ALL尺码表[通用尺码]))</f>
        <v/>
      </c>
    </row>
    <row r="999">
      <c r="A999" s="17" t="inlineStr">
        <is>
          <t>ALL</t>
        </is>
      </c>
      <c r="B999" s="18" t="inlineStr">
        <is>
          <t>Nissan Rogue</t>
        </is>
      </c>
      <c r="C999" s="18" t="inlineStr">
        <is>
          <t>Nissan</t>
        </is>
      </c>
      <c r="D999" s="18" t="inlineStr">
        <is>
          <t>Rogue</t>
        </is>
      </c>
      <c r="E999" s="18" t="inlineStr">
        <is>
          <t>2008-2026</t>
        </is>
      </c>
      <c r="F999" s="18" t="inlineStr">
        <is>
          <t>Incl: PHEV</t>
        </is>
      </c>
      <c r="G999" s="18" t="inlineStr">
        <is>
          <t>SUV</t>
        </is>
      </c>
      <c r="H999" s="18" t="inlineStr">
        <is>
          <t>YL</t>
        </is>
      </c>
      <c r="I999" s="19">
        <f t="array" ref="I999">TRIM(_xlfn.XLOOKUP(非皮卡压缩表[[#This Row],[BACKSIZE]],ALL尺码表[内部尺码],ALL尺码表[分类],""))</f>
        <v/>
      </c>
      <c r="J999" s="19">
        <f t="array" ref="J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9" s="20">
        <f>LEN(非皮卡压缩表[[#This Row],[LONG-TYPE]])</f>
        <v/>
      </c>
      <c r="L999" s="21">
        <f t="array" ref="L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9" s="22">
        <f>LEN(非皮卡压缩表[[#This Row],[TYPE]])</f>
        <v/>
      </c>
      <c r="N999" s="22">
        <f t="array" ref="N999">_xlfn.XLOOKUP(非皮卡压缩表[[#This Row],[MODEL]],MODEL缩写表[长MODEL],MODEL缩写表[短MODEL],非皮卡压缩表[[#This Row],[MODEL]])</f>
        <v/>
      </c>
      <c r="O999" s="22">
        <f>LEN(非皮卡压缩表[[#This Row],[SHORT-MODEL]])</f>
        <v/>
      </c>
      <c r="P999" s="11">
        <f t="array" ref="P999">TRIM(_xlfn.XLOOKUP(非皮卡压缩表[[#This Row],[BACKSIZE]],ALL尺码表[内部尺码],ALL尺码表[通用尺码]))</f>
        <v/>
      </c>
    </row>
    <row r="1000">
      <c r="A1000" s="17" t="inlineStr">
        <is>
          <t>ALL</t>
        </is>
      </c>
      <c r="B1000" s="18" t="inlineStr">
        <is>
          <t>Nissan Rogue Sport</t>
        </is>
      </c>
      <c r="C1000" s="18" t="inlineStr">
        <is>
          <t>Nissan</t>
        </is>
      </c>
      <c r="D1000" s="18" t="inlineStr">
        <is>
          <t>Rogue Sport</t>
        </is>
      </c>
      <c r="E1000" s="18" t="inlineStr">
        <is>
          <t>2017-2022</t>
        </is>
      </c>
      <c r="F1000" s="18" t="inlineStr"/>
      <c r="G1000" s="18" t="inlineStr">
        <is>
          <t>SUV</t>
        </is>
      </c>
      <c r="H1000" s="18" t="inlineStr">
        <is>
          <t>YM+</t>
        </is>
      </c>
      <c r="I1000" s="19">
        <f t="array" ref="I1000">TRIM(_xlfn.XLOOKUP(非皮卡压缩表[[#This Row],[BACKSIZE]],ALL尺码表[内部尺码],ALL尺码表[分类],""))</f>
        <v/>
      </c>
      <c r="J1000" s="19">
        <f t="array" ref="J1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0" s="20">
        <f>LEN(非皮卡压缩表[[#This Row],[LONG-TYPE]])</f>
        <v/>
      </c>
      <c r="L1000" s="21">
        <f t="array" ref="L1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0" s="22">
        <f>LEN(非皮卡压缩表[[#This Row],[TYPE]])</f>
        <v/>
      </c>
      <c r="N1000" s="22">
        <f t="array" ref="N1000">_xlfn.XLOOKUP(非皮卡压缩表[[#This Row],[MODEL]],MODEL缩写表[长MODEL],MODEL缩写表[短MODEL],非皮卡压缩表[[#This Row],[MODEL]])</f>
        <v/>
      </c>
      <c r="O1000" s="22">
        <f>LEN(非皮卡压缩表[[#This Row],[SHORT-MODEL]])</f>
        <v/>
      </c>
      <c r="P1000" s="11">
        <f t="array" ref="P1000">TRIM(_xlfn.XLOOKUP(非皮卡压缩表[[#This Row],[BACKSIZE]],ALL尺码表[内部尺码],ALL尺码表[通用尺码]))</f>
        <v/>
      </c>
    </row>
    <row r="1001">
      <c r="A1001" s="17" t="inlineStr">
        <is>
          <t>ALL</t>
        </is>
      </c>
      <c r="B1001" s="18" t="inlineStr">
        <is>
          <t>Nissan Sentra</t>
        </is>
      </c>
      <c r="C1001" s="18" t="inlineStr">
        <is>
          <t>Nissan</t>
        </is>
      </c>
      <c r="D1001" s="18" t="inlineStr">
        <is>
          <t>Sentra</t>
        </is>
      </c>
      <c r="E1001" s="18" t="inlineStr">
        <is>
          <t>1982-1986</t>
        </is>
      </c>
      <c r="F1001" s="18" t="inlineStr"/>
      <c r="G1001" s="18" t="inlineStr">
        <is>
          <t>Hatchback/Wagon</t>
        </is>
      </c>
      <c r="H1001" s="18" t="inlineStr">
        <is>
          <t>2L+</t>
        </is>
      </c>
      <c r="I1001" s="19">
        <f t="array" ref="I1001">TRIM(_xlfn.XLOOKUP(非皮卡压缩表[[#This Row],[BACKSIZE]],ALL尺码表[内部尺码],ALL尺码表[分类],""))</f>
        <v/>
      </c>
      <c r="J1001" s="19">
        <f t="array" ref="J1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1" s="20">
        <f>LEN(非皮卡压缩表[[#This Row],[LONG-TYPE]])</f>
        <v/>
      </c>
      <c r="L1001" s="21">
        <f t="array" ref="L1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1" s="22">
        <f>LEN(非皮卡压缩表[[#This Row],[TYPE]])</f>
        <v/>
      </c>
      <c r="N1001" s="22">
        <f t="array" ref="N1001">_xlfn.XLOOKUP(非皮卡压缩表[[#This Row],[MODEL]],MODEL缩写表[长MODEL],MODEL缩写表[短MODEL],非皮卡压缩表[[#This Row],[MODEL]])</f>
        <v/>
      </c>
      <c r="O1001" s="22">
        <f>LEN(非皮卡压缩表[[#This Row],[SHORT-MODEL]])</f>
        <v/>
      </c>
      <c r="P1001" s="11">
        <f t="array" ref="P1001">TRIM(_xlfn.XLOOKUP(非皮卡压缩表[[#This Row],[BACKSIZE]],ALL尺码表[内部尺码],ALL尺码表[通用尺码]))</f>
        <v/>
      </c>
    </row>
    <row r="1002">
      <c r="A1002" s="17" t="inlineStr">
        <is>
          <t>ALL</t>
        </is>
      </c>
      <c r="B1002" s="18" t="inlineStr">
        <is>
          <t>Nissan Sentra</t>
        </is>
      </c>
      <c r="C1002" s="18" t="inlineStr">
        <is>
          <t>Nissan</t>
        </is>
      </c>
      <c r="D1002" s="18" t="inlineStr">
        <is>
          <t>Sentra</t>
        </is>
      </c>
      <c r="E1002" s="18" t="inlineStr">
        <is>
          <t>1982-2026</t>
        </is>
      </c>
      <c r="F1002" s="18" t="inlineStr"/>
      <c r="G1002" s="18" t="inlineStr">
        <is>
          <t>Sedan</t>
        </is>
      </c>
      <c r="H1002" s="18" t="inlineStr">
        <is>
          <t>3L</t>
        </is>
      </c>
      <c r="I1002" s="19">
        <f t="array" ref="I1002">TRIM(_xlfn.XLOOKUP(非皮卡压缩表[[#This Row],[BACKSIZE]],ALL尺码表[内部尺码],ALL尺码表[分类],""))</f>
        <v/>
      </c>
      <c r="J1002" s="19">
        <f t="array" ref="J1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2" s="20">
        <f>LEN(非皮卡压缩表[[#This Row],[LONG-TYPE]])</f>
        <v/>
      </c>
      <c r="L1002" s="21">
        <f t="array" ref="L1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2" s="22">
        <f>LEN(非皮卡压缩表[[#This Row],[TYPE]])</f>
        <v/>
      </c>
      <c r="N1002" s="22">
        <f t="array" ref="N1002">_xlfn.XLOOKUP(非皮卡压缩表[[#This Row],[MODEL]],MODEL缩写表[长MODEL],MODEL缩写表[短MODEL],非皮卡压缩表[[#This Row],[MODEL]])</f>
        <v/>
      </c>
      <c r="O1002" s="22">
        <f>LEN(非皮卡压缩表[[#This Row],[SHORT-MODEL]])</f>
        <v/>
      </c>
      <c r="P1002" s="11">
        <f t="array" ref="P1002">TRIM(_xlfn.XLOOKUP(非皮卡压缩表[[#This Row],[BACKSIZE]],ALL尺码表[内部尺码],ALL尺码表[通用尺码]))</f>
        <v/>
      </c>
    </row>
    <row r="1003">
      <c r="A1003" s="17" t="inlineStr">
        <is>
          <t>ALL</t>
        </is>
      </c>
      <c r="B1003" s="18" t="inlineStr">
        <is>
          <t>Nissan Sentra</t>
        </is>
      </c>
      <c r="C1003" s="18" t="inlineStr">
        <is>
          <t>Nissan</t>
        </is>
      </c>
      <c r="D1003" s="18" t="inlineStr">
        <is>
          <t>Sentra</t>
        </is>
      </c>
      <c r="E1003" s="18" t="inlineStr">
        <is>
          <t>1982-1994</t>
        </is>
      </c>
      <c r="F1003" s="18" t="inlineStr"/>
      <c r="G1003" s="18" t="inlineStr">
        <is>
          <t>Coupe</t>
        </is>
      </c>
      <c r="H1003" s="18" t="inlineStr">
        <is>
          <t>3M-0</t>
        </is>
      </c>
      <c r="I1003" s="19">
        <f t="array" ref="I1003">TRIM(_xlfn.XLOOKUP(非皮卡压缩表[[#This Row],[BACKSIZE]],ALL尺码表[内部尺码],ALL尺码表[分类],""))</f>
        <v/>
      </c>
      <c r="J1003" s="19">
        <f t="array" ref="J1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3" s="20">
        <f>LEN(非皮卡压缩表[[#This Row],[LONG-TYPE]])</f>
        <v/>
      </c>
      <c r="L1003" s="21">
        <f t="array" ref="L1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3" s="22">
        <f>LEN(非皮卡压缩表[[#This Row],[TYPE]])</f>
        <v/>
      </c>
      <c r="N1003" s="22">
        <f t="array" ref="N1003">_xlfn.XLOOKUP(非皮卡压缩表[[#This Row],[MODEL]],MODEL缩写表[长MODEL],MODEL缩写表[短MODEL],非皮卡压缩表[[#This Row],[MODEL]])</f>
        <v/>
      </c>
      <c r="O1003" s="22">
        <f>LEN(非皮卡压缩表[[#This Row],[SHORT-MODEL]])</f>
        <v/>
      </c>
      <c r="P1003" s="11">
        <f t="array" ref="P1003">TRIM(_xlfn.XLOOKUP(非皮卡压缩表[[#This Row],[BACKSIZE]],ALL尺码表[内部尺码],ALL尺码表[通用尺码]))</f>
        <v/>
      </c>
    </row>
    <row r="1004">
      <c r="A1004" s="17" t="inlineStr">
        <is>
          <t>ALL</t>
        </is>
      </c>
      <c r="B1004" s="18" t="inlineStr">
        <is>
          <t>Nissan Versa</t>
        </is>
      </c>
      <c r="C1004" s="18" t="inlineStr">
        <is>
          <t>Nissan</t>
        </is>
      </c>
      <c r="D1004" s="18" t="inlineStr">
        <is>
          <t>Versa</t>
        </is>
      </c>
      <c r="E1004" s="18" t="inlineStr">
        <is>
          <t>2007-2019</t>
        </is>
      </c>
      <c r="F1004" s="18" t="inlineStr"/>
      <c r="G1004" s="18" t="inlineStr">
        <is>
          <t>Hatchback</t>
        </is>
      </c>
      <c r="H1004" s="18" t="inlineStr">
        <is>
          <t>2L+</t>
        </is>
      </c>
      <c r="I1004" s="19">
        <f t="array" ref="I1004">TRIM(_xlfn.XLOOKUP(非皮卡压缩表[[#This Row],[BACKSIZE]],ALL尺码表[内部尺码],ALL尺码表[分类],""))</f>
        <v/>
      </c>
      <c r="J1004" s="19">
        <f t="array" ref="J1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4" s="20">
        <f>LEN(非皮卡压缩表[[#This Row],[LONG-TYPE]])</f>
        <v/>
      </c>
      <c r="L1004" s="21">
        <f t="array" ref="L1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4" s="22">
        <f>LEN(非皮卡压缩表[[#This Row],[TYPE]])</f>
        <v/>
      </c>
      <c r="N1004" s="22">
        <f t="array" ref="N1004">_xlfn.XLOOKUP(非皮卡压缩表[[#This Row],[MODEL]],MODEL缩写表[长MODEL],MODEL缩写表[短MODEL],非皮卡压缩表[[#This Row],[MODEL]])</f>
        <v/>
      </c>
      <c r="O1004" s="22">
        <f>LEN(非皮卡压缩表[[#This Row],[SHORT-MODEL]])</f>
        <v/>
      </c>
      <c r="P1004" s="11">
        <f t="array" ref="P1004">TRIM(_xlfn.XLOOKUP(非皮卡压缩表[[#This Row],[BACKSIZE]],ALL尺码表[内部尺码],ALL尺码表[通用尺码]))</f>
        <v/>
      </c>
    </row>
    <row r="1005">
      <c r="A1005" s="17" t="inlineStr">
        <is>
          <t>ALL</t>
        </is>
      </c>
      <c r="B1005" s="18" t="inlineStr">
        <is>
          <t>Nissan Versa</t>
        </is>
      </c>
      <c r="C1005" s="18" t="inlineStr">
        <is>
          <t>Nissan</t>
        </is>
      </c>
      <c r="D1005" s="18" t="inlineStr">
        <is>
          <t>Versa</t>
        </is>
      </c>
      <c r="E1005" s="18" t="inlineStr">
        <is>
          <t>2007-2026</t>
        </is>
      </c>
      <c r="F1005" s="18" t="inlineStr"/>
      <c r="G1005" s="18" t="inlineStr">
        <is>
          <t>Sedan</t>
        </is>
      </c>
      <c r="H1005" s="18" t="inlineStr">
        <is>
          <t>3L</t>
        </is>
      </c>
      <c r="I1005" s="19">
        <f t="array" ref="I1005">TRIM(_xlfn.XLOOKUP(非皮卡压缩表[[#This Row],[BACKSIZE]],ALL尺码表[内部尺码],ALL尺码表[分类],""))</f>
        <v/>
      </c>
      <c r="J1005" s="19">
        <f t="array" ref="J1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5" s="20">
        <f>LEN(非皮卡压缩表[[#This Row],[LONG-TYPE]])</f>
        <v/>
      </c>
      <c r="L1005" s="21">
        <f t="array" ref="L1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5" s="22">
        <f>LEN(非皮卡压缩表[[#This Row],[TYPE]])</f>
        <v/>
      </c>
      <c r="N1005" s="22">
        <f t="array" ref="N1005">_xlfn.XLOOKUP(非皮卡压缩表[[#This Row],[MODEL]],MODEL缩写表[长MODEL],MODEL缩写表[短MODEL],非皮卡压缩表[[#This Row],[MODEL]])</f>
        <v/>
      </c>
      <c r="O1005" s="22">
        <f>LEN(非皮卡压缩表[[#This Row],[SHORT-MODEL]])</f>
        <v/>
      </c>
      <c r="P1005" s="11">
        <f t="array" ref="P1005">TRIM(_xlfn.XLOOKUP(非皮卡压缩表[[#This Row],[BACKSIZE]],ALL尺码表[内部尺码],ALL尺码表[通用尺码]))</f>
        <v/>
      </c>
    </row>
    <row r="1006">
      <c r="A1006" s="17" t="inlineStr">
        <is>
          <t>ALL</t>
        </is>
      </c>
      <c r="B1006" s="18" t="inlineStr">
        <is>
          <t>Nissan Versa Note</t>
        </is>
      </c>
      <c r="C1006" s="18" t="inlineStr">
        <is>
          <t>Nissan</t>
        </is>
      </c>
      <c r="D1006" s="18" t="inlineStr">
        <is>
          <t>Versa Note</t>
        </is>
      </c>
      <c r="E1006" s="18" t="inlineStr">
        <is>
          <t>2014-2019</t>
        </is>
      </c>
      <c r="F1006" s="18" t="inlineStr"/>
      <c r="G1006" s="18" t="inlineStr">
        <is>
          <t>Hatchback</t>
        </is>
      </c>
      <c r="H1006" s="18" t="inlineStr">
        <is>
          <t>2L+</t>
        </is>
      </c>
      <c r="I1006" s="19">
        <f t="array" ref="I1006">TRIM(_xlfn.XLOOKUP(非皮卡压缩表[[#This Row],[BACKSIZE]],ALL尺码表[内部尺码],ALL尺码表[分类],""))</f>
        <v/>
      </c>
      <c r="J1006" s="19">
        <f t="array" ref="J1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6" s="20">
        <f>LEN(非皮卡压缩表[[#This Row],[LONG-TYPE]])</f>
        <v/>
      </c>
      <c r="L1006" s="21">
        <f t="array" ref="L1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6" s="22">
        <f>LEN(非皮卡压缩表[[#This Row],[TYPE]])</f>
        <v/>
      </c>
      <c r="N1006" s="22">
        <f t="array" ref="N1006">_xlfn.XLOOKUP(非皮卡压缩表[[#This Row],[MODEL]],MODEL缩写表[长MODEL],MODEL缩写表[短MODEL],非皮卡压缩表[[#This Row],[MODEL]])</f>
        <v/>
      </c>
      <c r="O1006" s="22">
        <f>LEN(非皮卡压缩表[[#This Row],[SHORT-MODEL]])</f>
        <v/>
      </c>
      <c r="P1006" s="11">
        <f t="array" ref="P1006">TRIM(_xlfn.XLOOKUP(非皮卡压缩表[[#This Row],[BACKSIZE]],ALL尺码表[内部尺码],ALL尺码表[通用尺码]))</f>
        <v/>
      </c>
    </row>
    <row r="1007">
      <c r="A1007" s="17" t="inlineStr">
        <is>
          <t>ALL</t>
        </is>
      </c>
      <c r="B1007" s="18" t="inlineStr">
        <is>
          <t>Nissan Xterra</t>
        </is>
      </c>
      <c r="C1007" s="18" t="inlineStr">
        <is>
          <t>Nissan</t>
        </is>
      </c>
      <c r="D1007" s="18" t="inlineStr">
        <is>
          <t>Xterra</t>
        </is>
      </c>
      <c r="E1007" s="18" t="inlineStr">
        <is>
          <t>2000-2015</t>
        </is>
      </c>
      <c r="F1007" s="18" t="inlineStr"/>
      <c r="G1007" s="18" t="inlineStr">
        <is>
          <t>SUV</t>
        </is>
      </c>
      <c r="H1007" s="18" t="inlineStr">
        <is>
          <t>YM+</t>
        </is>
      </c>
      <c r="I1007" s="19">
        <f t="array" ref="I1007">TRIM(_xlfn.XLOOKUP(非皮卡压缩表[[#This Row],[BACKSIZE]],ALL尺码表[内部尺码],ALL尺码表[分类],""))</f>
        <v/>
      </c>
      <c r="J1007" s="19">
        <f t="array" ref="J1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7" s="20">
        <f>LEN(非皮卡压缩表[[#This Row],[LONG-TYPE]])</f>
        <v/>
      </c>
      <c r="L1007" s="21">
        <f t="array" ref="L1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7" s="22">
        <f>LEN(非皮卡压缩表[[#This Row],[TYPE]])</f>
        <v/>
      </c>
      <c r="N1007" s="22">
        <f t="array" ref="N1007">_xlfn.XLOOKUP(非皮卡压缩表[[#This Row],[MODEL]],MODEL缩写表[长MODEL],MODEL缩写表[短MODEL],非皮卡压缩表[[#This Row],[MODEL]])</f>
        <v/>
      </c>
      <c r="O1007" s="22">
        <f>LEN(非皮卡压缩表[[#This Row],[SHORT-MODEL]])</f>
        <v/>
      </c>
      <c r="P1007" s="11">
        <f t="array" ref="P1007">TRIM(_xlfn.XLOOKUP(非皮卡压缩表[[#This Row],[BACKSIZE]],ALL尺码表[内部尺码],ALL尺码表[通用尺码]))</f>
        <v/>
      </c>
    </row>
    <row r="1008">
      <c r="A1008" s="17" t="inlineStr">
        <is>
          <t>ALL</t>
        </is>
      </c>
      <c r="B1008" s="18" t="inlineStr">
        <is>
          <t>Nissan Z</t>
        </is>
      </c>
      <c r="C1008" s="18" t="inlineStr">
        <is>
          <t>Nissan</t>
        </is>
      </c>
      <c r="D1008" s="18" t="inlineStr">
        <is>
          <t>Z</t>
        </is>
      </c>
      <c r="E1008" s="18" t="inlineStr">
        <is>
          <t>2023-2026</t>
        </is>
      </c>
      <c r="F1008" s="18" t="inlineStr">
        <is>
          <t>Incl: NISMO</t>
        </is>
      </c>
      <c r="G1008" s="18" t="inlineStr">
        <is>
          <t>Coupe</t>
        </is>
      </c>
      <c r="H1008" s="18" t="inlineStr">
        <is>
          <t>3M-0</t>
        </is>
      </c>
      <c r="I1008" s="19">
        <f t="array" ref="I1008">TRIM(_xlfn.XLOOKUP(非皮卡压缩表[[#This Row],[BACKSIZE]],ALL尺码表[内部尺码],ALL尺码表[分类],""))</f>
        <v/>
      </c>
      <c r="J1008" s="19">
        <f t="array" ref="J1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8" s="20">
        <f>LEN(非皮卡压缩表[[#This Row],[LONG-TYPE]])</f>
        <v/>
      </c>
      <c r="L1008" s="21">
        <f t="array" ref="L1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8" s="22">
        <f>LEN(非皮卡压缩表[[#This Row],[TYPE]])</f>
        <v/>
      </c>
      <c r="N1008" s="22">
        <f t="array" ref="N1008">_xlfn.XLOOKUP(非皮卡压缩表[[#This Row],[MODEL]],MODEL缩写表[长MODEL],MODEL缩写表[短MODEL],非皮卡压缩表[[#This Row],[MODEL]])</f>
        <v/>
      </c>
      <c r="O1008" s="22">
        <f>LEN(非皮卡压缩表[[#This Row],[SHORT-MODEL]])</f>
        <v/>
      </c>
      <c r="P1008" s="11">
        <f t="array" ref="P1008">TRIM(_xlfn.XLOOKUP(非皮卡压缩表[[#This Row],[BACKSIZE]],ALL尺码表[内部尺码],ALL尺码表[通用尺码]))</f>
        <v/>
      </c>
    </row>
    <row r="1009">
      <c r="A1009" s="17" t="inlineStr">
        <is>
          <t>ALL</t>
        </is>
      </c>
      <c r="B1009" s="18" t="inlineStr">
        <is>
          <t>Oldsmobile 88</t>
        </is>
      </c>
      <c r="C1009" s="18" t="inlineStr">
        <is>
          <t>Oldsmobile</t>
        </is>
      </c>
      <c r="D1009" s="18" t="inlineStr">
        <is>
          <t>88</t>
        </is>
      </c>
      <c r="E1009" s="18" t="inlineStr">
        <is>
          <t>1949-1950</t>
        </is>
      </c>
      <c r="F1009" s="18" t="inlineStr"/>
      <c r="G1009" s="18" t="inlineStr">
        <is>
          <t>Coupe</t>
        </is>
      </c>
      <c r="H1009" s="18" t="inlineStr">
        <is>
          <t>3XL+0</t>
        </is>
      </c>
      <c r="I1009" s="19">
        <f t="array" ref="I1009">TRIM(_xlfn.XLOOKUP(非皮卡压缩表[[#This Row],[BACKSIZE]],ALL尺码表[内部尺码],ALL尺码表[分类],""))</f>
        <v/>
      </c>
      <c r="J1009" s="19">
        <f t="array" ref="J1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9" s="20">
        <f>LEN(非皮卡压缩表[[#This Row],[LONG-TYPE]])</f>
        <v/>
      </c>
      <c r="L1009" s="21">
        <f t="array" ref="L1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9" s="22">
        <f>LEN(非皮卡压缩表[[#This Row],[TYPE]])</f>
        <v/>
      </c>
      <c r="N1009" s="22">
        <f t="array" ref="N1009">_xlfn.XLOOKUP(非皮卡压缩表[[#This Row],[MODEL]],MODEL缩写表[长MODEL],MODEL缩写表[短MODEL],非皮卡压缩表[[#This Row],[MODEL]])</f>
        <v/>
      </c>
      <c r="O1009" s="22">
        <f>LEN(非皮卡压缩表[[#This Row],[SHORT-MODEL]])</f>
        <v/>
      </c>
      <c r="P1009" s="11">
        <f t="array" ref="P1009">TRIM(_xlfn.XLOOKUP(非皮卡压缩表[[#This Row],[BACKSIZE]],ALL尺码表[内部尺码],ALL尺码表[通用尺码]))</f>
        <v/>
      </c>
    </row>
    <row r="1010">
      <c r="A1010" s="17" t="inlineStr">
        <is>
          <t>ALL</t>
        </is>
      </c>
      <c r="B1010" s="18" t="inlineStr">
        <is>
          <t>Oldsmobile 88</t>
        </is>
      </c>
      <c r="C1010" s="18" t="inlineStr">
        <is>
          <t>Oldsmobile</t>
        </is>
      </c>
      <c r="D1010" s="18" t="inlineStr">
        <is>
          <t>88</t>
        </is>
      </c>
      <c r="E1010" s="18" t="inlineStr">
        <is>
          <t>1951-1958</t>
        </is>
      </c>
      <c r="F1010" s="18" t="inlineStr"/>
      <c r="G1010" s="18" t="inlineStr">
        <is>
          <t>Sedan</t>
        </is>
      </c>
      <c r="H1010" s="18" t="inlineStr">
        <is>
          <t>3XXL</t>
        </is>
      </c>
      <c r="I1010" s="19">
        <f t="array" ref="I1010">TRIM(_xlfn.XLOOKUP(非皮卡压缩表[[#This Row],[BACKSIZE]],ALL尺码表[内部尺码],ALL尺码表[分类],""))</f>
        <v/>
      </c>
      <c r="J1010" s="19">
        <f t="array" ref="J1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0" s="20">
        <f>LEN(非皮卡压缩表[[#This Row],[LONG-TYPE]])</f>
        <v/>
      </c>
      <c r="L1010" s="21">
        <f t="array" ref="L1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0" s="22">
        <f>LEN(非皮卡压缩表[[#This Row],[TYPE]])</f>
        <v/>
      </c>
      <c r="N1010" s="22">
        <f t="array" ref="N1010">_xlfn.XLOOKUP(非皮卡压缩表[[#This Row],[MODEL]],MODEL缩写表[长MODEL],MODEL缩写表[短MODEL],非皮卡压缩表[[#This Row],[MODEL]])</f>
        <v/>
      </c>
      <c r="O1010" s="22">
        <f>LEN(非皮卡压缩表[[#This Row],[SHORT-MODEL]])</f>
        <v/>
      </c>
      <c r="P1010" s="11">
        <f t="array" ref="P1010">TRIM(_xlfn.XLOOKUP(非皮卡压缩表[[#This Row],[BACKSIZE]],ALL尺码表[内部尺码],ALL尺码表[通用尺码]))</f>
        <v/>
      </c>
    </row>
    <row r="1011">
      <c r="A1011" s="17" t="inlineStr">
        <is>
          <t>ALL</t>
        </is>
      </c>
      <c r="B1011" s="18" t="inlineStr">
        <is>
          <t>Oldsmobile 88</t>
        </is>
      </c>
      <c r="C1011" s="18" t="inlineStr">
        <is>
          <t>Oldsmobile</t>
        </is>
      </c>
      <c r="D1011" s="18" t="inlineStr">
        <is>
          <t>88</t>
        </is>
      </c>
      <c r="E1011" s="18" t="inlineStr">
        <is>
          <t>1951-1958</t>
        </is>
      </c>
      <c r="F1011" s="18" t="inlineStr"/>
      <c r="G1011" s="18" t="inlineStr">
        <is>
          <t>Coupe</t>
        </is>
      </c>
      <c r="H1011" s="18" t="inlineStr">
        <is>
          <t>3XXL-0</t>
        </is>
      </c>
      <c r="I1011" s="19">
        <f t="array" ref="I1011">TRIM(_xlfn.XLOOKUP(非皮卡压缩表[[#This Row],[BACKSIZE]],ALL尺码表[内部尺码],ALL尺码表[分类],""))</f>
        <v/>
      </c>
      <c r="J1011" s="19">
        <f t="array" ref="J1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1" s="20">
        <f>LEN(非皮卡压缩表[[#This Row],[LONG-TYPE]])</f>
        <v/>
      </c>
      <c r="L1011" s="21">
        <f t="array" ref="L1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1" s="22">
        <f>LEN(非皮卡压缩表[[#This Row],[TYPE]])</f>
        <v/>
      </c>
      <c r="N1011" s="22">
        <f t="array" ref="N1011">_xlfn.XLOOKUP(非皮卡压缩表[[#This Row],[MODEL]],MODEL缩写表[长MODEL],MODEL缩写表[短MODEL],非皮卡压缩表[[#This Row],[MODEL]])</f>
        <v/>
      </c>
      <c r="O1011" s="22">
        <f>LEN(非皮卡压缩表[[#This Row],[SHORT-MODEL]])</f>
        <v/>
      </c>
      <c r="P1011" s="11">
        <f t="array" ref="P1011">TRIM(_xlfn.XLOOKUP(非皮卡压缩表[[#This Row],[BACKSIZE]],ALL尺码表[内部尺码],ALL尺码表[通用尺码]))</f>
        <v/>
      </c>
    </row>
    <row r="1012">
      <c r="A1012" s="17" t="inlineStr">
        <is>
          <t>ALL</t>
        </is>
      </c>
      <c r="B1012" s="18" t="inlineStr">
        <is>
          <t>Oldsmobile 88</t>
        </is>
      </c>
      <c r="C1012" s="18" t="inlineStr">
        <is>
          <t>Oldsmobile</t>
        </is>
      </c>
      <c r="D1012" s="18" t="inlineStr">
        <is>
          <t>88</t>
        </is>
      </c>
      <c r="E1012" s="18" t="inlineStr">
        <is>
          <t>1957-1985</t>
        </is>
      </c>
      <c r="F1012" s="18" t="inlineStr"/>
      <c r="G1012" s="18" t="inlineStr">
        <is>
          <t>Hatchback/Wagon</t>
        </is>
      </c>
      <c r="H1012" s="18" t="inlineStr">
        <is>
          <t>无可用尺码</t>
        </is>
      </c>
      <c r="I1012" s="19">
        <f t="array" ref="I1012">TRIM(_xlfn.XLOOKUP(非皮卡压缩表[[#This Row],[BACKSIZE]],ALL尺码表[内部尺码],ALL尺码表[分类],""))</f>
        <v/>
      </c>
      <c r="J1012" s="19">
        <f t="array" ref="J1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2" s="20">
        <f>LEN(非皮卡压缩表[[#This Row],[LONG-TYPE]])</f>
        <v/>
      </c>
      <c r="L1012" s="21">
        <f t="array" ref="L1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2" s="22">
        <f>LEN(非皮卡压缩表[[#This Row],[TYPE]])</f>
        <v/>
      </c>
      <c r="N1012" s="22">
        <f t="array" ref="N1012">_xlfn.XLOOKUP(非皮卡压缩表[[#This Row],[MODEL]],MODEL缩写表[长MODEL],MODEL缩写表[短MODEL],非皮卡压缩表[[#This Row],[MODEL]])</f>
        <v/>
      </c>
      <c r="O1012" s="22">
        <f>LEN(非皮卡压缩表[[#This Row],[SHORT-MODEL]])</f>
        <v/>
      </c>
      <c r="P1012" s="11">
        <f t="array" ref="P1012">TRIM(_xlfn.XLOOKUP(非皮卡压缩表[[#This Row],[BACKSIZE]],ALL尺码表[内部尺码],ALL尺码表[通用尺码]))</f>
        <v/>
      </c>
    </row>
    <row r="1013">
      <c r="A1013" s="17" t="inlineStr">
        <is>
          <t>ALL</t>
        </is>
      </c>
      <c r="B1013" s="18" t="inlineStr">
        <is>
          <t>Oldsmobile 88</t>
        </is>
      </c>
      <c r="C1013" s="18" t="inlineStr">
        <is>
          <t>Oldsmobile</t>
        </is>
      </c>
      <c r="D1013" s="18" t="inlineStr">
        <is>
          <t>88</t>
        </is>
      </c>
      <c r="E1013" s="18" t="inlineStr">
        <is>
          <t>1959-1960</t>
        </is>
      </c>
      <c r="F1013" s="18" t="inlineStr"/>
      <c r="G1013" s="18" t="inlineStr">
        <is>
          <t>Coupe</t>
        </is>
      </c>
      <c r="H1013" s="18" t="inlineStr">
        <is>
          <t>3XXXXL-0</t>
        </is>
      </c>
      <c r="I1013" s="19">
        <f t="array" ref="I1013">TRIM(_xlfn.XLOOKUP(非皮卡压缩表[[#This Row],[BACKSIZE]],ALL尺码表[内部尺码],ALL尺码表[分类],""))</f>
        <v/>
      </c>
      <c r="J1013" s="19">
        <f t="array" ref="J1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3" s="20">
        <f>LEN(非皮卡压缩表[[#This Row],[LONG-TYPE]])</f>
        <v/>
      </c>
      <c r="L1013" s="21">
        <f t="array" ref="L1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3" s="22">
        <f>LEN(非皮卡压缩表[[#This Row],[TYPE]])</f>
        <v/>
      </c>
      <c r="N1013" s="22">
        <f t="array" ref="N1013">_xlfn.XLOOKUP(非皮卡压缩表[[#This Row],[MODEL]],MODEL缩写表[长MODEL],MODEL缩写表[短MODEL],非皮卡压缩表[[#This Row],[MODEL]])</f>
        <v/>
      </c>
      <c r="O1013" s="22">
        <f>LEN(非皮卡压缩表[[#This Row],[SHORT-MODEL]])</f>
        <v/>
      </c>
      <c r="P1013" s="11">
        <f t="array" ref="P1013">TRIM(_xlfn.XLOOKUP(非皮卡压缩表[[#This Row],[BACKSIZE]],ALL尺码表[内部尺码],ALL尺码表[通用尺码]))</f>
        <v/>
      </c>
    </row>
    <row r="1014">
      <c r="A1014" s="17" t="inlineStr">
        <is>
          <t>ALL</t>
        </is>
      </c>
      <c r="B1014" s="18" t="inlineStr">
        <is>
          <t>Oldsmobile 88</t>
        </is>
      </c>
      <c r="C1014" s="18" t="inlineStr">
        <is>
          <t>Oldsmobile</t>
        </is>
      </c>
      <c r="D1014" s="18" t="inlineStr">
        <is>
          <t>88</t>
        </is>
      </c>
      <c r="E1014" s="18" t="inlineStr">
        <is>
          <t>1959-1960</t>
        </is>
      </c>
      <c r="F1014" s="18" t="inlineStr"/>
      <c r="G1014" s="18" t="inlineStr">
        <is>
          <t>Sedan</t>
        </is>
      </c>
      <c r="H1014" s="18" t="inlineStr">
        <is>
          <t>无可用尺码</t>
        </is>
      </c>
      <c r="I1014" s="19">
        <f t="array" ref="I1014">TRIM(_xlfn.XLOOKUP(非皮卡压缩表[[#This Row],[BACKSIZE]],ALL尺码表[内部尺码],ALL尺码表[分类],""))</f>
        <v/>
      </c>
      <c r="J1014" s="19">
        <f t="array" ref="J1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4" s="20">
        <f>LEN(非皮卡压缩表[[#This Row],[LONG-TYPE]])</f>
        <v/>
      </c>
      <c r="L1014" s="21">
        <f t="array" ref="L1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4" s="22">
        <f>LEN(非皮卡压缩表[[#This Row],[TYPE]])</f>
        <v/>
      </c>
      <c r="N1014" s="22">
        <f t="array" ref="N1014">_xlfn.XLOOKUP(非皮卡压缩表[[#This Row],[MODEL]],MODEL缩写表[长MODEL],MODEL缩写表[短MODEL],非皮卡压缩表[[#This Row],[MODEL]])</f>
        <v/>
      </c>
      <c r="O1014" s="22">
        <f>LEN(非皮卡压缩表[[#This Row],[SHORT-MODEL]])</f>
        <v/>
      </c>
      <c r="P1014" s="11">
        <f t="array" ref="P1014">TRIM(_xlfn.XLOOKUP(非皮卡压缩表[[#This Row],[BACKSIZE]],ALL尺码表[内部尺码],ALL尺码表[通用尺码]))</f>
        <v/>
      </c>
    </row>
    <row r="1015">
      <c r="A1015" s="17" t="inlineStr">
        <is>
          <t>ALL</t>
        </is>
      </c>
      <c r="B1015" s="18" t="inlineStr">
        <is>
          <t>Oldsmobile 88</t>
        </is>
      </c>
      <c r="C1015" s="18" t="inlineStr">
        <is>
          <t>Oldsmobile</t>
        </is>
      </c>
      <c r="D1015" s="18" t="inlineStr">
        <is>
          <t>88</t>
        </is>
      </c>
      <c r="E1015" s="18" t="inlineStr">
        <is>
          <t>1961-1965</t>
        </is>
      </c>
      <c r="F1015" s="18" t="inlineStr"/>
      <c r="G1015" s="18" t="inlineStr">
        <is>
          <t>Sedan</t>
        </is>
      </c>
      <c r="H1015" s="18" t="inlineStr">
        <is>
          <t>3XXXL</t>
        </is>
      </c>
      <c r="I1015" s="19">
        <f t="array" ref="I1015">TRIM(_xlfn.XLOOKUP(非皮卡压缩表[[#This Row],[BACKSIZE]],ALL尺码表[内部尺码],ALL尺码表[分类],""))</f>
        <v/>
      </c>
      <c r="J1015" s="19">
        <f t="array" ref="J1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5" s="20">
        <f>LEN(非皮卡压缩表[[#This Row],[LONG-TYPE]])</f>
        <v/>
      </c>
      <c r="L1015" s="21">
        <f t="array" ref="L1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5" s="22">
        <f>LEN(非皮卡压缩表[[#This Row],[TYPE]])</f>
        <v/>
      </c>
      <c r="N1015" s="22">
        <f t="array" ref="N1015">_xlfn.XLOOKUP(非皮卡压缩表[[#This Row],[MODEL]],MODEL缩写表[长MODEL],MODEL缩写表[短MODEL],非皮卡压缩表[[#This Row],[MODEL]])</f>
        <v/>
      </c>
      <c r="O1015" s="22">
        <f>LEN(非皮卡压缩表[[#This Row],[SHORT-MODEL]])</f>
        <v/>
      </c>
      <c r="P1015" s="11">
        <f t="array" ref="P1015">TRIM(_xlfn.XLOOKUP(非皮卡压缩表[[#This Row],[BACKSIZE]],ALL尺码表[内部尺码],ALL尺码表[通用尺码]))</f>
        <v/>
      </c>
    </row>
    <row r="1016">
      <c r="A1016" s="17" t="inlineStr">
        <is>
          <t>ALL</t>
        </is>
      </c>
      <c r="B1016" s="18" t="inlineStr">
        <is>
          <t>Oldsmobile 88</t>
        </is>
      </c>
      <c r="C1016" s="18" t="inlineStr">
        <is>
          <t>Oldsmobile</t>
        </is>
      </c>
      <c r="D1016" s="18" t="inlineStr">
        <is>
          <t>88</t>
        </is>
      </c>
      <c r="E1016" s="18" t="inlineStr">
        <is>
          <t>1961-1965</t>
        </is>
      </c>
      <c r="F1016" s="18" t="inlineStr"/>
      <c r="G1016" s="18" t="inlineStr">
        <is>
          <t>Coupe</t>
        </is>
      </c>
      <c r="H1016" s="18" t="inlineStr">
        <is>
          <t>3XXXL-0</t>
        </is>
      </c>
      <c r="I1016" s="19">
        <f t="array" ref="I1016">TRIM(_xlfn.XLOOKUP(非皮卡压缩表[[#This Row],[BACKSIZE]],ALL尺码表[内部尺码],ALL尺码表[分类],""))</f>
        <v/>
      </c>
      <c r="J1016" s="19">
        <f t="array" ref="J1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6" s="20">
        <f>LEN(非皮卡压缩表[[#This Row],[LONG-TYPE]])</f>
        <v/>
      </c>
      <c r="L1016" s="21">
        <f t="array" ref="L1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6" s="22">
        <f>LEN(非皮卡压缩表[[#This Row],[TYPE]])</f>
        <v/>
      </c>
      <c r="N1016" s="22">
        <f t="array" ref="N1016">_xlfn.XLOOKUP(非皮卡压缩表[[#This Row],[MODEL]],MODEL缩写表[长MODEL],MODEL缩写表[短MODEL],非皮卡压缩表[[#This Row],[MODEL]])</f>
        <v/>
      </c>
      <c r="O1016" s="22">
        <f>LEN(非皮卡压缩表[[#This Row],[SHORT-MODEL]])</f>
        <v/>
      </c>
      <c r="P1016" s="11">
        <f t="array" ref="P1016">TRIM(_xlfn.XLOOKUP(非皮卡压缩表[[#This Row],[BACKSIZE]],ALL尺码表[内部尺码],ALL尺码表[通用尺码]))</f>
        <v/>
      </c>
    </row>
    <row r="1017">
      <c r="A1017" s="17" t="inlineStr">
        <is>
          <t>ALL</t>
        </is>
      </c>
      <c r="B1017" s="18" t="inlineStr">
        <is>
          <t>Oldsmobile 88</t>
        </is>
      </c>
      <c r="C1017" s="18" t="inlineStr">
        <is>
          <t>Oldsmobile</t>
        </is>
      </c>
      <c r="D1017" s="18" t="inlineStr">
        <is>
          <t>88</t>
        </is>
      </c>
      <c r="E1017" s="18" t="inlineStr">
        <is>
          <t>1966</t>
        </is>
      </c>
      <c r="F1017" s="18" t="inlineStr"/>
      <c r="G1017" s="18" t="inlineStr">
        <is>
          <t>Coupe</t>
        </is>
      </c>
      <c r="H1017" s="18" t="inlineStr">
        <is>
          <t>3XXXXL-0</t>
        </is>
      </c>
      <c r="I1017" s="19">
        <f t="array" ref="I1017">TRIM(_xlfn.XLOOKUP(非皮卡压缩表[[#This Row],[BACKSIZE]],ALL尺码表[内部尺码],ALL尺码表[分类],""))</f>
        <v/>
      </c>
      <c r="J1017" s="19">
        <f t="array" ref="J1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7" s="20">
        <f>LEN(非皮卡压缩表[[#This Row],[LONG-TYPE]])</f>
        <v/>
      </c>
      <c r="L1017" s="21">
        <f t="array" ref="L1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7" s="22">
        <f>LEN(非皮卡压缩表[[#This Row],[TYPE]])</f>
        <v/>
      </c>
      <c r="N1017" s="22">
        <f t="array" ref="N1017">_xlfn.XLOOKUP(非皮卡压缩表[[#This Row],[MODEL]],MODEL缩写表[长MODEL],MODEL缩写表[短MODEL],非皮卡压缩表[[#This Row],[MODEL]])</f>
        <v/>
      </c>
      <c r="O1017" s="22">
        <f>LEN(非皮卡压缩表[[#This Row],[SHORT-MODEL]])</f>
        <v/>
      </c>
      <c r="P1017" s="11">
        <f t="array" ref="P1017">TRIM(_xlfn.XLOOKUP(非皮卡压缩表[[#This Row],[BACKSIZE]],ALL尺码表[内部尺码],ALL尺码表[通用尺码]))</f>
        <v/>
      </c>
    </row>
    <row r="1018">
      <c r="A1018" s="17" t="inlineStr">
        <is>
          <t>ALL</t>
        </is>
      </c>
      <c r="B1018" s="18" t="inlineStr">
        <is>
          <t>Oldsmobile 88</t>
        </is>
      </c>
      <c r="C1018" s="18" t="inlineStr">
        <is>
          <t>Oldsmobile</t>
        </is>
      </c>
      <c r="D1018" s="18" t="inlineStr">
        <is>
          <t>88</t>
        </is>
      </c>
      <c r="E1018" s="18" t="inlineStr">
        <is>
          <t>1966-1967</t>
        </is>
      </c>
      <c r="F1018" s="18" t="inlineStr"/>
      <c r="G1018" s="18" t="inlineStr">
        <is>
          <t>Sedan</t>
        </is>
      </c>
      <c r="H1018" s="18" t="inlineStr">
        <is>
          <t>无可用尺码</t>
        </is>
      </c>
      <c r="I1018" s="19">
        <f t="array" ref="I1018">TRIM(_xlfn.XLOOKUP(非皮卡压缩表[[#This Row],[BACKSIZE]],ALL尺码表[内部尺码],ALL尺码表[分类],""))</f>
        <v/>
      </c>
      <c r="J1018" s="19">
        <f t="array" ref="J1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8" s="20">
        <f>LEN(非皮卡压缩表[[#This Row],[LONG-TYPE]])</f>
        <v/>
      </c>
      <c r="L1018" s="21">
        <f t="array" ref="L1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8" s="22">
        <f>LEN(非皮卡压缩表[[#This Row],[TYPE]])</f>
        <v/>
      </c>
      <c r="N1018" s="22">
        <f t="array" ref="N1018">_xlfn.XLOOKUP(非皮卡压缩表[[#This Row],[MODEL]],MODEL缩写表[长MODEL],MODEL缩写表[短MODEL],非皮卡压缩表[[#This Row],[MODEL]])</f>
        <v/>
      </c>
      <c r="O1018" s="22">
        <f>LEN(非皮卡压缩表[[#This Row],[SHORT-MODEL]])</f>
        <v/>
      </c>
      <c r="P1018" s="11">
        <f t="array" ref="P1018">TRIM(_xlfn.XLOOKUP(非皮卡压缩表[[#This Row],[BACKSIZE]],ALL尺码表[内部尺码],ALL尺码表[通用尺码]))</f>
        <v/>
      </c>
    </row>
    <row r="1019">
      <c r="A1019" s="17" t="inlineStr">
        <is>
          <t>ALL</t>
        </is>
      </c>
      <c r="B1019" s="18" t="inlineStr">
        <is>
          <t>Oldsmobile 88</t>
        </is>
      </c>
      <c r="C1019" s="18" t="inlineStr">
        <is>
          <t>Oldsmobile</t>
        </is>
      </c>
      <c r="D1019" s="18" t="inlineStr">
        <is>
          <t>88</t>
        </is>
      </c>
      <c r="E1019" s="18" t="inlineStr">
        <is>
          <t>1967</t>
        </is>
      </c>
      <c r="F1019" s="18" t="inlineStr"/>
      <c r="G1019" s="18" t="inlineStr">
        <is>
          <t>Coupe</t>
        </is>
      </c>
      <c r="H1019" s="18" t="inlineStr">
        <is>
          <t>3XXXL-0</t>
        </is>
      </c>
      <c r="I1019" s="19">
        <f t="array" ref="I1019">TRIM(_xlfn.XLOOKUP(非皮卡压缩表[[#This Row],[BACKSIZE]],ALL尺码表[内部尺码],ALL尺码表[分类],""))</f>
        <v/>
      </c>
      <c r="J1019" s="19">
        <f t="array" ref="J1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9" s="20">
        <f>LEN(非皮卡压缩表[[#This Row],[LONG-TYPE]])</f>
        <v/>
      </c>
      <c r="L1019" s="21">
        <f t="array" ref="L1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9" s="22">
        <f>LEN(非皮卡压缩表[[#This Row],[TYPE]])</f>
        <v/>
      </c>
      <c r="N1019" s="22">
        <f t="array" ref="N1019">_xlfn.XLOOKUP(非皮卡压缩表[[#This Row],[MODEL]],MODEL缩写表[长MODEL],MODEL缩写表[短MODEL],非皮卡压缩表[[#This Row],[MODEL]])</f>
        <v/>
      </c>
      <c r="O1019" s="22">
        <f>LEN(非皮卡压缩表[[#This Row],[SHORT-MODEL]])</f>
        <v/>
      </c>
      <c r="P1019" s="11">
        <f t="array" ref="P1019">TRIM(_xlfn.XLOOKUP(非皮卡压缩表[[#This Row],[BACKSIZE]],ALL尺码表[内部尺码],ALL尺码表[通用尺码]))</f>
        <v/>
      </c>
    </row>
    <row r="1020">
      <c r="A1020" s="17" t="inlineStr">
        <is>
          <t>ALL</t>
        </is>
      </c>
      <c r="B1020" s="18" t="inlineStr">
        <is>
          <t>Oldsmobile 88</t>
        </is>
      </c>
      <c r="C1020" s="18" t="inlineStr">
        <is>
          <t>Oldsmobile</t>
        </is>
      </c>
      <c r="D1020" s="18" t="inlineStr">
        <is>
          <t>88</t>
        </is>
      </c>
      <c r="E1020" s="18" t="inlineStr">
        <is>
          <t>1968</t>
        </is>
      </c>
      <c r="F1020" s="18" t="inlineStr"/>
      <c r="G1020" s="18" t="inlineStr">
        <is>
          <t>Sedan</t>
        </is>
      </c>
      <c r="H1020" s="18" t="inlineStr">
        <is>
          <t>3XXXL</t>
        </is>
      </c>
      <c r="I1020" s="19">
        <f t="array" ref="I1020">TRIM(_xlfn.XLOOKUP(非皮卡压缩表[[#This Row],[BACKSIZE]],ALL尺码表[内部尺码],ALL尺码表[分类],""))</f>
        <v/>
      </c>
      <c r="J1020" s="19">
        <f t="array" ref="J1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0" s="20">
        <f>LEN(非皮卡压缩表[[#This Row],[LONG-TYPE]])</f>
        <v/>
      </c>
      <c r="L1020" s="21">
        <f t="array" ref="L1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0" s="22">
        <f>LEN(非皮卡压缩表[[#This Row],[TYPE]])</f>
        <v/>
      </c>
      <c r="N1020" s="22">
        <f t="array" ref="N1020">_xlfn.XLOOKUP(非皮卡压缩表[[#This Row],[MODEL]],MODEL缩写表[长MODEL],MODEL缩写表[短MODEL],非皮卡压缩表[[#This Row],[MODEL]])</f>
        <v/>
      </c>
      <c r="O1020" s="22">
        <f>LEN(非皮卡压缩表[[#This Row],[SHORT-MODEL]])</f>
        <v/>
      </c>
      <c r="P1020" s="11">
        <f t="array" ref="P1020">TRIM(_xlfn.XLOOKUP(非皮卡压缩表[[#This Row],[BACKSIZE]],ALL尺码表[内部尺码],ALL尺码表[通用尺码]))</f>
        <v/>
      </c>
    </row>
    <row r="1021">
      <c r="A1021" s="17" t="inlineStr">
        <is>
          <t>ALL</t>
        </is>
      </c>
      <c r="B1021" s="18" t="inlineStr">
        <is>
          <t>Oldsmobile 88</t>
        </is>
      </c>
      <c r="C1021" s="18" t="inlineStr">
        <is>
          <t>Oldsmobile</t>
        </is>
      </c>
      <c r="D1021" s="18" t="inlineStr">
        <is>
          <t>88</t>
        </is>
      </c>
      <c r="E1021" s="18" t="inlineStr">
        <is>
          <t>1968-1976</t>
        </is>
      </c>
      <c r="F1021" s="18" t="inlineStr"/>
      <c r="G1021" s="18" t="inlineStr">
        <is>
          <t>Coupe</t>
        </is>
      </c>
      <c r="H1021" s="18" t="inlineStr">
        <is>
          <t>3XXXXL-0</t>
        </is>
      </c>
      <c r="I1021" s="19">
        <f t="array" ref="I1021">TRIM(_xlfn.XLOOKUP(非皮卡压缩表[[#This Row],[BACKSIZE]],ALL尺码表[内部尺码],ALL尺码表[分类],""))</f>
        <v/>
      </c>
      <c r="J1021" s="19">
        <f t="array" ref="J1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1" s="20">
        <f>LEN(非皮卡压缩表[[#This Row],[LONG-TYPE]])</f>
        <v/>
      </c>
      <c r="L1021" s="21">
        <f t="array" ref="L1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1" s="22">
        <f>LEN(非皮卡压缩表[[#This Row],[TYPE]])</f>
        <v/>
      </c>
      <c r="N1021" s="22">
        <f t="array" ref="N1021">_xlfn.XLOOKUP(非皮卡压缩表[[#This Row],[MODEL]],MODEL缩写表[长MODEL],MODEL缩写表[短MODEL],非皮卡压缩表[[#This Row],[MODEL]])</f>
        <v/>
      </c>
      <c r="O1021" s="22">
        <f>LEN(非皮卡压缩表[[#This Row],[SHORT-MODEL]])</f>
        <v/>
      </c>
      <c r="P1021" s="11">
        <f t="array" ref="P1021">TRIM(_xlfn.XLOOKUP(非皮卡压缩表[[#This Row],[BACKSIZE]],ALL尺码表[内部尺码],ALL尺码表[通用尺码]))</f>
        <v/>
      </c>
    </row>
    <row r="1022">
      <c r="A1022" s="17" t="inlineStr">
        <is>
          <t>ALL</t>
        </is>
      </c>
      <c r="B1022" s="18" t="inlineStr">
        <is>
          <t>Oldsmobile 88</t>
        </is>
      </c>
      <c r="C1022" s="18" t="inlineStr">
        <is>
          <t>Oldsmobile</t>
        </is>
      </c>
      <c r="D1022" s="18" t="inlineStr">
        <is>
          <t>88</t>
        </is>
      </c>
      <c r="E1022" s="18" t="inlineStr">
        <is>
          <t>1969-1976</t>
        </is>
      </c>
      <c r="F1022" s="18" t="inlineStr"/>
      <c r="G1022" s="18" t="inlineStr">
        <is>
          <t>Sedan</t>
        </is>
      </c>
      <c r="H1022" s="18" t="inlineStr">
        <is>
          <t>无可用尺码</t>
        </is>
      </c>
      <c r="I1022" s="19">
        <f t="array" ref="I1022">TRIM(_xlfn.XLOOKUP(非皮卡压缩表[[#This Row],[BACKSIZE]],ALL尺码表[内部尺码],ALL尺码表[分类],""))</f>
        <v/>
      </c>
      <c r="J1022" s="19">
        <f t="array" ref="J1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2" s="20">
        <f>LEN(非皮卡压缩表[[#This Row],[LONG-TYPE]])</f>
        <v/>
      </c>
      <c r="L1022" s="21">
        <f t="array" ref="L1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2" s="22">
        <f>LEN(非皮卡压缩表[[#This Row],[TYPE]])</f>
        <v/>
      </c>
      <c r="N1022" s="22">
        <f t="array" ref="N1022">_xlfn.XLOOKUP(非皮卡压缩表[[#This Row],[MODEL]],MODEL缩写表[长MODEL],MODEL缩写表[短MODEL],非皮卡压缩表[[#This Row],[MODEL]])</f>
        <v/>
      </c>
      <c r="O1022" s="22">
        <f>LEN(非皮卡压缩表[[#This Row],[SHORT-MODEL]])</f>
        <v/>
      </c>
      <c r="P1022" s="11">
        <f t="array" ref="P1022">TRIM(_xlfn.XLOOKUP(非皮卡压缩表[[#This Row],[BACKSIZE]],ALL尺码表[内部尺码],ALL尺码表[通用尺码]))</f>
        <v/>
      </c>
    </row>
    <row r="1023">
      <c r="A1023" s="17" t="inlineStr">
        <is>
          <t>ALL</t>
        </is>
      </c>
      <c r="B1023" s="18" t="inlineStr">
        <is>
          <t>Oldsmobile 88</t>
        </is>
      </c>
      <c r="C1023" s="18" t="inlineStr">
        <is>
          <t>Oldsmobile</t>
        </is>
      </c>
      <c r="D1023" s="18" t="inlineStr">
        <is>
          <t>88</t>
        </is>
      </c>
      <c r="E1023" s="18" t="inlineStr">
        <is>
          <t>1977-1979</t>
        </is>
      </c>
      <c r="F1023" s="18" t="inlineStr"/>
      <c r="G1023" s="18" t="inlineStr">
        <is>
          <t>Sedan</t>
        </is>
      </c>
      <c r="H1023" s="18" t="inlineStr">
        <is>
          <t>3XXXL</t>
        </is>
      </c>
      <c r="I1023" s="19">
        <f t="array" ref="I1023">TRIM(_xlfn.XLOOKUP(非皮卡压缩表[[#This Row],[BACKSIZE]],ALL尺码表[内部尺码],ALL尺码表[分类],""))</f>
        <v/>
      </c>
      <c r="J1023" s="19">
        <f t="array" ref="J1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3" s="20">
        <f>LEN(非皮卡压缩表[[#This Row],[LONG-TYPE]])</f>
        <v/>
      </c>
      <c r="L1023" s="21">
        <f t="array" ref="L1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3" s="22">
        <f>LEN(非皮卡压缩表[[#This Row],[TYPE]])</f>
        <v/>
      </c>
      <c r="N1023" s="22">
        <f t="array" ref="N1023">_xlfn.XLOOKUP(非皮卡压缩表[[#This Row],[MODEL]],MODEL缩写表[长MODEL],MODEL缩写表[短MODEL],非皮卡压缩表[[#This Row],[MODEL]])</f>
        <v/>
      </c>
      <c r="O1023" s="22">
        <f>LEN(非皮卡压缩表[[#This Row],[SHORT-MODEL]])</f>
        <v/>
      </c>
      <c r="P1023" s="11">
        <f t="array" ref="P1023">TRIM(_xlfn.XLOOKUP(非皮卡压缩表[[#This Row],[BACKSIZE]],ALL尺码表[内部尺码],ALL尺码表[通用尺码]))</f>
        <v/>
      </c>
    </row>
    <row r="1024">
      <c r="A1024" s="17" t="inlineStr">
        <is>
          <t>ALL</t>
        </is>
      </c>
      <c r="B1024" s="18" t="inlineStr">
        <is>
          <t>Oldsmobile 88</t>
        </is>
      </c>
      <c r="C1024" s="18" t="inlineStr">
        <is>
          <t>Oldsmobile</t>
        </is>
      </c>
      <c r="D1024" s="18" t="inlineStr">
        <is>
          <t>88</t>
        </is>
      </c>
      <c r="E1024" s="18" t="inlineStr">
        <is>
          <t>1977-1979</t>
        </is>
      </c>
      <c r="F1024" s="18" t="inlineStr"/>
      <c r="G1024" s="18" t="inlineStr">
        <is>
          <t>Coupe</t>
        </is>
      </c>
      <c r="H1024" s="18" t="inlineStr">
        <is>
          <t>3XXXL-0</t>
        </is>
      </c>
      <c r="I1024" s="19">
        <f t="array" ref="I1024">TRIM(_xlfn.XLOOKUP(非皮卡压缩表[[#This Row],[BACKSIZE]],ALL尺码表[内部尺码],ALL尺码表[分类],""))</f>
        <v/>
      </c>
      <c r="J1024" s="19">
        <f t="array" ref="J1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4" s="20">
        <f>LEN(非皮卡压缩表[[#This Row],[LONG-TYPE]])</f>
        <v/>
      </c>
      <c r="L1024" s="21">
        <f t="array" ref="L1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4" s="22">
        <f>LEN(非皮卡压缩表[[#This Row],[TYPE]])</f>
        <v/>
      </c>
      <c r="N1024" s="22">
        <f t="array" ref="N1024">_xlfn.XLOOKUP(非皮卡压缩表[[#This Row],[MODEL]],MODEL缩写表[长MODEL],MODEL缩写表[短MODEL],非皮卡压缩表[[#This Row],[MODEL]])</f>
        <v/>
      </c>
      <c r="O1024" s="22">
        <f>LEN(非皮卡压缩表[[#This Row],[SHORT-MODEL]])</f>
        <v/>
      </c>
      <c r="P1024" s="11">
        <f t="array" ref="P1024">TRIM(_xlfn.XLOOKUP(非皮卡压缩表[[#This Row],[BACKSIZE]],ALL尺码表[内部尺码],ALL尺码表[通用尺码]))</f>
        <v/>
      </c>
    </row>
    <row r="1025">
      <c r="A1025" s="17" t="inlineStr">
        <is>
          <t>ALL</t>
        </is>
      </c>
      <c r="B1025" s="18" t="inlineStr">
        <is>
          <t>Oldsmobile 88</t>
        </is>
      </c>
      <c r="C1025" s="18" t="inlineStr">
        <is>
          <t>Oldsmobile</t>
        </is>
      </c>
      <c r="D1025" s="18" t="inlineStr">
        <is>
          <t>88</t>
        </is>
      </c>
      <c r="E1025" s="18" t="inlineStr">
        <is>
          <t>1980-1985</t>
        </is>
      </c>
      <c r="F1025" s="18" t="inlineStr"/>
      <c r="G1025" s="18" t="inlineStr">
        <is>
          <t>Coupe</t>
        </is>
      </c>
      <c r="H1025" s="18" t="inlineStr">
        <is>
          <t>3XXXXL-0</t>
        </is>
      </c>
      <c r="I1025" s="19">
        <f t="array" ref="I1025">TRIM(_xlfn.XLOOKUP(非皮卡压缩表[[#This Row],[BACKSIZE]],ALL尺码表[内部尺码],ALL尺码表[分类],""))</f>
        <v/>
      </c>
      <c r="J1025" s="19">
        <f t="array" ref="J1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5" s="20">
        <f>LEN(非皮卡压缩表[[#This Row],[LONG-TYPE]])</f>
        <v/>
      </c>
      <c r="L1025" s="21">
        <f t="array" ref="L1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5" s="22">
        <f>LEN(非皮卡压缩表[[#This Row],[TYPE]])</f>
        <v/>
      </c>
      <c r="N1025" s="22">
        <f t="array" ref="N1025">_xlfn.XLOOKUP(非皮卡压缩表[[#This Row],[MODEL]],MODEL缩写表[长MODEL],MODEL缩写表[短MODEL],非皮卡压缩表[[#This Row],[MODEL]])</f>
        <v/>
      </c>
      <c r="O1025" s="22">
        <f>LEN(非皮卡压缩表[[#This Row],[SHORT-MODEL]])</f>
        <v/>
      </c>
      <c r="P1025" s="11">
        <f t="array" ref="P1025">TRIM(_xlfn.XLOOKUP(非皮卡压缩表[[#This Row],[BACKSIZE]],ALL尺码表[内部尺码],ALL尺码表[通用尺码]))</f>
        <v/>
      </c>
    </row>
    <row r="1026">
      <c r="A1026" s="17" t="inlineStr">
        <is>
          <t>ALL</t>
        </is>
      </c>
      <c r="B1026" s="18" t="inlineStr">
        <is>
          <t>Oldsmobile 88</t>
        </is>
      </c>
      <c r="C1026" s="18" t="inlineStr">
        <is>
          <t>Oldsmobile</t>
        </is>
      </c>
      <c r="D1026" s="18" t="inlineStr">
        <is>
          <t>88</t>
        </is>
      </c>
      <c r="E1026" s="18" t="inlineStr">
        <is>
          <t>1980-1985</t>
        </is>
      </c>
      <c r="F1026" s="18" t="inlineStr"/>
      <c r="G1026" s="18" t="inlineStr">
        <is>
          <t>Sedan</t>
        </is>
      </c>
      <c r="H1026" s="18" t="inlineStr">
        <is>
          <t>无可用尺码</t>
        </is>
      </c>
      <c r="I1026" s="19">
        <f t="array" ref="I1026">TRIM(_xlfn.XLOOKUP(非皮卡压缩表[[#This Row],[BACKSIZE]],ALL尺码表[内部尺码],ALL尺码表[分类],""))</f>
        <v/>
      </c>
      <c r="J1026" s="19">
        <f t="array" ref="J1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6" s="20">
        <f>LEN(非皮卡压缩表[[#This Row],[LONG-TYPE]])</f>
        <v/>
      </c>
      <c r="L1026" s="21">
        <f t="array" ref="L1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6" s="22">
        <f>LEN(非皮卡压缩表[[#This Row],[TYPE]])</f>
        <v/>
      </c>
      <c r="N1026" s="22">
        <f t="array" ref="N1026">_xlfn.XLOOKUP(非皮卡压缩表[[#This Row],[MODEL]],MODEL缩写表[长MODEL],MODEL缩写表[短MODEL],非皮卡压缩表[[#This Row],[MODEL]])</f>
        <v/>
      </c>
      <c r="O1026" s="22">
        <f>LEN(非皮卡压缩表[[#This Row],[SHORT-MODEL]])</f>
        <v/>
      </c>
      <c r="P1026" s="11">
        <f t="array" ref="P1026">TRIM(_xlfn.XLOOKUP(非皮卡压缩表[[#This Row],[BACKSIZE]],ALL尺码表[内部尺码],ALL尺码表[通用尺码]))</f>
        <v/>
      </c>
    </row>
    <row r="1027">
      <c r="A1027" s="17" t="inlineStr">
        <is>
          <t>ALL</t>
        </is>
      </c>
      <c r="B1027" s="18" t="inlineStr">
        <is>
          <t>Oldsmobile 88</t>
        </is>
      </c>
      <c r="C1027" s="18" t="inlineStr">
        <is>
          <t>Oldsmobile</t>
        </is>
      </c>
      <c r="D1027" s="18" t="inlineStr">
        <is>
          <t>88</t>
        </is>
      </c>
      <c r="E1027" s="18" t="inlineStr">
        <is>
          <t>1986-1989</t>
        </is>
      </c>
      <c r="F1027" s="18" t="inlineStr"/>
      <c r="G1027" s="18" t="inlineStr">
        <is>
          <t>Coupe</t>
        </is>
      </c>
      <c r="H1027" s="18" t="inlineStr">
        <is>
          <t>3XL+0</t>
        </is>
      </c>
      <c r="I1027" s="19">
        <f t="array" ref="I1027">TRIM(_xlfn.XLOOKUP(非皮卡压缩表[[#This Row],[BACKSIZE]],ALL尺码表[内部尺码],ALL尺码表[分类],""))</f>
        <v/>
      </c>
      <c r="J1027" s="19">
        <f t="array" ref="J1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7" s="20">
        <f>LEN(非皮卡压缩表[[#This Row],[LONG-TYPE]])</f>
        <v/>
      </c>
      <c r="L1027" s="21">
        <f t="array" ref="L1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7" s="22">
        <f>LEN(非皮卡压缩表[[#This Row],[TYPE]])</f>
        <v/>
      </c>
      <c r="N1027" s="22">
        <f t="array" ref="N1027">_xlfn.XLOOKUP(非皮卡压缩表[[#This Row],[MODEL]],MODEL缩写表[长MODEL],MODEL缩写表[短MODEL],非皮卡压缩表[[#This Row],[MODEL]])</f>
        <v/>
      </c>
      <c r="O1027" s="22">
        <f>LEN(非皮卡压缩表[[#This Row],[SHORT-MODEL]])</f>
        <v/>
      </c>
      <c r="P1027" s="11">
        <f t="array" ref="P1027">TRIM(_xlfn.XLOOKUP(非皮卡压缩表[[#This Row],[BACKSIZE]],ALL尺码表[内部尺码],ALL尺码表[通用尺码]))</f>
        <v/>
      </c>
    </row>
    <row r="1028">
      <c r="A1028" s="17" t="inlineStr">
        <is>
          <t>ALL</t>
        </is>
      </c>
      <c r="B1028" s="18" t="inlineStr">
        <is>
          <t>Oldsmobile 88</t>
        </is>
      </c>
      <c r="C1028" s="18" t="inlineStr">
        <is>
          <t>Oldsmobile</t>
        </is>
      </c>
      <c r="D1028" s="18" t="inlineStr">
        <is>
          <t>88</t>
        </is>
      </c>
      <c r="E1028" s="18" t="inlineStr">
        <is>
          <t>1986-1999</t>
        </is>
      </c>
      <c r="F1028" s="18" t="inlineStr"/>
      <c r="G1028" s="18" t="inlineStr">
        <is>
          <t>Sedan</t>
        </is>
      </c>
      <c r="H1028" s="18" t="inlineStr">
        <is>
          <t>3XXL</t>
        </is>
      </c>
      <c r="I1028" s="19">
        <f t="array" ref="I1028">TRIM(_xlfn.XLOOKUP(非皮卡压缩表[[#This Row],[BACKSIZE]],ALL尺码表[内部尺码],ALL尺码表[分类],""))</f>
        <v/>
      </c>
      <c r="J1028" s="19">
        <f t="array" ref="J1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8" s="20">
        <f>LEN(非皮卡压缩表[[#This Row],[LONG-TYPE]])</f>
        <v/>
      </c>
      <c r="L1028" s="21">
        <f t="array" ref="L1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8" s="22">
        <f>LEN(非皮卡压缩表[[#This Row],[TYPE]])</f>
        <v/>
      </c>
      <c r="N1028" s="22">
        <f t="array" ref="N1028">_xlfn.XLOOKUP(非皮卡压缩表[[#This Row],[MODEL]],MODEL缩写表[长MODEL],MODEL缩写表[短MODEL],非皮卡压缩表[[#This Row],[MODEL]])</f>
        <v/>
      </c>
      <c r="O1028" s="22">
        <f>LEN(非皮卡压缩表[[#This Row],[SHORT-MODEL]])</f>
        <v/>
      </c>
      <c r="P1028" s="11">
        <f t="array" ref="P1028">TRIM(_xlfn.XLOOKUP(非皮卡压缩表[[#This Row],[BACKSIZE]],ALL尺码表[内部尺码],ALL尺码表[通用尺码]))</f>
        <v/>
      </c>
    </row>
    <row r="1029">
      <c r="A1029" s="17" t="inlineStr">
        <is>
          <t>ALL</t>
        </is>
      </c>
      <c r="B1029" s="18" t="inlineStr">
        <is>
          <t>Oldsmobile Achieva</t>
        </is>
      </c>
      <c r="C1029" s="18" t="inlineStr">
        <is>
          <t>Oldsmobile</t>
        </is>
      </c>
      <c r="D1029" s="18" t="inlineStr">
        <is>
          <t>Achieva</t>
        </is>
      </c>
      <c r="E1029" s="18" t="inlineStr">
        <is>
          <t>1992-1998</t>
        </is>
      </c>
      <c r="F1029" s="18" t="inlineStr"/>
      <c r="G1029" s="18" t="inlineStr">
        <is>
          <t>Sedan</t>
        </is>
      </c>
      <c r="H1029" s="18" t="inlineStr">
        <is>
          <t>3XL</t>
        </is>
      </c>
      <c r="I1029" s="19">
        <f t="array" ref="I1029">TRIM(_xlfn.XLOOKUP(非皮卡压缩表[[#This Row],[BACKSIZE]],ALL尺码表[内部尺码],ALL尺码表[分类],""))</f>
        <v/>
      </c>
      <c r="J1029" s="19">
        <f t="array" ref="J1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9" s="20">
        <f>LEN(非皮卡压缩表[[#This Row],[LONG-TYPE]])</f>
        <v/>
      </c>
      <c r="L1029" s="21">
        <f t="array" ref="L1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9" s="22">
        <f>LEN(非皮卡压缩表[[#This Row],[TYPE]])</f>
        <v/>
      </c>
      <c r="N1029" s="22">
        <f t="array" ref="N1029">_xlfn.XLOOKUP(非皮卡压缩表[[#This Row],[MODEL]],MODEL缩写表[长MODEL],MODEL缩写表[短MODEL],非皮卡压缩表[[#This Row],[MODEL]])</f>
        <v/>
      </c>
      <c r="O1029" s="22">
        <f>LEN(非皮卡压缩表[[#This Row],[SHORT-MODEL]])</f>
        <v/>
      </c>
      <c r="P1029" s="11">
        <f t="array" ref="P1029">TRIM(_xlfn.XLOOKUP(非皮卡压缩表[[#This Row],[BACKSIZE]],ALL尺码表[内部尺码],ALL尺码表[通用尺码]))</f>
        <v/>
      </c>
    </row>
    <row r="1030">
      <c r="A1030" s="17" t="inlineStr">
        <is>
          <t>ALL</t>
        </is>
      </c>
      <c r="B1030" s="18" t="inlineStr">
        <is>
          <t>Oldsmobile Achieva</t>
        </is>
      </c>
      <c r="C1030" s="18" t="inlineStr">
        <is>
          <t>Oldsmobile</t>
        </is>
      </c>
      <c r="D1030" s="18" t="inlineStr">
        <is>
          <t>Achieva</t>
        </is>
      </c>
      <c r="E1030" s="18" t="inlineStr">
        <is>
          <t>1992-1998</t>
        </is>
      </c>
      <c r="F1030" s="18" t="inlineStr"/>
      <c r="G1030" s="18" t="inlineStr">
        <is>
          <t>Coupe</t>
        </is>
      </c>
      <c r="H1030" s="18" t="inlineStr">
        <is>
          <t>3XL-0</t>
        </is>
      </c>
      <c r="I1030" s="19">
        <f t="array" ref="I1030">TRIM(_xlfn.XLOOKUP(非皮卡压缩表[[#This Row],[BACKSIZE]],ALL尺码表[内部尺码],ALL尺码表[分类],""))</f>
        <v/>
      </c>
      <c r="J1030" s="19">
        <f t="array" ref="J1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0" s="20">
        <f>LEN(非皮卡压缩表[[#This Row],[LONG-TYPE]])</f>
        <v/>
      </c>
      <c r="L1030" s="21">
        <f t="array" ref="L1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0" s="22">
        <f>LEN(非皮卡压缩表[[#This Row],[TYPE]])</f>
        <v/>
      </c>
      <c r="N1030" s="22">
        <f t="array" ref="N1030">_xlfn.XLOOKUP(非皮卡压缩表[[#This Row],[MODEL]],MODEL缩写表[长MODEL],MODEL缩写表[短MODEL],非皮卡压缩表[[#This Row],[MODEL]])</f>
        <v/>
      </c>
      <c r="O1030" s="22">
        <f>LEN(非皮卡压缩表[[#This Row],[SHORT-MODEL]])</f>
        <v/>
      </c>
      <c r="P1030" s="11">
        <f t="array" ref="P1030">TRIM(_xlfn.XLOOKUP(非皮卡压缩表[[#This Row],[BACKSIZE]],ALL尺码表[内部尺码],ALL尺码表[通用尺码]))</f>
        <v/>
      </c>
    </row>
    <row r="1031">
      <c r="A1031" s="17" t="inlineStr">
        <is>
          <t>ALL</t>
        </is>
      </c>
      <c r="B1031" s="18" t="inlineStr">
        <is>
          <t>Oldsmobile Alero</t>
        </is>
      </c>
      <c r="C1031" s="18" t="inlineStr">
        <is>
          <t>Oldsmobile</t>
        </is>
      </c>
      <c r="D1031" s="18" t="inlineStr">
        <is>
          <t>Alero</t>
        </is>
      </c>
      <c r="E1031" s="18" t="inlineStr">
        <is>
          <t>1999-2004</t>
        </is>
      </c>
      <c r="F1031" s="18" t="inlineStr"/>
      <c r="G1031" s="18" t="inlineStr">
        <is>
          <t>Sedan</t>
        </is>
      </c>
      <c r="H1031" s="18" t="inlineStr">
        <is>
          <t>3XL</t>
        </is>
      </c>
      <c r="I1031" s="19">
        <f t="array" ref="I1031">TRIM(_xlfn.XLOOKUP(非皮卡压缩表[[#This Row],[BACKSIZE]],ALL尺码表[内部尺码],ALL尺码表[分类],""))</f>
        <v/>
      </c>
      <c r="J1031" s="19">
        <f t="array" ref="J1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1" s="20">
        <f>LEN(非皮卡压缩表[[#This Row],[LONG-TYPE]])</f>
        <v/>
      </c>
      <c r="L1031" s="21">
        <f t="array" ref="L1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1" s="22">
        <f>LEN(非皮卡压缩表[[#This Row],[TYPE]])</f>
        <v/>
      </c>
      <c r="N1031" s="22">
        <f t="array" ref="N1031">_xlfn.XLOOKUP(非皮卡压缩表[[#This Row],[MODEL]],MODEL缩写表[长MODEL],MODEL缩写表[短MODEL],非皮卡压缩表[[#This Row],[MODEL]])</f>
        <v/>
      </c>
      <c r="O1031" s="22">
        <f>LEN(非皮卡压缩表[[#This Row],[SHORT-MODEL]])</f>
        <v/>
      </c>
      <c r="P1031" s="11">
        <f t="array" ref="P1031">TRIM(_xlfn.XLOOKUP(非皮卡压缩表[[#This Row],[BACKSIZE]],ALL尺码表[内部尺码],ALL尺码表[通用尺码]))</f>
        <v/>
      </c>
    </row>
    <row r="1032">
      <c r="A1032" s="17" t="inlineStr">
        <is>
          <t>ALL</t>
        </is>
      </c>
      <c r="B1032" s="18" t="inlineStr">
        <is>
          <t>Oldsmobile Alero</t>
        </is>
      </c>
      <c r="C1032" s="18" t="inlineStr">
        <is>
          <t>Oldsmobile</t>
        </is>
      </c>
      <c r="D1032" s="18" t="inlineStr">
        <is>
          <t>Alero</t>
        </is>
      </c>
      <c r="E1032" s="18" t="inlineStr">
        <is>
          <t>1999-2004</t>
        </is>
      </c>
      <c r="F1032" s="18" t="inlineStr"/>
      <c r="G1032" s="18" t="inlineStr">
        <is>
          <t>Coupe</t>
        </is>
      </c>
      <c r="H1032" s="18" t="inlineStr">
        <is>
          <t>3XL-0</t>
        </is>
      </c>
      <c r="I1032" s="19">
        <f t="array" ref="I1032">TRIM(_xlfn.XLOOKUP(非皮卡压缩表[[#This Row],[BACKSIZE]],ALL尺码表[内部尺码],ALL尺码表[分类],""))</f>
        <v/>
      </c>
      <c r="J1032" s="19">
        <f t="array" ref="J1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2" s="20">
        <f>LEN(非皮卡压缩表[[#This Row],[LONG-TYPE]])</f>
        <v/>
      </c>
      <c r="L1032" s="21">
        <f t="array" ref="L1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2" s="22">
        <f>LEN(非皮卡压缩表[[#This Row],[TYPE]])</f>
        <v/>
      </c>
      <c r="N1032" s="22">
        <f t="array" ref="N1032">_xlfn.XLOOKUP(非皮卡压缩表[[#This Row],[MODEL]],MODEL缩写表[长MODEL],MODEL缩写表[短MODEL],非皮卡压缩表[[#This Row],[MODEL]])</f>
        <v/>
      </c>
      <c r="O1032" s="22">
        <f>LEN(非皮卡压缩表[[#This Row],[SHORT-MODEL]])</f>
        <v/>
      </c>
      <c r="P1032" s="11">
        <f t="array" ref="P1032">TRIM(_xlfn.XLOOKUP(非皮卡压缩表[[#This Row],[BACKSIZE]],ALL尺码表[内部尺码],ALL尺码表[通用尺码]))</f>
        <v/>
      </c>
    </row>
    <row r="1033">
      <c r="A1033" s="17" t="inlineStr">
        <is>
          <t>ALL</t>
        </is>
      </c>
      <c r="B1033" s="18" t="inlineStr">
        <is>
          <t>Oldsmobile Aurora</t>
        </is>
      </c>
      <c r="C1033" s="18" t="inlineStr">
        <is>
          <t>Oldsmobile</t>
        </is>
      </c>
      <c r="D1033" s="18" t="inlineStr">
        <is>
          <t>Aurora</t>
        </is>
      </c>
      <c r="E1033" s="18" t="inlineStr">
        <is>
          <t>1995-2003</t>
        </is>
      </c>
      <c r="F1033" s="18" t="inlineStr"/>
      <c r="G1033" s="18" t="inlineStr">
        <is>
          <t>Sedan</t>
        </is>
      </c>
      <c r="H1033" s="18" t="inlineStr">
        <is>
          <t>3XXL</t>
        </is>
      </c>
      <c r="I1033" s="19">
        <f t="array" ref="I1033">TRIM(_xlfn.XLOOKUP(非皮卡压缩表[[#This Row],[BACKSIZE]],ALL尺码表[内部尺码],ALL尺码表[分类],""))</f>
        <v/>
      </c>
      <c r="J1033" s="19">
        <f t="array" ref="J1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3" s="20">
        <f>LEN(非皮卡压缩表[[#This Row],[LONG-TYPE]])</f>
        <v/>
      </c>
      <c r="L1033" s="21">
        <f t="array" ref="L1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3" s="22">
        <f>LEN(非皮卡压缩表[[#This Row],[TYPE]])</f>
        <v/>
      </c>
      <c r="N1033" s="22">
        <f t="array" ref="N1033">_xlfn.XLOOKUP(非皮卡压缩表[[#This Row],[MODEL]],MODEL缩写表[长MODEL],MODEL缩写表[短MODEL],非皮卡压缩表[[#This Row],[MODEL]])</f>
        <v/>
      </c>
      <c r="O1033" s="22">
        <f>LEN(非皮卡压缩表[[#This Row],[SHORT-MODEL]])</f>
        <v/>
      </c>
      <c r="P1033" s="11">
        <f t="array" ref="P1033">TRIM(_xlfn.XLOOKUP(非皮卡压缩表[[#This Row],[BACKSIZE]],ALL尺码表[内部尺码],ALL尺码表[通用尺码]))</f>
        <v/>
      </c>
    </row>
    <row r="1034">
      <c r="A1034" s="17" t="inlineStr">
        <is>
          <t>ALL</t>
        </is>
      </c>
      <c r="B1034" s="18" t="inlineStr">
        <is>
          <t>Oldsmobile Bravada</t>
        </is>
      </c>
      <c r="C1034" s="18" t="inlineStr">
        <is>
          <t>Oldsmobile</t>
        </is>
      </c>
      <c r="D1034" s="18" t="inlineStr">
        <is>
          <t>Bravada</t>
        </is>
      </c>
      <c r="E1034" s="18" t="inlineStr">
        <is>
          <t>1991-1994</t>
        </is>
      </c>
      <c r="F1034" s="18" t="inlineStr"/>
      <c r="G1034" s="18" t="inlineStr">
        <is>
          <t>SUV</t>
        </is>
      </c>
      <c r="H1034" s="18" t="inlineStr">
        <is>
          <t>YM+</t>
        </is>
      </c>
      <c r="I1034" s="19">
        <f t="array" ref="I1034">TRIM(_xlfn.XLOOKUP(非皮卡压缩表[[#This Row],[BACKSIZE]],ALL尺码表[内部尺码],ALL尺码表[分类],""))</f>
        <v/>
      </c>
      <c r="J1034" s="19">
        <f t="array" ref="J1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4" s="20">
        <f>LEN(非皮卡压缩表[[#This Row],[LONG-TYPE]])</f>
        <v/>
      </c>
      <c r="L1034" s="21">
        <f t="array" ref="L1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4" s="22">
        <f>LEN(非皮卡压缩表[[#This Row],[TYPE]])</f>
        <v/>
      </c>
      <c r="N1034" s="22">
        <f t="array" ref="N1034">_xlfn.XLOOKUP(非皮卡压缩表[[#This Row],[MODEL]],MODEL缩写表[长MODEL],MODEL缩写表[短MODEL],非皮卡压缩表[[#This Row],[MODEL]])</f>
        <v/>
      </c>
      <c r="O1034" s="22">
        <f>LEN(非皮卡压缩表[[#This Row],[SHORT-MODEL]])</f>
        <v/>
      </c>
      <c r="P1034" s="11">
        <f t="array" ref="P1034">TRIM(_xlfn.XLOOKUP(非皮卡压缩表[[#This Row],[BACKSIZE]],ALL尺码表[内部尺码],ALL尺码表[通用尺码]))</f>
        <v/>
      </c>
    </row>
    <row r="1035">
      <c r="A1035" s="17" t="inlineStr">
        <is>
          <t>ALL</t>
        </is>
      </c>
      <c r="B1035" s="18" t="inlineStr">
        <is>
          <t>Oldsmobile Bravada</t>
        </is>
      </c>
      <c r="C1035" s="18" t="inlineStr">
        <is>
          <t>Oldsmobile</t>
        </is>
      </c>
      <c r="D1035" s="18" t="inlineStr">
        <is>
          <t>Bravada</t>
        </is>
      </c>
      <c r="E1035" s="18" t="inlineStr">
        <is>
          <t>1996-2001</t>
        </is>
      </c>
      <c r="F1035" s="18" t="inlineStr"/>
      <c r="G1035" s="18" t="inlineStr">
        <is>
          <t>SUV</t>
        </is>
      </c>
      <c r="H1035" s="18" t="inlineStr">
        <is>
          <t>YL</t>
        </is>
      </c>
      <c r="I1035" s="19">
        <f t="array" ref="I1035">TRIM(_xlfn.XLOOKUP(非皮卡压缩表[[#This Row],[BACKSIZE]],ALL尺码表[内部尺码],ALL尺码表[分类],""))</f>
        <v/>
      </c>
      <c r="J1035" s="19">
        <f t="array" ref="J1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5" s="20">
        <f>LEN(非皮卡压缩表[[#This Row],[LONG-TYPE]])</f>
        <v/>
      </c>
      <c r="L1035" s="21">
        <f t="array" ref="L1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5" s="22">
        <f>LEN(非皮卡压缩表[[#This Row],[TYPE]])</f>
        <v/>
      </c>
      <c r="N1035" s="22">
        <f t="array" ref="N1035">_xlfn.XLOOKUP(非皮卡压缩表[[#This Row],[MODEL]],MODEL缩写表[长MODEL],MODEL缩写表[短MODEL],非皮卡压缩表[[#This Row],[MODEL]])</f>
        <v/>
      </c>
      <c r="O1035" s="22">
        <f>LEN(非皮卡压缩表[[#This Row],[SHORT-MODEL]])</f>
        <v/>
      </c>
      <c r="P1035" s="11">
        <f t="array" ref="P1035">TRIM(_xlfn.XLOOKUP(非皮卡压缩表[[#This Row],[BACKSIZE]],ALL尺码表[内部尺码],ALL尺码表[通用尺码]))</f>
        <v/>
      </c>
    </row>
    <row r="1036">
      <c r="A1036" s="17" t="inlineStr">
        <is>
          <t>ALL</t>
        </is>
      </c>
      <c r="B1036" s="18" t="inlineStr">
        <is>
          <t>Oldsmobile Bravada</t>
        </is>
      </c>
      <c r="C1036" s="18" t="inlineStr">
        <is>
          <t>Oldsmobile</t>
        </is>
      </c>
      <c r="D1036" s="18" t="inlineStr">
        <is>
          <t>Bravada</t>
        </is>
      </c>
      <c r="E1036" s="18" t="inlineStr">
        <is>
          <t>2002-2004</t>
        </is>
      </c>
      <c r="F1036" s="18" t="inlineStr"/>
      <c r="G1036" s="18" t="inlineStr">
        <is>
          <t>SUV</t>
        </is>
      </c>
      <c r="H1036" s="18" t="inlineStr">
        <is>
          <t>YXL</t>
        </is>
      </c>
      <c r="I1036" s="19">
        <f t="array" ref="I1036">TRIM(_xlfn.XLOOKUP(非皮卡压缩表[[#This Row],[BACKSIZE]],ALL尺码表[内部尺码],ALL尺码表[分类],""))</f>
        <v/>
      </c>
      <c r="J1036" s="19">
        <f t="array" ref="J1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6" s="20">
        <f>LEN(非皮卡压缩表[[#This Row],[LONG-TYPE]])</f>
        <v/>
      </c>
      <c r="L1036" s="21">
        <f t="array" ref="L1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6" s="22">
        <f>LEN(非皮卡压缩表[[#This Row],[TYPE]])</f>
        <v/>
      </c>
      <c r="N1036" s="22">
        <f t="array" ref="N1036">_xlfn.XLOOKUP(非皮卡压缩表[[#This Row],[MODEL]],MODEL缩写表[长MODEL],MODEL缩写表[短MODEL],非皮卡压缩表[[#This Row],[MODEL]])</f>
        <v/>
      </c>
      <c r="O1036" s="22">
        <f>LEN(非皮卡压缩表[[#This Row],[SHORT-MODEL]])</f>
        <v/>
      </c>
      <c r="P1036" s="11">
        <f t="array" ref="P1036">TRIM(_xlfn.XLOOKUP(非皮卡压缩表[[#This Row],[BACKSIZE]],ALL尺码表[内部尺码],ALL尺码表[通用尺码]))</f>
        <v/>
      </c>
    </row>
    <row r="1037">
      <c r="A1037" s="17" t="inlineStr">
        <is>
          <t>ALL</t>
        </is>
      </c>
      <c r="B1037" s="18" t="inlineStr">
        <is>
          <t>Oldsmobile Cutlass</t>
        </is>
      </c>
      <c r="C1037" s="18" t="inlineStr">
        <is>
          <t>Oldsmobile</t>
        </is>
      </c>
      <c r="D1037" s="18" t="inlineStr">
        <is>
          <t>Cutlass</t>
        </is>
      </c>
      <c r="E1037" s="18" t="inlineStr">
        <is>
          <t>1961</t>
        </is>
      </c>
      <c r="F1037" s="18" t="inlineStr">
        <is>
          <t>F-85/Cutlass</t>
        </is>
      </c>
      <c r="G1037" s="18" t="inlineStr">
        <is>
          <t>Wagon</t>
        </is>
      </c>
      <c r="H1037" s="18" t="inlineStr">
        <is>
          <t>2XL</t>
        </is>
      </c>
      <c r="I1037" s="19">
        <f t="array" ref="I1037">TRIM(_xlfn.XLOOKUP(非皮卡压缩表[[#This Row],[BACKSIZE]],ALL尺码表[内部尺码],ALL尺码表[分类],""))</f>
        <v/>
      </c>
      <c r="J1037" s="19">
        <f t="array" ref="J1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7" s="20">
        <f>LEN(非皮卡压缩表[[#This Row],[LONG-TYPE]])</f>
        <v/>
      </c>
      <c r="L1037" s="21">
        <f t="array" ref="L1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7" s="22">
        <f>LEN(非皮卡压缩表[[#This Row],[TYPE]])</f>
        <v/>
      </c>
      <c r="N1037" s="22">
        <f t="array" ref="N1037">_xlfn.XLOOKUP(非皮卡压缩表[[#This Row],[MODEL]],MODEL缩写表[长MODEL],MODEL缩写表[短MODEL],非皮卡压缩表[[#This Row],[MODEL]])</f>
        <v/>
      </c>
      <c r="O1037" s="22">
        <f>LEN(非皮卡压缩表[[#This Row],[SHORT-MODEL]])</f>
        <v/>
      </c>
      <c r="P1037" s="11">
        <f t="array" ref="P1037">TRIM(_xlfn.XLOOKUP(非皮卡压缩表[[#This Row],[BACKSIZE]],ALL尺码表[内部尺码],ALL尺码表[通用尺码]))</f>
        <v/>
      </c>
    </row>
    <row r="1038">
      <c r="A1038" s="17" t="inlineStr">
        <is>
          <t>ALL</t>
        </is>
      </c>
      <c r="B1038" s="18" t="inlineStr">
        <is>
          <t>Oldsmobile Cutlass</t>
        </is>
      </c>
      <c r="C1038" s="18" t="inlineStr">
        <is>
          <t>Oldsmobile</t>
        </is>
      </c>
      <c r="D1038" s="18" t="inlineStr">
        <is>
          <t>Cutlass</t>
        </is>
      </c>
      <c r="E1038" s="18" t="inlineStr">
        <is>
          <t>1961</t>
        </is>
      </c>
      <c r="F1038" s="18" t="inlineStr">
        <is>
          <t>F-85/Cutlass</t>
        </is>
      </c>
      <c r="G1038" s="18" t="inlineStr">
        <is>
          <t>Sedan</t>
        </is>
      </c>
      <c r="H1038" s="18" t="inlineStr">
        <is>
          <t>3XL</t>
        </is>
      </c>
      <c r="I1038" s="19">
        <f t="array" ref="I1038">TRIM(_xlfn.XLOOKUP(非皮卡压缩表[[#This Row],[BACKSIZE]],ALL尺码表[内部尺码],ALL尺码表[分类],""))</f>
        <v/>
      </c>
      <c r="J1038" s="19">
        <f t="array" ref="J1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8" s="20">
        <f>LEN(非皮卡压缩表[[#This Row],[LONG-TYPE]])</f>
        <v/>
      </c>
      <c r="L1038" s="21">
        <f t="array" ref="L1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8" s="22">
        <f>LEN(非皮卡压缩表[[#This Row],[TYPE]])</f>
        <v/>
      </c>
      <c r="N1038" s="22">
        <f t="array" ref="N1038">_xlfn.XLOOKUP(非皮卡压缩表[[#This Row],[MODEL]],MODEL缩写表[长MODEL],MODEL缩写表[短MODEL],非皮卡压缩表[[#This Row],[MODEL]])</f>
        <v/>
      </c>
      <c r="O1038" s="22">
        <f>LEN(非皮卡压缩表[[#This Row],[SHORT-MODEL]])</f>
        <v/>
      </c>
      <c r="P1038" s="11">
        <f t="array" ref="P1038">TRIM(_xlfn.XLOOKUP(非皮卡压缩表[[#This Row],[BACKSIZE]],ALL尺码表[内部尺码],ALL尺码表[通用尺码]))</f>
        <v/>
      </c>
    </row>
    <row r="1039">
      <c r="A1039" s="17" t="inlineStr">
        <is>
          <t>ALL</t>
        </is>
      </c>
      <c r="B1039" s="18" t="inlineStr">
        <is>
          <t>Oldsmobile Cutlass</t>
        </is>
      </c>
      <c r="C1039" s="18" t="inlineStr">
        <is>
          <t>Oldsmobile</t>
        </is>
      </c>
      <c r="D1039" s="18" t="inlineStr">
        <is>
          <t>Cutlass</t>
        </is>
      </c>
      <c r="E1039" s="18" t="inlineStr">
        <is>
          <t>1962-1996</t>
        </is>
      </c>
      <c r="F1039" s="18" t="inlineStr">
        <is>
          <t>Ciera/Cutlass/F-85</t>
        </is>
      </c>
      <c r="G1039" s="18" t="inlineStr">
        <is>
          <t>Wagon</t>
        </is>
      </c>
      <c r="H1039" s="18" t="inlineStr">
        <is>
          <t>2XL+</t>
        </is>
      </c>
      <c r="I1039" s="19">
        <f t="array" ref="I1039">TRIM(_xlfn.XLOOKUP(非皮卡压缩表[[#This Row],[BACKSIZE]],ALL尺码表[内部尺码],ALL尺码表[分类],""))</f>
        <v/>
      </c>
      <c r="J1039" s="19">
        <f t="array" ref="J1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9" s="20">
        <f>LEN(非皮卡压缩表[[#This Row],[LONG-TYPE]])</f>
        <v/>
      </c>
      <c r="L1039" s="21">
        <f t="array" ref="L1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9" s="22">
        <f>LEN(非皮卡压缩表[[#This Row],[TYPE]])</f>
        <v/>
      </c>
      <c r="N1039" s="22">
        <f t="array" ref="N1039">_xlfn.XLOOKUP(非皮卡压缩表[[#This Row],[MODEL]],MODEL缩写表[长MODEL],MODEL缩写表[短MODEL],非皮卡压缩表[[#This Row],[MODEL]])</f>
        <v/>
      </c>
      <c r="O1039" s="22">
        <f>LEN(非皮卡压缩表[[#This Row],[SHORT-MODEL]])</f>
        <v/>
      </c>
      <c r="P1039" s="11">
        <f t="array" ref="P1039">TRIM(_xlfn.XLOOKUP(非皮卡压缩表[[#This Row],[BACKSIZE]],ALL尺码表[内部尺码],ALL尺码表[通用尺码]))</f>
        <v/>
      </c>
    </row>
    <row r="1040" ht="30" customHeight="1" s="23">
      <c r="A1040" s="17" t="inlineStr">
        <is>
          <t>ALL</t>
        </is>
      </c>
      <c r="B1040" s="18" t="inlineStr">
        <is>
          <t>Oldsmobile Cutlass</t>
        </is>
      </c>
      <c r="C1040" s="18" t="inlineStr">
        <is>
          <t>Oldsmobile</t>
        </is>
      </c>
      <c r="D1040" s="18" t="inlineStr">
        <is>
          <t>Cutlass</t>
        </is>
      </c>
      <c r="E1040" s="18" t="inlineStr">
        <is>
          <t>1962-1991</t>
        </is>
      </c>
      <c r="F1040" s="18" t="inlineStr">
        <is>
          <t>Ciera/Cutlass/F-85</t>
        </is>
      </c>
      <c r="G1040" s="18" t="inlineStr">
        <is>
          <t>Convertible/Coupe</t>
        </is>
      </c>
      <c r="H1040" s="18" t="inlineStr">
        <is>
          <t>3XL-0</t>
        </is>
      </c>
      <c r="I1040" s="19">
        <f t="array" ref="I1040">TRIM(_xlfn.XLOOKUP(非皮卡压缩表[[#This Row],[BACKSIZE]],ALL尺码表[内部尺码],ALL尺码表[分类],""))</f>
        <v/>
      </c>
      <c r="J1040" s="19">
        <f t="array" ref="J1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0" s="20">
        <f>LEN(非皮卡压缩表[[#This Row],[LONG-TYPE]])</f>
        <v/>
      </c>
      <c r="L1040" s="21">
        <f t="array" ref="L1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0" s="22">
        <f>LEN(非皮卡压缩表[[#This Row],[TYPE]])</f>
        <v/>
      </c>
      <c r="N1040" s="22">
        <f t="array" ref="N1040">_xlfn.XLOOKUP(非皮卡压缩表[[#This Row],[MODEL]],MODEL缩写表[长MODEL],MODEL缩写表[短MODEL],非皮卡压缩表[[#This Row],[MODEL]])</f>
        <v/>
      </c>
      <c r="O1040" s="22">
        <f>LEN(非皮卡压缩表[[#This Row],[SHORT-MODEL]])</f>
        <v/>
      </c>
      <c r="P1040" s="11">
        <f t="array" ref="P1040">TRIM(_xlfn.XLOOKUP(非皮卡压缩表[[#This Row],[BACKSIZE]],ALL尺码表[内部尺码],ALL尺码表[通用尺码]))</f>
        <v/>
      </c>
    </row>
    <row r="1041">
      <c r="A1041" s="17" t="inlineStr">
        <is>
          <t>ALL</t>
        </is>
      </c>
      <c r="B1041" s="18" t="inlineStr">
        <is>
          <t>Oldsmobile Cutlass</t>
        </is>
      </c>
      <c r="C1041" s="18" t="inlineStr">
        <is>
          <t>Oldsmobile</t>
        </is>
      </c>
      <c r="D1041" s="18" t="inlineStr">
        <is>
          <t>Cutlass</t>
        </is>
      </c>
      <c r="E1041" s="18" t="inlineStr">
        <is>
          <t>1962-1972</t>
        </is>
      </c>
      <c r="F1041" s="18" t="inlineStr">
        <is>
          <t>Incl: Cutlass/F-85</t>
        </is>
      </c>
      <c r="G1041" s="18" t="inlineStr">
        <is>
          <t>Sedan</t>
        </is>
      </c>
      <c r="H1041" s="18" t="inlineStr">
        <is>
          <t>3XXL</t>
        </is>
      </c>
      <c r="I1041" s="19">
        <f t="array" ref="I1041">TRIM(_xlfn.XLOOKUP(非皮卡压缩表[[#This Row],[BACKSIZE]],ALL尺码表[内部尺码],ALL尺码表[分类],""))</f>
        <v/>
      </c>
      <c r="J1041" s="19">
        <f t="array" ref="J1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1" s="20">
        <f>LEN(非皮卡压缩表[[#This Row],[LONG-TYPE]])</f>
        <v/>
      </c>
      <c r="L1041" s="21">
        <f t="array" ref="L1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1" s="22">
        <f>LEN(非皮卡压缩表[[#This Row],[TYPE]])</f>
        <v/>
      </c>
      <c r="N1041" s="22">
        <f t="array" ref="N1041">_xlfn.XLOOKUP(非皮卡压缩表[[#This Row],[MODEL]],MODEL缩写表[长MODEL],MODEL缩写表[短MODEL],非皮卡压缩表[[#This Row],[MODEL]])</f>
        <v/>
      </c>
      <c r="O1041" s="22">
        <f>LEN(非皮卡压缩表[[#This Row],[SHORT-MODEL]])</f>
        <v/>
      </c>
      <c r="P1041" s="11">
        <f t="array" ref="P1041">TRIM(_xlfn.XLOOKUP(非皮卡压缩表[[#This Row],[BACKSIZE]],ALL尺码表[内部尺码],ALL尺码表[通用尺码]))</f>
        <v/>
      </c>
    </row>
    <row r="1042">
      <c r="A1042" s="17" t="inlineStr">
        <is>
          <t>ALL</t>
        </is>
      </c>
      <c r="B1042" s="18" t="inlineStr">
        <is>
          <t>Oldsmobile Cutlass</t>
        </is>
      </c>
      <c r="C1042" s="18" t="inlineStr">
        <is>
          <t>Oldsmobile</t>
        </is>
      </c>
      <c r="D1042" s="18" t="inlineStr">
        <is>
          <t>Cutlass</t>
        </is>
      </c>
      <c r="E1042" s="18" t="inlineStr">
        <is>
          <t>1964</t>
        </is>
      </c>
      <c r="F1042" s="18" t="inlineStr"/>
      <c r="G1042" s="18" t="inlineStr">
        <is>
          <t>Convertible</t>
        </is>
      </c>
      <c r="H1042" s="18" t="inlineStr">
        <is>
          <t>3XL+0</t>
        </is>
      </c>
      <c r="I1042" s="19">
        <f t="array" ref="I1042">TRIM(_xlfn.XLOOKUP(非皮卡压缩表[[#This Row],[BACKSIZE]],ALL尺码表[内部尺码],ALL尺码表[分类],""))</f>
        <v/>
      </c>
      <c r="J1042" s="19">
        <f t="array" ref="J1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2" s="20">
        <f>LEN(非皮卡压缩表[[#This Row],[LONG-TYPE]])</f>
        <v/>
      </c>
      <c r="L1042" s="21">
        <f t="array" ref="L1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2" s="22">
        <f>LEN(非皮卡压缩表[[#This Row],[TYPE]])</f>
        <v/>
      </c>
      <c r="N1042" s="22">
        <f t="array" ref="N1042">_xlfn.XLOOKUP(非皮卡压缩表[[#This Row],[MODEL]],MODEL缩写表[长MODEL],MODEL缩写表[短MODEL],非皮卡压缩表[[#This Row],[MODEL]])</f>
        <v/>
      </c>
      <c r="O1042" s="22">
        <f>LEN(非皮卡压缩表[[#This Row],[SHORT-MODEL]])</f>
        <v/>
      </c>
      <c r="P1042" s="11">
        <f t="array" ref="P1042">TRIM(_xlfn.XLOOKUP(非皮卡压缩表[[#This Row],[BACKSIZE]],ALL尺码表[内部尺码],ALL尺码表[通用尺码]))</f>
        <v/>
      </c>
    </row>
    <row r="1043">
      <c r="A1043" s="17" t="inlineStr">
        <is>
          <t>ALL</t>
        </is>
      </c>
      <c r="B1043" s="18" t="inlineStr">
        <is>
          <t>Oldsmobile Cutlass</t>
        </is>
      </c>
      <c r="C1043" s="18" t="inlineStr">
        <is>
          <t>Oldsmobile</t>
        </is>
      </c>
      <c r="D1043" s="18" t="inlineStr">
        <is>
          <t>Cutlass</t>
        </is>
      </c>
      <c r="E1043" s="18" t="inlineStr">
        <is>
          <t>1965-1973</t>
        </is>
      </c>
      <c r="F1043" s="18" t="inlineStr"/>
      <c r="G1043" s="18" t="inlineStr">
        <is>
          <t>Convertible</t>
        </is>
      </c>
      <c r="H1043" s="18" t="inlineStr">
        <is>
          <t>3XXL-0</t>
        </is>
      </c>
      <c r="I1043" s="19">
        <f t="array" ref="I1043">TRIM(_xlfn.XLOOKUP(非皮卡压缩表[[#This Row],[BACKSIZE]],ALL尺码表[内部尺码],ALL尺码表[分类],""))</f>
        <v/>
      </c>
      <c r="J1043" s="19">
        <f t="array" ref="J1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3" s="20">
        <f>LEN(非皮卡压缩表[[#This Row],[LONG-TYPE]])</f>
        <v/>
      </c>
      <c r="L1043" s="21">
        <f t="array" ref="L1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3" s="22">
        <f>LEN(非皮卡压缩表[[#This Row],[TYPE]])</f>
        <v/>
      </c>
      <c r="N1043" s="22">
        <f t="array" ref="N1043">_xlfn.XLOOKUP(非皮卡压缩表[[#This Row],[MODEL]],MODEL缩写表[长MODEL],MODEL缩写表[短MODEL],非皮卡压缩表[[#This Row],[MODEL]])</f>
        <v/>
      </c>
      <c r="O1043" s="22">
        <f>LEN(非皮卡压缩表[[#This Row],[SHORT-MODEL]])</f>
        <v/>
      </c>
      <c r="P1043" s="11">
        <f t="array" ref="P1043">TRIM(_xlfn.XLOOKUP(非皮卡压缩表[[#This Row],[BACKSIZE]],ALL尺码表[内部尺码],ALL尺码表[通用尺码]))</f>
        <v/>
      </c>
    </row>
    <row r="1044" ht="30" customHeight="1" s="23">
      <c r="A1044" s="17" t="inlineStr">
        <is>
          <t>ALL</t>
        </is>
      </c>
      <c r="B1044" s="18" t="inlineStr">
        <is>
          <t>Oldsmobile Cutlass</t>
        </is>
      </c>
      <c r="C1044" s="18" t="inlineStr">
        <is>
          <t>Oldsmobile</t>
        </is>
      </c>
      <c r="D1044" s="18" t="inlineStr">
        <is>
          <t>Cutlass</t>
        </is>
      </c>
      <c r="E1044" s="18" t="inlineStr">
        <is>
          <t>1965-1972</t>
        </is>
      </c>
      <c r="F1044" s="18" t="inlineStr"/>
      <c r="G1044" s="18" t="inlineStr">
        <is>
          <t>Coupe</t>
        </is>
      </c>
      <c r="H1044" s="18" t="inlineStr">
        <is>
          <t>3XXL-0</t>
        </is>
      </c>
      <c r="I1044" s="19">
        <f t="array" ref="I1044">TRIM(_xlfn.XLOOKUP(非皮卡压缩表[[#This Row],[BACKSIZE]],ALL尺码表[内部尺码],ALL尺码表[分类],""))</f>
        <v/>
      </c>
      <c r="J1044" s="19">
        <f t="array" ref="J1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4" s="20">
        <f>LEN(非皮卡压缩表[[#This Row],[LONG-TYPE]])</f>
        <v/>
      </c>
      <c r="L1044" s="21">
        <f t="array" ref="L1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4" s="22">
        <f>LEN(非皮卡压缩表[[#This Row],[TYPE]])</f>
        <v/>
      </c>
      <c r="N1044" s="22">
        <f t="array" ref="N1044">_xlfn.XLOOKUP(非皮卡压缩表[[#This Row],[MODEL]],MODEL缩写表[长MODEL],MODEL缩写表[短MODEL],非皮卡压缩表[[#This Row],[MODEL]])</f>
        <v/>
      </c>
      <c r="O1044" s="22">
        <f>LEN(非皮卡压缩表[[#This Row],[SHORT-MODEL]])</f>
        <v/>
      </c>
      <c r="P1044" s="11">
        <f t="array" ref="P1044">TRIM(_xlfn.XLOOKUP(非皮卡压缩表[[#This Row],[BACKSIZE]],ALL尺码表[内部尺码],ALL尺码表[通用尺码]))</f>
        <v/>
      </c>
    </row>
    <row r="1045">
      <c r="A1045" s="17" t="inlineStr">
        <is>
          <t>ALL</t>
        </is>
      </c>
      <c r="B1045" s="18" t="inlineStr">
        <is>
          <t>Oldsmobile Cutlass</t>
        </is>
      </c>
      <c r="C1045" s="18" t="inlineStr">
        <is>
          <t>Oldsmobile</t>
        </is>
      </c>
      <c r="D1045" s="18" t="inlineStr">
        <is>
          <t>Cutlass</t>
        </is>
      </c>
      <c r="E1045" s="18" t="inlineStr">
        <is>
          <t>1968</t>
        </is>
      </c>
      <c r="F1045" s="18" t="inlineStr"/>
      <c r="G1045" s="18" t="inlineStr">
        <is>
          <t>Convertible</t>
        </is>
      </c>
      <c r="H1045" s="18" t="inlineStr">
        <is>
          <t>3XL+0</t>
        </is>
      </c>
      <c r="I1045" s="19">
        <f t="array" ref="I1045">TRIM(_xlfn.XLOOKUP(非皮卡压缩表[[#This Row],[BACKSIZE]],ALL尺码表[内部尺码],ALL尺码表[分类],""))</f>
        <v/>
      </c>
      <c r="J1045" s="19">
        <f t="array" ref="J1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5" s="20">
        <f>LEN(非皮卡压缩表[[#This Row],[LONG-TYPE]])</f>
        <v/>
      </c>
      <c r="L1045" s="21">
        <f t="array" ref="L1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5" s="22">
        <f>LEN(非皮卡压缩表[[#This Row],[TYPE]])</f>
        <v/>
      </c>
      <c r="N1045" s="22">
        <f t="array" ref="N1045">_xlfn.XLOOKUP(非皮卡压缩表[[#This Row],[MODEL]],MODEL缩写表[长MODEL],MODEL缩写表[短MODEL],非皮卡压缩表[[#This Row],[MODEL]])</f>
        <v/>
      </c>
      <c r="O1045" s="22">
        <f>LEN(非皮卡压缩表[[#This Row],[SHORT-MODEL]])</f>
        <v/>
      </c>
      <c r="P1045" s="11">
        <f t="array" ref="P1045">TRIM(_xlfn.XLOOKUP(非皮卡压缩表[[#This Row],[BACKSIZE]],ALL尺码表[内部尺码],ALL尺码表[通用尺码]))</f>
        <v/>
      </c>
    </row>
    <row r="1046">
      <c r="A1046" s="17" t="inlineStr">
        <is>
          <t>ALL</t>
        </is>
      </c>
      <c r="B1046" s="18" t="inlineStr">
        <is>
          <t>Oldsmobile Cutlass</t>
        </is>
      </c>
      <c r="C1046" s="18" t="inlineStr">
        <is>
          <t>Oldsmobile</t>
        </is>
      </c>
      <c r="D1046" s="18" t="inlineStr">
        <is>
          <t>Cutlass</t>
        </is>
      </c>
      <c r="E1046" s="18" t="inlineStr">
        <is>
          <t>1968</t>
        </is>
      </c>
      <c r="F1046" s="18" t="inlineStr"/>
      <c r="G1046" s="18" t="inlineStr">
        <is>
          <t>Coupe</t>
        </is>
      </c>
      <c r="H1046" s="18" t="inlineStr">
        <is>
          <t>3XL+0</t>
        </is>
      </c>
      <c r="I1046" s="19">
        <f t="array" ref="I1046">TRIM(_xlfn.XLOOKUP(非皮卡压缩表[[#This Row],[BACKSIZE]],ALL尺码表[内部尺码],ALL尺码表[分类],""))</f>
        <v/>
      </c>
      <c r="J1046" s="19">
        <f t="array" ref="J1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6" s="20">
        <f>LEN(非皮卡压缩表[[#This Row],[LONG-TYPE]])</f>
        <v/>
      </c>
      <c r="L1046" s="21">
        <f t="array" ref="L1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6" s="22">
        <f>LEN(非皮卡压缩表[[#This Row],[TYPE]])</f>
        <v/>
      </c>
      <c r="N1046" s="22">
        <f t="array" ref="N1046">_xlfn.XLOOKUP(非皮卡压缩表[[#This Row],[MODEL]],MODEL缩写表[长MODEL],MODEL缩写表[短MODEL],非皮卡压缩表[[#This Row],[MODEL]])</f>
        <v/>
      </c>
      <c r="O1046" s="22">
        <f>LEN(非皮卡压缩表[[#This Row],[SHORT-MODEL]])</f>
        <v/>
      </c>
      <c r="P1046" s="11">
        <f t="array" ref="P1046">TRIM(_xlfn.XLOOKUP(非皮卡压缩表[[#This Row],[BACKSIZE]],ALL尺码表[内部尺码],ALL尺码表[通用尺码]))</f>
        <v/>
      </c>
    </row>
    <row r="1047">
      <c r="A1047" s="17" t="inlineStr">
        <is>
          <t>ALL</t>
        </is>
      </c>
      <c r="B1047" s="18" t="inlineStr">
        <is>
          <t>Oldsmobile Cutlass</t>
        </is>
      </c>
      <c r="C1047" s="18" t="inlineStr">
        <is>
          <t>Oldsmobile</t>
        </is>
      </c>
      <c r="D1047" s="18" t="inlineStr">
        <is>
          <t>Cutlass</t>
        </is>
      </c>
      <c r="E1047" s="18" t="inlineStr">
        <is>
          <t>1968-1972</t>
        </is>
      </c>
      <c r="F1047" s="18" t="inlineStr"/>
      <c r="G1047" s="18" t="inlineStr">
        <is>
          <t>Wagon</t>
        </is>
      </c>
      <c r="H1047" s="18" t="inlineStr">
        <is>
          <t>无可用尺码</t>
        </is>
      </c>
      <c r="I1047" s="19">
        <f t="array" ref="I1047">TRIM(_xlfn.XLOOKUP(非皮卡压缩表[[#This Row],[BACKSIZE]],ALL尺码表[内部尺码],ALL尺码表[分类],""))</f>
        <v/>
      </c>
      <c r="J1047" s="19">
        <f t="array" ref="J1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7" s="20">
        <f>LEN(非皮卡压缩表[[#This Row],[LONG-TYPE]])</f>
        <v/>
      </c>
      <c r="L1047" s="21">
        <f t="array" ref="L1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7" s="22">
        <f>LEN(非皮卡压缩表[[#This Row],[TYPE]])</f>
        <v/>
      </c>
      <c r="N1047" s="22">
        <f t="array" ref="N1047">_xlfn.XLOOKUP(非皮卡压缩表[[#This Row],[MODEL]],MODEL缩写表[长MODEL],MODEL缩写表[短MODEL],非皮卡压缩表[[#This Row],[MODEL]])</f>
        <v/>
      </c>
      <c r="O1047" s="22">
        <f>LEN(非皮卡压缩表[[#This Row],[SHORT-MODEL]])</f>
        <v/>
      </c>
      <c r="P1047" s="11">
        <f t="array" ref="P1047">TRIM(_xlfn.XLOOKUP(非皮卡压缩表[[#This Row],[BACKSIZE]],ALL尺码表[内部尺码],ALL尺码表[通用尺码]))</f>
        <v/>
      </c>
    </row>
    <row r="1048">
      <c r="A1048" s="17" t="inlineStr">
        <is>
          <t>ALL</t>
        </is>
      </c>
      <c r="B1048" s="18" t="inlineStr">
        <is>
          <t>Oldsmobile Cutlass</t>
        </is>
      </c>
      <c r="C1048" s="18" t="inlineStr">
        <is>
          <t>Oldsmobile</t>
        </is>
      </c>
      <c r="D1048" s="18" t="inlineStr">
        <is>
          <t>Cutlass</t>
        </is>
      </c>
      <c r="E1048" s="18" t="inlineStr">
        <is>
          <t>1973-1977</t>
        </is>
      </c>
      <c r="F1048" s="18" t="inlineStr"/>
      <c r="G1048" s="18" t="inlineStr">
        <is>
          <t>Sedan</t>
        </is>
      </c>
      <c r="H1048" s="18" t="inlineStr">
        <is>
          <t>3XXXL</t>
        </is>
      </c>
      <c r="I1048" s="19">
        <f t="array" ref="I1048">TRIM(_xlfn.XLOOKUP(非皮卡压缩表[[#This Row],[BACKSIZE]],ALL尺码表[内部尺码],ALL尺码表[分类],""))</f>
        <v/>
      </c>
      <c r="J1048" s="19">
        <f t="array" ref="J1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8" s="20">
        <f>LEN(非皮卡压缩表[[#This Row],[LONG-TYPE]])</f>
        <v/>
      </c>
      <c r="L1048" s="21">
        <f t="array" ref="L1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8" s="22">
        <f>LEN(非皮卡压缩表[[#This Row],[TYPE]])</f>
        <v/>
      </c>
      <c r="N1048" s="22">
        <f t="array" ref="N1048">_xlfn.XLOOKUP(非皮卡压缩表[[#This Row],[MODEL]],MODEL缩写表[长MODEL],MODEL缩写表[短MODEL],非皮卡压缩表[[#This Row],[MODEL]])</f>
        <v/>
      </c>
      <c r="O1048" s="22">
        <f>LEN(非皮卡压缩表[[#This Row],[SHORT-MODEL]])</f>
        <v/>
      </c>
      <c r="P1048" s="11">
        <f t="array" ref="P1048">TRIM(_xlfn.XLOOKUP(非皮卡压缩表[[#This Row],[BACKSIZE]],ALL尺码表[内部尺码],ALL尺码表[通用尺码]))</f>
        <v/>
      </c>
    </row>
    <row r="1049">
      <c r="A1049" s="17" t="inlineStr">
        <is>
          <t>ALL</t>
        </is>
      </c>
      <c r="B1049" s="18" t="inlineStr">
        <is>
          <t>Oldsmobile Cutlass</t>
        </is>
      </c>
      <c r="C1049" s="18" t="inlineStr">
        <is>
          <t>Oldsmobile</t>
        </is>
      </c>
      <c r="D1049" s="18" t="inlineStr">
        <is>
          <t>Cutlass</t>
        </is>
      </c>
      <c r="E1049" s="18" t="inlineStr">
        <is>
          <t>1973-1977</t>
        </is>
      </c>
      <c r="F1049" s="18" t="inlineStr"/>
      <c r="G1049" s="18" t="inlineStr">
        <is>
          <t>Coupe</t>
        </is>
      </c>
      <c r="H1049" s="18" t="inlineStr">
        <is>
          <t>3XXXL-0</t>
        </is>
      </c>
      <c r="I1049" s="19">
        <f t="array" ref="I1049">TRIM(_xlfn.XLOOKUP(非皮卡压缩表[[#This Row],[BACKSIZE]],ALL尺码表[内部尺码],ALL尺码表[分类],""))</f>
        <v/>
      </c>
      <c r="J1049" s="19">
        <f t="array" ref="J1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9" s="20">
        <f>LEN(非皮卡压缩表[[#This Row],[LONG-TYPE]])</f>
        <v/>
      </c>
      <c r="L1049" s="21">
        <f t="array" ref="L1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9" s="22">
        <f>LEN(非皮卡压缩表[[#This Row],[TYPE]])</f>
        <v/>
      </c>
      <c r="N1049" s="22">
        <f t="array" ref="N1049">_xlfn.XLOOKUP(非皮卡压缩表[[#This Row],[MODEL]],MODEL缩写表[长MODEL],MODEL缩写表[短MODEL],非皮卡压缩表[[#This Row],[MODEL]])</f>
        <v/>
      </c>
      <c r="O1049" s="22">
        <f>LEN(非皮卡压缩表[[#This Row],[SHORT-MODEL]])</f>
        <v/>
      </c>
      <c r="P1049" s="11">
        <f t="array" ref="P1049">TRIM(_xlfn.XLOOKUP(非皮卡压缩表[[#This Row],[BACKSIZE]],ALL尺码表[内部尺码],ALL尺码表[通用尺码]))</f>
        <v/>
      </c>
    </row>
    <row r="1050">
      <c r="A1050" s="17" t="inlineStr">
        <is>
          <t>ALL</t>
        </is>
      </c>
      <c r="B1050" s="18" t="inlineStr">
        <is>
          <t>Oldsmobile Cutlass</t>
        </is>
      </c>
      <c r="C1050" s="18" t="inlineStr">
        <is>
          <t>Oldsmobile</t>
        </is>
      </c>
      <c r="D1050" s="18" t="inlineStr">
        <is>
          <t>Cutlass</t>
        </is>
      </c>
      <c r="E1050" s="18" t="inlineStr">
        <is>
          <t>1978-1999</t>
        </is>
      </c>
      <c r="F1050" s="18" t="inlineStr">
        <is>
          <t>FWD/RWD/Supreme</t>
        </is>
      </c>
      <c r="G1050" s="18" t="inlineStr">
        <is>
          <t>Sedan</t>
        </is>
      </c>
      <c r="H1050" s="18" t="inlineStr">
        <is>
          <t>3XXL</t>
        </is>
      </c>
      <c r="I1050" s="19">
        <f t="array" ref="I1050">TRIM(_xlfn.XLOOKUP(非皮卡压缩表[[#This Row],[BACKSIZE]],ALL尺码表[内部尺码],ALL尺码表[分类],""))</f>
        <v/>
      </c>
      <c r="J1050" s="19">
        <f t="array" ref="J1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0" s="20">
        <f>LEN(非皮卡压缩表[[#This Row],[LONG-TYPE]])</f>
        <v/>
      </c>
      <c r="L1050" s="21">
        <f t="array" ref="L1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0" s="22">
        <f>LEN(非皮卡压缩表[[#This Row],[TYPE]])</f>
        <v/>
      </c>
      <c r="N1050" s="22">
        <f t="array" ref="N1050">_xlfn.XLOOKUP(非皮卡压缩表[[#This Row],[MODEL]],MODEL缩写表[长MODEL],MODEL缩写表[短MODEL],非皮卡压缩表[[#This Row],[MODEL]])</f>
        <v/>
      </c>
      <c r="O1050" s="22">
        <f>LEN(非皮卡压缩表[[#This Row],[SHORT-MODEL]])</f>
        <v/>
      </c>
      <c r="P1050" s="11">
        <f t="array" ref="P1050">TRIM(_xlfn.XLOOKUP(非皮卡压缩表[[#This Row],[BACKSIZE]],ALL尺码表[内部尺码],ALL尺码表[通用尺码]))</f>
        <v/>
      </c>
    </row>
    <row r="1051">
      <c r="A1051" s="17" t="inlineStr">
        <is>
          <t>ALL</t>
        </is>
      </c>
      <c r="B1051" s="18" t="inlineStr">
        <is>
          <t>Oldsmobile Cutlass</t>
        </is>
      </c>
      <c r="C1051" s="18" t="inlineStr">
        <is>
          <t>Oldsmobile</t>
        </is>
      </c>
      <c r="D1051" s="18" t="inlineStr">
        <is>
          <t>Cutlass</t>
        </is>
      </c>
      <c r="E1051" s="18" t="inlineStr">
        <is>
          <t>1979-1997</t>
        </is>
      </c>
      <c r="F1051" s="18" t="inlineStr">
        <is>
          <t>RWD/Supreme</t>
        </is>
      </c>
      <c r="G1051" s="18" t="inlineStr">
        <is>
          <t>Coupe</t>
        </is>
      </c>
      <c r="H1051" s="18" t="inlineStr">
        <is>
          <t>3XL+0</t>
        </is>
      </c>
      <c r="I1051" s="19">
        <f t="array" ref="I1051">TRIM(_xlfn.XLOOKUP(非皮卡压缩表[[#This Row],[BACKSIZE]],ALL尺码表[内部尺码],ALL尺码表[分类],""))</f>
        <v/>
      </c>
      <c r="J1051" s="19">
        <f t="array" ref="J1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1" s="20">
        <f>LEN(非皮卡压缩表[[#This Row],[LONG-TYPE]])</f>
        <v/>
      </c>
      <c r="L1051" s="21">
        <f t="array" ref="L1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1" s="22">
        <f>LEN(非皮卡压缩表[[#This Row],[TYPE]])</f>
        <v/>
      </c>
      <c r="N1051" s="22">
        <f t="array" ref="N1051">_xlfn.XLOOKUP(非皮卡压缩表[[#This Row],[MODEL]],MODEL缩写表[长MODEL],MODEL缩写表[短MODEL],非皮卡压缩表[[#This Row],[MODEL]])</f>
        <v/>
      </c>
      <c r="O1051" s="22">
        <f>LEN(非皮卡压缩表[[#This Row],[SHORT-MODEL]])</f>
        <v/>
      </c>
      <c r="P1051" s="11">
        <f t="array" ref="P1051">TRIM(_xlfn.XLOOKUP(非皮卡压缩表[[#This Row],[BACKSIZE]],ALL尺码表[内部尺码],ALL尺码表[通用尺码]))</f>
        <v/>
      </c>
    </row>
    <row r="1052">
      <c r="A1052" s="17" t="inlineStr">
        <is>
          <t>ALL</t>
        </is>
      </c>
      <c r="B1052" s="18" t="inlineStr">
        <is>
          <t>Oldsmobile Cutlass</t>
        </is>
      </c>
      <c r="C1052" s="18" t="inlineStr">
        <is>
          <t>Oldsmobile</t>
        </is>
      </c>
      <c r="D1052" s="18" t="inlineStr">
        <is>
          <t>Cutlass</t>
        </is>
      </c>
      <c r="E1052" s="18" t="inlineStr">
        <is>
          <t>1983-1989</t>
        </is>
      </c>
      <c r="F1052" s="18" t="inlineStr">
        <is>
          <t>Ciera</t>
        </is>
      </c>
      <c r="G1052" s="18" t="inlineStr">
        <is>
          <t>Sedan</t>
        </is>
      </c>
      <c r="H1052" s="18" t="inlineStr">
        <is>
          <t>3XL</t>
        </is>
      </c>
      <c r="I1052" s="19">
        <f t="array" ref="I1052">TRIM(_xlfn.XLOOKUP(非皮卡压缩表[[#This Row],[BACKSIZE]],ALL尺码表[内部尺码],ALL尺码表[分类],""))</f>
        <v/>
      </c>
      <c r="J1052" s="19">
        <f t="array" ref="J1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2" s="20">
        <f>LEN(非皮卡压缩表[[#This Row],[LONG-TYPE]])</f>
        <v/>
      </c>
      <c r="L1052" s="21">
        <f t="array" ref="L1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2" s="22">
        <f>LEN(非皮卡压缩表[[#This Row],[TYPE]])</f>
        <v/>
      </c>
      <c r="N1052" s="22">
        <f t="array" ref="N1052">_xlfn.XLOOKUP(非皮卡压缩表[[#This Row],[MODEL]],MODEL缩写表[长MODEL],MODEL缩写表[短MODEL],非皮卡压缩表[[#This Row],[MODEL]])</f>
        <v/>
      </c>
      <c r="O1052" s="22">
        <f>LEN(非皮卡压缩表[[#This Row],[SHORT-MODEL]])</f>
        <v/>
      </c>
      <c r="P1052" s="11">
        <f t="array" ref="P1052">TRIM(_xlfn.XLOOKUP(非皮卡压缩表[[#This Row],[BACKSIZE]],ALL尺码表[内部尺码],ALL尺码表[通用尺码]))</f>
        <v/>
      </c>
    </row>
    <row r="1053">
      <c r="A1053" s="17" t="inlineStr">
        <is>
          <t>ALL</t>
        </is>
      </c>
      <c r="B1053" s="18" t="inlineStr">
        <is>
          <t>Oldsmobile Cutlass</t>
        </is>
      </c>
      <c r="C1053" s="18" t="inlineStr">
        <is>
          <t>Oldsmobile</t>
        </is>
      </c>
      <c r="D1053" s="18" t="inlineStr">
        <is>
          <t>Cutlass</t>
        </is>
      </c>
      <c r="E1053" s="18" t="inlineStr">
        <is>
          <t>1989-1991</t>
        </is>
      </c>
      <c r="F1053" s="18" t="inlineStr"/>
      <c r="G1053" s="18" t="inlineStr">
        <is>
          <t>Coupe</t>
        </is>
      </c>
      <c r="H1053" s="18" t="inlineStr">
        <is>
          <t>3XL-0</t>
        </is>
      </c>
      <c r="I1053" s="19">
        <f t="array" ref="I1053">TRIM(_xlfn.XLOOKUP(非皮卡压缩表[[#This Row],[BACKSIZE]],ALL尺码表[内部尺码],ALL尺码表[分类],""))</f>
        <v/>
      </c>
      <c r="J1053" s="19">
        <f t="array" ref="J1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3" s="20">
        <f>LEN(非皮卡压缩表[[#This Row],[LONG-TYPE]])</f>
        <v/>
      </c>
      <c r="L1053" s="21">
        <f t="array" ref="L1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3" s="22">
        <f>LEN(非皮卡压缩表[[#This Row],[TYPE]])</f>
        <v/>
      </c>
      <c r="N1053" s="22">
        <f t="array" ref="N1053">_xlfn.XLOOKUP(非皮卡压缩表[[#This Row],[MODEL]],MODEL缩写表[长MODEL],MODEL缩写表[短MODEL],非皮卡压缩表[[#This Row],[MODEL]])</f>
        <v/>
      </c>
      <c r="O1053" s="22">
        <f>LEN(非皮卡压缩表[[#This Row],[SHORT-MODEL]])</f>
        <v/>
      </c>
      <c r="P1053" s="11">
        <f t="array" ref="P1053">TRIM(_xlfn.XLOOKUP(非皮卡压缩表[[#This Row],[BACKSIZE]],ALL尺码表[内部尺码],ALL尺码表[通用尺码]))</f>
        <v/>
      </c>
    </row>
    <row r="1054" ht="30" customHeight="1" s="23">
      <c r="A1054" s="17" t="inlineStr">
        <is>
          <t>ALL</t>
        </is>
      </c>
      <c r="B1054" s="18" t="inlineStr">
        <is>
          <t>Oldsmobile Cutlass</t>
        </is>
      </c>
      <c r="C1054" s="18" t="inlineStr">
        <is>
          <t>Oldsmobile</t>
        </is>
      </c>
      <c r="D1054" s="18" t="inlineStr">
        <is>
          <t>Cutlass</t>
        </is>
      </c>
      <c r="E1054" s="18" t="inlineStr">
        <is>
          <t>1990</t>
        </is>
      </c>
      <c r="F1054" s="18" t="inlineStr">
        <is>
          <t>Ciera</t>
        </is>
      </c>
      <c r="G1054" s="18" t="inlineStr">
        <is>
          <t>Sedan</t>
        </is>
      </c>
      <c r="H1054" s="18" t="inlineStr">
        <is>
          <t>3XXL</t>
        </is>
      </c>
      <c r="I1054" s="19">
        <f t="array" ref="I1054">TRIM(_xlfn.XLOOKUP(非皮卡压缩表[[#This Row],[BACKSIZE]],ALL尺码表[内部尺码],ALL尺码表[分类],""))</f>
        <v/>
      </c>
      <c r="J1054" s="19">
        <f t="array" ref="J1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4" s="20">
        <f>LEN(非皮卡压缩表[[#This Row],[LONG-TYPE]])</f>
        <v/>
      </c>
      <c r="L1054" s="21">
        <f t="array" ref="L1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4" s="22">
        <f>LEN(非皮卡压缩表[[#This Row],[TYPE]])</f>
        <v/>
      </c>
      <c r="N1054" s="22">
        <f t="array" ref="N1054">_xlfn.XLOOKUP(非皮卡压缩表[[#This Row],[MODEL]],MODEL缩写表[长MODEL],MODEL缩写表[短MODEL],非皮卡压缩表[[#This Row],[MODEL]])</f>
        <v/>
      </c>
      <c r="O1054" s="22">
        <f>LEN(非皮卡压缩表[[#This Row],[SHORT-MODEL]])</f>
        <v/>
      </c>
      <c r="P1054" s="11">
        <f t="array" ref="P1054">TRIM(_xlfn.XLOOKUP(非皮卡压缩表[[#This Row],[BACKSIZE]],ALL尺码表[内部尺码],ALL尺码表[通用尺码]))</f>
        <v/>
      </c>
    </row>
    <row r="1055">
      <c r="A1055" s="17" t="inlineStr">
        <is>
          <t>ALL</t>
        </is>
      </c>
      <c r="B1055" s="18" t="inlineStr">
        <is>
          <t>Oldsmobile Cutlass</t>
        </is>
      </c>
      <c r="C1055" s="18" t="inlineStr">
        <is>
          <t>Oldsmobile</t>
        </is>
      </c>
      <c r="D1055" s="18" t="inlineStr">
        <is>
          <t>Cutlass</t>
        </is>
      </c>
      <c r="E1055" s="18" t="inlineStr">
        <is>
          <t>1991-1996</t>
        </is>
      </c>
      <c r="F1055" s="18" t="inlineStr">
        <is>
          <t>Ciera</t>
        </is>
      </c>
      <c r="G1055" s="18" t="inlineStr">
        <is>
          <t>Sedan</t>
        </is>
      </c>
      <c r="H1055" s="18" t="inlineStr">
        <is>
          <t>3XL</t>
        </is>
      </c>
      <c r="I1055" s="19">
        <f t="array" ref="I1055">TRIM(_xlfn.XLOOKUP(非皮卡压缩表[[#This Row],[BACKSIZE]],ALL尺码表[内部尺码],ALL尺码表[分类],""))</f>
        <v/>
      </c>
      <c r="J1055" s="19">
        <f t="array" ref="J1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5" s="20">
        <f>LEN(非皮卡压缩表[[#This Row],[LONG-TYPE]])</f>
        <v/>
      </c>
      <c r="L1055" s="21">
        <f t="array" ref="L1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5" s="22">
        <f>LEN(非皮卡压缩表[[#This Row],[TYPE]])</f>
        <v/>
      </c>
      <c r="N1055" s="22">
        <f t="array" ref="N1055">_xlfn.XLOOKUP(非皮卡压缩表[[#This Row],[MODEL]],MODEL缩写表[长MODEL],MODEL缩写表[短MODEL],非皮卡压缩表[[#This Row],[MODEL]])</f>
        <v/>
      </c>
      <c r="O1055" s="22">
        <f>LEN(非皮卡压缩表[[#This Row],[SHORT-MODEL]])</f>
        <v/>
      </c>
      <c r="P1055" s="11">
        <f t="array" ref="P1055">TRIM(_xlfn.XLOOKUP(非皮卡压缩表[[#This Row],[BACKSIZE]],ALL尺码表[内部尺码],ALL尺码表[通用尺码]))</f>
        <v/>
      </c>
    </row>
    <row r="1056">
      <c r="A1056" s="17" t="inlineStr">
        <is>
          <t>ALL</t>
        </is>
      </c>
      <c r="B1056" s="18" t="inlineStr">
        <is>
          <t>Oldsmobile Intrigue</t>
        </is>
      </c>
      <c r="C1056" s="18" t="inlineStr">
        <is>
          <t>Oldsmobile</t>
        </is>
      </c>
      <c r="D1056" s="18" t="inlineStr">
        <is>
          <t>Intrigue</t>
        </is>
      </c>
      <c r="E1056" s="18" t="inlineStr">
        <is>
          <t>1998-2002</t>
        </is>
      </c>
      <c r="F1056" s="18" t="inlineStr"/>
      <c r="G1056" s="18" t="inlineStr">
        <is>
          <t>Sedan</t>
        </is>
      </c>
      <c r="H1056" s="18" t="inlineStr">
        <is>
          <t>3XXL</t>
        </is>
      </c>
      <c r="I1056" s="19">
        <f t="array" ref="I1056">TRIM(_xlfn.XLOOKUP(非皮卡压缩表[[#This Row],[BACKSIZE]],ALL尺码表[内部尺码],ALL尺码表[分类],""))</f>
        <v/>
      </c>
      <c r="J1056" s="19">
        <f t="array" ref="J1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6" s="20">
        <f>LEN(非皮卡压缩表[[#This Row],[LONG-TYPE]])</f>
        <v/>
      </c>
      <c r="L1056" s="21">
        <f t="array" ref="L1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6" s="22">
        <f>LEN(非皮卡压缩表[[#This Row],[TYPE]])</f>
        <v/>
      </c>
      <c r="N1056" s="22">
        <f t="array" ref="N1056">_xlfn.XLOOKUP(非皮卡压缩表[[#This Row],[MODEL]],MODEL缩写表[长MODEL],MODEL缩写表[短MODEL],非皮卡压缩表[[#This Row],[MODEL]])</f>
        <v/>
      </c>
      <c r="O1056" s="22">
        <f>LEN(非皮卡压缩表[[#This Row],[SHORT-MODEL]])</f>
        <v/>
      </c>
      <c r="P1056" s="11">
        <f t="array" ref="P1056">TRIM(_xlfn.XLOOKUP(非皮卡压缩表[[#This Row],[BACKSIZE]],ALL尺码表[内部尺码],ALL尺码表[通用尺码]))</f>
        <v/>
      </c>
    </row>
    <row r="1057">
      <c r="A1057" s="17" t="inlineStr">
        <is>
          <t>ALL</t>
        </is>
      </c>
      <c r="B1057" s="18" t="inlineStr">
        <is>
          <t>Plymouth Acclaim</t>
        </is>
      </c>
      <c r="C1057" s="18" t="inlineStr">
        <is>
          <t>Plymouth</t>
        </is>
      </c>
      <c r="D1057" s="18" t="inlineStr">
        <is>
          <t>Acclaim</t>
        </is>
      </c>
      <c r="E1057" s="18" t="inlineStr">
        <is>
          <t>1989-1995</t>
        </is>
      </c>
      <c r="F1057" s="18" t="inlineStr"/>
      <c r="G1057" s="18" t="inlineStr">
        <is>
          <t>Sedan</t>
        </is>
      </c>
      <c r="H1057" s="18" t="inlineStr">
        <is>
          <t>3L</t>
        </is>
      </c>
      <c r="I1057" s="19">
        <f t="array" ref="I1057">TRIM(_xlfn.XLOOKUP(非皮卡压缩表[[#This Row],[BACKSIZE]],ALL尺码表[内部尺码],ALL尺码表[分类],""))</f>
        <v/>
      </c>
      <c r="J1057" s="19">
        <f t="array" ref="J1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7" s="20">
        <f>LEN(非皮卡压缩表[[#This Row],[LONG-TYPE]])</f>
        <v/>
      </c>
      <c r="L1057" s="21">
        <f t="array" ref="L1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7" s="22">
        <f>LEN(非皮卡压缩表[[#This Row],[TYPE]])</f>
        <v/>
      </c>
      <c r="N1057" s="22">
        <f t="array" ref="N1057">_xlfn.XLOOKUP(非皮卡压缩表[[#This Row],[MODEL]],MODEL缩写表[长MODEL],MODEL缩写表[短MODEL],非皮卡压缩表[[#This Row],[MODEL]])</f>
        <v/>
      </c>
      <c r="O1057" s="22">
        <f>LEN(非皮卡压缩表[[#This Row],[SHORT-MODEL]])</f>
        <v/>
      </c>
      <c r="P1057" s="11">
        <f t="array" ref="P1057">TRIM(_xlfn.XLOOKUP(非皮卡压缩表[[#This Row],[BACKSIZE]],ALL尺码表[内部尺码],ALL尺码表[通用尺码]))</f>
        <v/>
      </c>
    </row>
    <row r="1058">
      <c r="A1058" s="17" t="inlineStr">
        <is>
          <t>ALL</t>
        </is>
      </c>
      <c r="B1058" s="18" t="inlineStr">
        <is>
          <t>Plymouth Barracuda</t>
        </is>
      </c>
      <c r="C1058" s="18" t="inlineStr">
        <is>
          <t>Plymouth</t>
        </is>
      </c>
      <c r="D1058" s="18" t="inlineStr">
        <is>
          <t>Barracuda</t>
        </is>
      </c>
      <c r="E1058" s="18" t="inlineStr">
        <is>
          <t>1964-1973</t>
        </is>
      </c>
      <c r="F1058" s="18" t="inlineStr"/>
      <c r="G1058" s="18" t="inlineStr">
        <is>
          <t>Coupe/Fastback</t>
        </is>
      </c>
      <c r="H1058" s="18" t="inlineStr">
        <is>
          <t>3XL-0</t>
        </is>
      </c>
      <c r="I1058" s="19">
        <f t="array" ref="I1058">TRIM(_xlfn.XLOOKUP(非皮卡压缩表[[#This Row],[BACKSIZE]],ALL尺码表[内部尺码],ALL尺码表[分类],""))</f>
        <v/>
      </c>
      <c r="J1058" s="19">
        <f t="array" ref="J1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8" s="20">
        <f>LEN(非皮卡压缩表[[#This Row],[LONG-TYPE]])</f>
        <v/>
      </c>
      <c r="L1058" s="21">
        <f t="array" ref="L1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8" s="22">
        <f>LEN(非皮卡压缩表[[#This Row],[TYPE]])</f>
        <v/>
      </c>
      <c r="N1058" s="22">
        <f t="array" ref="N1058">_xlfn.XLOOKUP(非皮卡压缩表[[#This Row],[MODEL]],MODEL缩写表[长MODEL],MODEL缩写表[短MODEL],非皮卡压缩表[[#This Row],[MODEL]])</f>
        <v/>
      </c>
      <c r="O1058" s="22">
        <f>LEN(非皮卡压缩表[[#This Row],[SHORT-MODEL]])</f>
        <v/>
      </c>
      <c r="P1058" s="11">
        <f t="array" ref="P1058">TRIM(_xlfn.XLOOKUP(非皮卡压缩表[[#This Row],[BACKSIZE]],ALL尺码表[内部尺码],ALL尺码表[通用尺码]))</f>
        <v/>
      </c>
    </row>
    <row r="1059">
      <c r="A1059" s="17" t="inlineStr">
        <is>
          <t>ALL</t>
        </is>
      </c>
      <c r="B1059" s="18" t="inlineStr">
        <is>
          <t>Plymouth Barracuda</t>
        </is>
      </c>
      <c r="C1059" s="18" t="inlineStr">
        <is>
          <t>Plymouth</t>
        </is>
      </c>
      <c r="D1059" s="18" t="inlineStr">
        <is>
          <t>Barracuda</t>
        </is>
      </c>
      <c r="E1059" s="18" t="inlineStr">
        <is>
          <t>1974</t>
        </is>
      </c>
      <c r="F1059" s="18" t="inlineStr"/>
      <c r="G1059" s="18" t="inlineStr">
        <is>
          <t>Coupe</t>
        </is>
      </c>
      <c r="H1059" s="18" t="inlineStr">
        <is>
          <t>3XL+0</t>
        </is>
      </c>
      <c r="I1059" s="19">
        <f t="array" ref="I1059">TRIM(_xlfn.XLOOKUP(非皮卡压缩表[[#This Row],[BACKSIZE]],ALL尺码表[内部尺码],ALL尺码表[分类],""))</f>
        <v/>
      </c>
      <c r="J1059" s="19">
        <f t="array" ref="J1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9" s="20">
        <f>LEN(非皮卡压缩表[[#This Row],[LONG-TYPE]])</f>
        <v/>
      </c>
      <c r="L1059" s="21">
        <f t="array" ref="L1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9" s="22">
        <f>LEN(非皮卡压缩表[[#This Row],[TYPE]])</f>
        <v/>
      </c>
      <c r="N1059" s="22">
        <f t="array" ref="N1059">_xlfn.XLOOKUP(非皮卡压缩表[[#This Row],[MODEL]],MODEL缩写表[长MODEL],MODEL缩写表[短MODEL],非皮卡压缩表[[#This Row],[MODEL]])</f>
        <v/>
      </c>
      <c r="O1059" s="22">
        <f>LEN(非皮卡压缩表[[#This Row],[SHORT-MODEL]])</f>
        <v/>
      </c>
      <c r="P1059" s="11">
        <f t="array" ref="P1059">TRIM(_xlfn.XLOOKUP(非皮卡压缩表[[#This Row],[BACKSIZE]],ALL尺码表[内部尺码],ALL尺码表[通用尺码]))</f>
        <v/>
      </c>
    </row>
    <row r="1060">
      <c r="A1060" s="17" t="inlineStr">
        <is>
          <t>ALL</t>
        </is>
      </c>
      <c r="B1060" s="18" t="inlineStr">
        <is>
          <t>Plymouth Breeze</t>
        </is>
      </c>
      <c r="C1060" s="18" t="inlineStr">
        <is>
          <t>Plymouth</t>
        </is>
      </c>
      <c r="D1060" s="18" t="inlineStr">
        <is>
          <t>Breeze</t>
        </is>
      </c>
      <c r="E1060" s="18" t="inlineStr">
        <is>
          <t>1996-2000</t>
        </is>
      </c>
      <c r="F1060" s="18" t="inlineStr"/>
      <c r="G1060" s="18" t="inlineStr">
        <is>
          <t>Sedan</t>
        </is>
      </c>
      <c r="H1060" s="18" t="inlineStr">
        <is>
          <t>3XL</t>
        </is>
      </c>
      <c r="I1060" s="19">
        <f t="array" ref="I1060">TRIM(_xlfn.XLOOKUP(非皮卡压缩表[[#This Row],[BACKSIZE]],ALL尺码表[内部尺码],ALL尺码表[分类],""))</f>
        <v/>
      </c>
      <c r="J1060" s="19">
        <f t="array" ref="J1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0" s="20">
        <f>LEN(非皮卡压缩表[[#This Row],[LONG-TYPE]])</f>
        <v/>
      </c>
      <c r="L1060" s="21">
        <f t="array" ref="L1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0" s="22">
        <f>LEN(非皮卡压缩表[[#This Row],[TYPE]])</f>
        <v/>
      </c>
      <c r="N1060" s="22">
        <f t="array" ref="N1060">_xlfn.XLOOKUP(非皮卡压缩表[[#This Row],[MODEL]],MODEL缩写表[长MODEL],MODEL缩写表[短MODEL],非皮卡压缩表[[#This Row],[MODEL]])</f>
        <v/>
      </c>
      <c r="O1060" s="22">
        <f>LEN(非皮卡压缩表[[#This Row],[SHORT-MODEL]])</f>
        <v/>
      </c>
      <c r="P1060" s="11">
        <f t="array" ref="P1060">TRIM(_xlfn.XLOOKUP(非皮卡压缩表[[#This Row],[BACKSIZE]],ALL尺码表[内部尺码],ALL尺码表[通用尺码]))</f>
        <v/>
      </c>
    </row>
    <row r="1061">
      <c r="A1061" s="17" t="inlineStr">
        <is>
          <t>ALL</t>
        </is>
      </c>
      <c r="B1061" s="18" t="inlineStr">
        <is>
          <t>Plymouth Fury</t>
        </is>
      </c>
      <c r="C1061" s="18" t="inlineStr">
        <is>
          <t>Plymouth</t>
        </is>
      </c>
      <c r="D1061" s="18" t="inlineStr">
        <is>
          <t>Fury</t>
        </is>
      </c>
      <c r="E1061" s="18" t="inlineStr">
        <is>
          <t>1956-1958</t>
        </is>
      </c>
      <c r="F1061" s="18" t="inlineStr">
        <is>
          <t>Incl: Belvedere Fury</t>
        </is>
      </c>
      <c r="G1061" s="18" t="inlineStr">
        <is>
          <t>Coupe/Hardtop</t>
        </is>
      </c>
      <c r="H1061" s="18" t="inlineStr">
        <is>
          <t>3XXL-0</t>
        </is>
      </c>
      <c r="I1061" s="19">
        <f t="array" ref="I1061">TRIM(_xlfn.XLOOKUP(非皮卡压缩表[[#This Row],[BACKSIZE]],ALL尺码表[内部尺码],ALL尺码表[分类],""))</f>
        <v/>
      </c>
      <c r="J1061" s="19">
        <f t="array" ref="J1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1" s="20">
        <f>LEN(非皮卡压缩表[[#This Row],[LONG-TYPE]])</f>
        <v/>
      </c>
      <c r="L1061" s="21">
        <f t="array" ref="L1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1" s="22">
        <f>LEN(非皮卡压缩表[[#This Row],[TYPE]])</f>
        <v/>
      </c>
      <c r="N1061" s="22">
        <f t="array" ref="N1061">_xlfn.XLOOKUP(非皮卡压缩表[[#This Row],[MODEL]],MODEL缩写表[长MODEL],MODEL缩写表[短MODEL],非皮卡压缩表[[#This Row],[MODEL]])</f>
        <v/>
      </c>
      <c r="O1061" s="22">
        <f>LEN(非皮卡压缩表[[#This Row],[SHORT-MODEL]])</f>
        <v/>
      </c>
      <c r="P1061" s="11">
        <f t="array" ref="P1061">TRIM(_xlfn.XLOOKUP(非皮卡压缩表[[#This Row],[BACKSIZE]],ALL尺码表[内部尺码],ALL尺码表[通用尺码]))</f>
        <v/>
      </c>
    </row>
    <row r="1062">
      <c r="A1062" s="17" t="inlineStr">
        <is>
          <t>ALL</t>
        </is>
      </c>
      <c r="B1062" s="18" t="inlineStr">
        <is>
          <t>Plymouth Fury</t>
        </is>
      </c>
      <c r="C1062" s="18" t="inlineStr">
        <is>
          <t>Plymouth</t>
        </is>
      </c>
      <c r="D1062" s="18" t="inlineStr">
        <is>
          <t>Fury</t>
        </is>
      </c>
      <c r="E1062" s="18" t="inlineStr">
        <is>
          <t>1959-1961</t>
        </is>
      </c>
      <c r="F1062" s="18" t="inlineStr"/>
      <c r="G1062" s="18" t="inlineStr">
        <is>
          <t>Sedan</t>
        </is>
      </c>
      <c r="H1062" s="18" t="inlineStr">
        <is>
          <t>3XXXL</t>
        </is>
      </c>
      <c r="I1062" s="19">
        <f t="array" ref="I1062">TRIM(_xlfn.XLOOKUP(非皮卡压缩表[[#This Row],[BACKSIZE]],ALL尺码表[内部尺码],ALL尺码表[分类],""))</f>
        <v/>
      </c>
      <c r="J1062" s="19">
        <f t="array" ref="J1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2" s="20">
        <f>LEN(非皮卡压缩表[[#This Row],[LONG-TYPE]])</f>
        <v/>
      </c>
      <c r="L1062" s="21">
        <f t="array" ref="L1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2" s="22">
        <f>LEN(非皮卡压缩表[[#This Row],[TYPE]])</f>
        <v/>
      </c>
      <c r="N1062" s="22">
        <f t="array" ref="N1062">_xlfn.XLOOKUP(非皮卡压缩表[[#This Row],[MODEL]],MODEL缩写表[长MODEL],MODEL缩写表[短MODEL],非皮卡压缩表[[#This Row],[MODEL]])</f>
        <v/>
      </c>
      <c r="O1062" s="22">
        <f>LEN(非皮卡压缩表[[#This Row],[SHORT-MODEL]])</f>
        <v/>
      </c>
      <c r="P1062" s="11">
        <f t="array" ref="P1062">TRIM(_xlfn.XLOOKUP(非皮卡压缩表[[#This Row],[BACKSIZE]],ALL尺码表[内部尺码],ALL尺码表[通用尺码]))</f>
        <v/>
      </c>
    </row>
    <row r="1063">
      <c r="A1063" s="17" t="inlineStr">
        <is>
          <t>ALL</t>
        </is>
      </c>
      <c r="B1063" s="18" t="inlineStr">
        <is>
          <t>Plymouth Fury</t>
        </is>
      </c>
      <c r="C1063" s="18" t="inlineStr">
        <is>
          <t>Plymouth</t>
        </is>
      </c>
      <c r="D1063" s="18" t="inlineStr">
        <is>
          <t>Fury</t>
        </is>
      </c>
      <c r="E1063" s="18" t="inlineStr">
        <is>
          <t>1959-1961</t>
        </is>
      </c>
      <c r="F1063" s="18" t="inlineStr"/>
      <c r="G1063" s="18" t="inlineStr">
        <is>
          <t>Convertible/Coupe</t>
        </is>
      </c>
      <c r="H1063" s="18" t="inlineStr">
        <is>
          <t>3XXXL-0</t>
        </is>
      </c>
      <c r="I1063" s="19">
        <f t="array" ref="I1063">TRIM(_xlfn.XLOOKUP(非皮卡压缩表[[#This Row],[BACKSIZE]],ALL尺码表[内部尺码],ALL尺码表[分类],""))</f>
        <v/>
      </c>
      <c r="J1063" s="19">
        <f t="array" ref="J1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3" s="20">
        <f>LEN(非皮卡压缩表[[#This Row],[LONG-TYPE]])</f>
        <v/>
      </c>
      <c r="L1063" s="21">
        <f t="array" ref="L1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3" s="22">
        <f>LEN(非皮卡压缩表[[#This Row],[TYPE]])</f>
        <v/>
      </c>
      <c r="N1063" s="22">
        <f t="array" ref="N1063">_xlfn.XLOOKUP(非皮卡压缩表[[#This Row],[MODEL]],MODEL缩写表[长MODEL],MODEL缩写表[短MODEL],非皮卡压缩表[[#This Row],[MODEL]])</f>
        <v/>
      </c>
      <c r="O1063" s="22">
        <f>LEN(非皮卡压缩表[[#This Row],[SHORT-MODEL]])</f>
        <v/>
      </c>
      <c r="P1063" s="11">
        <f t="array" ref="P1063">TRIM(_xlfn.XLOOKUP(非皮卡压缩表[[#This Row],[BACKSIZE]],ALL尺码表[内部尺码],ALL尺码表[通用尺码]))</f>
        <v/>
      </c>
    </row>
    <row r="1064">
      <c r="A1064" s="17" t="inlineStr">
        <is>
          <t>ALL</t>
        </is>
      </c>
      <c r="B1064" s="18" t="inlineStr">
        <is>
          <t>Plymouth Fury</t>
        </is>
      </c>
      <c r="C1064" s="18" t="inlineStr">
        <is>
          <t>Plymouth</t>
        </is>
      </c>
      <c r="D1064" s="18" t="inlineStr">
        <is>
          <t>Fury</t>
        </is>
      </c>
      <c r="E1064" s="18" t="inlineStr">
        <is>
          <t>1962</t>
        </is>
      </c>
      <c r="F1064" s="18" t="inlineStr"/>
      <c r="G1064" s="18" t="inlineStr">
        <is>
          <t>Convertible</t>
        </is>
      </c>
      <c r="H1064" s="18" t="inlineStr">
        <is>
          <t>3XL+0</t>
        </is>
      </c>
      <c r="I1064" s="19">
        <f t="array" ref="I1064">TRIM(_xlfn.XLOOKUP(非皮卡压缩表[[#This Row],[BACKSIZE]],ALL尺码表[内部尺码],ALL尺码表[分类],""))</f>
        <v/>
      </c>
      <c r="J1064" s="19">
        <f t="array" ref="J1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4" s="20">
        <f>LEN(非皮卡压缩表[[#This Row],[LONG-TYPE]])</f>
        <v/>
      </c>
      <c r="L1064" s="21">
        <f t="array" ref="L1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4" s="22">
        <f>LEN(非皮卡压缩表[[#This Row],[TYPE]])</f>
        <v/>
      </c>
      <c r="N1064" s="22">
        <f t="array" ref="N1064">_xlfn.XLOOKUP(非皮卡压缩表[[#This Row],[MODEL]],MODEL缩写表[长MODEL],MODEL缩写表[短MODEL],非皮卡压缩表[[#This Row],[MODEL]])</f>
        <v/>
      </c>
      <c r="O1064" s="22">
        <f>LEN(非皮卡压缩表[[#This Row],[SHORT-MODEL]])</f>
        <v/>
      </c>
      <c r="P1064" s="11">
        <f t="array" ref="P1064">TRIM(_xlfn.XLOOKUP(非皮卡压缩表[[#This Row],[BACKSIZE]],ALL尺码表[内部尺码],ALL尺码表[通用尺码]))</f>
        <v/>
      </c>
    </row>
    <row r="1065" ht="30" customHeight="1" s="23">
      <c r="A1065" s="17" t="inlineStr">
        <is>
          <t>ALL</t>
        </is>
      </c>
      <c r="B1065" s="18" t="inlineStr">
        <is>
          <t>Plymouth Fury</t>
        </is>
      </c>
      <c r="C1065" s="18" t="inlineStr">
        <is>
          <t>Plymouth</t>
        </is>
      </c>
      <c r="D1065" s="18" t="inlineStr">
        <is>
          <t>Fury</t>
        </is>
      </c>
      <c r="E1065" s="18" t="inlineStr">
        <is>
          <t>1962-1963</t>
        </is>
      </c>
      <c r="F1065" s="18" t="inlineStr"/>
      <c r="G1065" s="18" t="inlineStr">
        <is>
          <t>Coupe</t>
        </is>
      </c>
      <c r="H1065" s="18" t="inlineStr">
        <is>
          <t>3XL+0</t>
        </is>
      </c>
      <c r="I1065" s="19">
        <f t="array" ref="I1065">TRIM(_xlfn.XLOOKUP(非皮卡压缩表[[#This Row],[BACKSIZE]],ALL尺码表[内部尺码],ALL尺码表[分类],""))</f>
        <v/>
      </c>
      <c r="J1065" s="19">
        <f t="array" ref="J1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5" s="20">
        <f>LEN(非皮卡压缩表[[#This Row],[LONG-TYPE]])</f>
        <v/>
      </c>
      <c r="L1065" s="21">
        <f t="array" ref="L1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5" s="22">
        <f>LEN(非皮卡压缩表[[#This Row],[TYPE]])</f>
        <v/>
      </c>
      <c r="N1065" s="22">
        <f t="array" ref="N1065">_xlfn.XLOOKUP(非皮卡压缩表[[#This Row],[MODEL]],MODEL缩写表[长MODEL],MODEL缩写表[短MODEL],非皮卡压缩表[[#This Row],[MODEL]])</f>
        <v/>
      </c>
      <c r="O1065" s="22">
        <f>LEN(非皮卡压缩表[[#This Row],[SHORT-MODEL]])</f>
        <v/>
      </c>
      <c r="P1065" s="11">
        <f t="array" ref="P1065">TRIM(_xlfn.XLOOKUP(非皮卡压缩表[[#This Row],[BACKSIZE]],ALL尺码表[内部尺码],ALL尺码表[通用尺码]))</f>
        <v/>
      </c>
    </row>
    <row r="1066">
      <c r="A1066" s="17" t="inlineStr">
        <is>
          <t>ALL</t>
        </is>
      </c>
      <c r="B1066" s="18" t="inlineStr">
        <is>
          <t>Plymouth Fury</t>
        </is>
      </c>
      <c r="C1066" s="18" t="inlineStr">
        <is>
          <t>Plymouth</t>
        </is>
      </c>
      <c r="D1066" s="18" t="inlineStr">
        <is>
          <t>Fury</t>
        </is>
      </c>
      <c r="E1066" s="18" t="inlineStr">
        <is>
          <t>1962-1964</t>
        </is>
      </c>
      <c r="F1066" s="18" t="inlineStr"/>
      <c r="G1066" s="18" t="inlineStr">
        <is>
          <t>Sedan</t>
        </is>
      </c>
      <c r="H1066" s="18" t="inlineStr">
        <is>
          <t>3XXL</t>
        </is>
      </c>
      <c r="I1066" s="19">
        <f t="array" ref="I1066">TRIM(_xlfn.XLOOKUP(非皮卡压缩表[[#This Row],[BACKSIZE]],ALL尺码表[内部尺码],ALL尺码表[分类],""))</f>
        <v/>
      </c>
      <c r="J1066" s="19">
        <f t="array" ref="J1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6" s="20">
        <f>LEN(非皮卡压缩表[[#This Row],[LONG-TYPE]])</f>
        <v/>
      </c>
      <c r="L1066" s="21">
        <f t="array" ref="L1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6" s="22">
        <f>LEN(非皮卡压缩表[[#This Row],[TYPE]])</f>
        <v/>
      </c>
      <c r="N1066" s="22">
        <f t="array" ref="N1066">_xlfn.XLOOKUP(非皮卡压缩表[[#This Row],[MODEL]],MODEL缩写表[长MODEL],MODEL缩写表[短MODEL],非皮卡压缩表[[#This Row],[MODEL]])</f>
        <v/>
      </c>
      <c r="O1066" s="22">
        <f>LEN(非皮卡压缩表[[#This Row],[SHORT-MODEL]])</f>
        <v/>
      </c>
      <c r="P1066" s="11">
        <f t="array" ref="P1066">TRIM(_xlfn.XLOOKUP(非皮卡压缩表[[#This Row],[BACKSIZE]],ALL尺码表[内部尺码],ALL尺码表[通用尺码]))</f>
        <v/>
      </c>
    </row>
    <row r="1067">
      <c r="A1067" s="17" t="inlineStr">
        <is>
          <t>ALL</t>
        </is>
      </c>
      <c r="B1067" s="18" t="inlineStr">
        <is>
          <t>Plymouth Fury</t>
        </is>
      </c>
      <c r="C1067" s="18" t="inlineStr">
        <is>
          <t>Plymouth</t>
        </is>
      </c>
      <c r="D1067" s="18" t="inlineStr">
        <is>
          <t>Fury</t>
        </is>
      </c>
      <c r="E1067" s="18" t="inlineStr">
        <is>
          <t>1962-1964</t>
        </is>
      </c>
      <c r="F1067" s="18" t="inlineStr"/>
      <c r="G1067" s="18" t="inlineStr">
        <is>
          <t>Wagon</t>
        </is>
      </c>
      <c r="H1067" s="18" t="inlineStr">
        <is>
          <t>无可用尺码</t>
        </is>
      </c>
      <c r="I1067" s="19">
        <f t="array" ref="I1067">TRIM(_xlfn.XLOOKUP(非皮卡压缩表[[#This Row],[BACKSIZE]],ALL尺码表[内部尺码],ALL尺码表[分类],""))</f>
        <v/>
      </c>
      <c r="J1067" s="19">
        <f t="array" ref="J1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7" s="20">
        <f>LEN(非皮卡压缩表[[#This Row],[LONG-TYPE]])</f>
        <v/>
      </c>
      <c r="L1067" s="21">
        <f t="array" ref="L1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7" s="22">
        <f>LEN(非皮卡压缩表[[#This Row],[TYPE]])</f>
        <v/>
      </c>
      <c r="N1067" s="22">
        <f t="array" ref="N1067">_xlfn.XLOOKUP(非皮卡压缩表[[#This Row],[MODEL]],MODEL缩写表[长MODEL],MODEL缩写表[短MODEL],非皮卡压缩表[[#This Row],[MODEL]])</f>
        <v/>
      </c>
      <c r="O1067" s="22">
        <f>LEN(非皮卡压缩表[[#This Row],[SHORT-MODEL]])</f>
        <v/>
      </c>
      <c r="P1067" s="11">
        <f t="array" ref="P1067">TRIM(_xlfn.XLOOKUP(非皮卡压缩表[[#This Row],[BACKSIZE]],ALL尺码表[内部尺码],ALL尺码表[通用尺码]))</f>
        <v/>
      </c>
    </row>
    <row r="1068">
      <c r="A1068" s="17" t="inlineStr">
        <is>
          <t>ALL</t>
        </is>
      </c>
      <c r="B1068" s="18" t="inlineStr">
        <is>
          <t>Plymouth Fury</t>
        </is>
      </c>
      <c r="C1068" s="18" t="inlineStr">
        <is>
          <t>Plymouth</t>
        </is>
      </c>
      <c r="D1068" s="18" t="inlineStr">
        <is>
          <t>Fury</t>
        </is>
      </c>
      <c r="E1068" s="18" t="inlineStr">
        <is>
          <t>1963-1964</t>
        </is>
      </c>
      <c r="F1068" s="18" t="inlineStr"/>
      <c r="G1068" s="18" t="inlineStr">
        <is>
          <t>Convertible</t>
        </is>
      </c>
      <c r="H1068" s="18" t="inlineStr">
        <is>
          <t>3XXL-0</t>
        </is>
      </c>
      <c r="I1068" s="19">
        <f t="array" ref="I1068">TRIM(_xlfn.XLOOKUP(非皮卡压缩表[[#This Row],[BACKSIZE]],ALL尺码表[内部尺码],ALL尺码表[分类],""))</f>
        <v/>
      </c>
      <c r="J1068" s="19">
        <f t="array" ref="J1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8" s="20">
        <f>LEN(非皮卡压缩表[[#This Row],[LONG-TYPE]])</f>
        <v/>
      </c>
      <c r="L1068" s="21">
        <f t="array" ref="L1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8" s="22">
        <f>LEN(非皮卡压缩表[[#This Row],[TYPE]])</f>
        <v/>
      </c>
      <c r="N1068" s="22">
        <f t="array" ref="N1068">_xlfn.XLOOKUP(非皮卡压缩表[[#This Row],[MODEL]],MODEL缩写表[长MODEL],MODEL缩写表[短MODEL],非皮卡压缩表[[#This Row],[MODEL]])</f>
        <v/>
      </c>
      <c r="O1068" s="22">
        <f>LEN(非皮卡压缩表[[#This Row],[SHORT-MODEL]])</f>
        <v/>
      </c>
      <c r="P1068" s="11">
        <f t="array" ref="P1068">TRIM(_xlfn.XLOOKUP(非皮卡压缩表[[#This Row],[BACKSIZE]],ALL尺码表[内部尺码],ALL尺码表[通用尺码]))</f>
        <v/>
      </c>
    </row>
    <row r="1069">
      <c r="A1069" s="17" t="inlineStr">
        <is>
          <t>ALL</t>
        </is>
      </c>
      <c r="B1069" s="18" t="inlineStr">
        <is>
          <t>Plymouth Fury</t>
        </is>
      </c>
      <c r="C1069" s="18" t="inlineStr">
        <is>
          <t>Plymouth</t>
        </is>
      </c>
      <c r="D1069" s="18" t="inlineStr">
        <is>
          <t>Fury</t>
        </is>
      </c>
      <c r="E1069" s="18" t="inlineStr">
        <is>
          <t>1963-1964</t>
        </is>
      </c>
      <c r="F1069" s="18" t="inlineStr"/>
      <c r="G1069" s="18" t="inlineStr">
        <is>
          <t>Coupe</t>
        </is>
      </c>
      <c r="H1069" s="18" t="inlineStr">
        <is>
          <t>3XXL-0</t>
        </is>
      </c>
      <c r="I1069" s="19">
        <f t="array" ref="I1069">TRIM(_xlfn.XLOOKUP(非皮卡压缩表[[#This Row],[BACKSIZE]],ALL尺码表[内部尺码],ALL尺码表[分类],""))</f>
        <v/>
      </c>
      <c r="J1069" s="19">
        <f t="array" ref="J1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9" s="20">
        <f>LEN(非皮卡压缩表[[#This Row],[LONG-TYPE]])</f>
        <v/>
      </c>
      <c r="L1069" s="21">
        <f t="array" ref="L1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9" s="22">
        <f>LEN(非皮卡压缩表[[#This Row],[TYPE]])</f>
        <v/>
      </c>
      <c r="N1069" s="22">
        <f t="array" ref="N1069">_xlfn.XLOOKUP(非皮卡压缩表[[#This Row],[MODEL]],MODEL缩写表[长MODEL],MODEL缩写表[短MODEL],非皮卡压缩表[[#This Row],[MODEL]])</f>
        <v/>
      </c>
      <c r="O1069" s="22">
        <f>LEN(非皮卡压缩表[[#This Row],[SHORT-MODEL]])</f>
        <v/>
      </c>
      <c r="P1069" s="11">
        <f t="array" ref="P1069">TRIM(_xlfn.XLOOKUP(非皮卡压缩表[[#This Row],[BACKSIZE]],ALL尺码表[内部尺码],ALL尺码表[通用尺码]))</f>
        <v/>
      </c>
    </row>
    <row r="1070">
      <c r="A1070" s="17" t="inlineStr">
        <is>
          <t>ALL</t>
        </is>
      </c>
      <c r="B1070" s="18" t="inlineStr">
        <is>
          <t>Plymouth Fury</t>
        </is>
      </c>
      <c r="C1070" s="18" t="inlineStr">
        <is>
          <t>Plymouth</t>
        </is>
      </c>
      <c r="D1070" s="18" t="inlineStr">
        <is>
          <t>Fury</t>
        </is>
      </c>
      <c r="E1070" s="18" t="inlineStr">
        <is>
          <t>1965-1972</t>
        </is>
      </c>
      <c r="F1070" s="18" t="inlineStr"/>
      <c r="G1070" s="18" t="inlineStr">
        <is>
          <t>Sedan</t>
        </is>
      </c>
      <c r="H1070" s="18" t="inlineStr">
        <is>
          <t>3XXXL</t>
        </is>
      </c>
      <c r="I1070" s="19">
        <f t="array" ref="I1070">TRIM(_xlfn.XLOOKUP(非皮卡压缩表[[#This Row],[BACKSIZE]],ALL尺码表[内部尺码],ALL尺码表[分类],""))</f>
        <v/>
      </c>
      <c r="J1070" s="19">
        <f t="array" ref="J1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0" s="20">
        <f>LEN(非皮卡压缩表[[#This Row],[LONG-TYPE]])</f>
        <v/>
      </c>
      <c r="L1070" s="21">
        <f t="array" ref="L1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0" s="22">
        <f>LEN(非皮卡压缩表[[#This Row],[TYPE]])</f>
        <v/>
      </c>
      <c r="N1070" s="22">
        <f t="array" ref="N1070">_xlfn.XLOOKUP(非皮卡压缩表[[#This Row],[MODEL]],MODEL缩写表[长MODEL],MODEL缩写表[短MODEL],非皮卡压缩表[[#This Row],[MODEL]])</f>
        <v/>
      </c>
      <c r="O1070" s="22">
        <f>LEN(非皮卡压缩表[[#This Row],[SHORT-MODEL]])</f>
        <v/>
      </c>
      <c r="P1070" s="11">
        <f t="array" ref="P1070">TRIM(_xlfn.XLOOKUP(非皮卡压缩表[[#This Row],[BACKSIZE]],ALL尺码表[内部尺码],ALL尺码表[通用尺码]))</f>
        <v/>
      </c>
    </row>
    <row r="1071">
      <c r="A1071" s="17" t="inlineStr">
        <is>
          <t>ALL</t>
        </is>
      </c>
      <c r="B1071" s="18" t="inlineStr">
        <is>
          <t>Plymouth Fury</t>
        </is>
      </c>
      <c r="C1071" s="18" t="inlineStr">
        <is>
          <t>Plymouth</t>
        </is>
      </c>
      <c r="D1071" s="18" t="inlineStr">
        <is>
          <t>Fury</t>
        </is>
      </c>
      <c r="E1071" s="18" t="inlineStr">
        <is>
          <t>1965-1972</t>
        </is>
      </c>
      <c r="F1071" s="18" t="inlineStr"/>
      <c r="G1071" s="18" t="inlineStr">
        <is>
          <t>Convertible/Coupe</t>
        </is>
      </c>
      <c r="H1071" s="18" t="inlineStr">
        <is>
          <t>3XXXL-0</t>
        </is>
      </c>
      <c r="I1071" s="19">
        <f t="array" ref="I1071">TRIM(_xlfn.XLOOKUP(非皮卡压缩表[[#This Row],[BACKSIZE]],ALL尺码表[内部尺码],ALL尺码表[分类],""))</f>
        <v/>
      </c>
      <c r="J1071" s="19">
        <f t="array" ref="J1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1" s="20">
        <f>LEN(非皮卡压缩表[[#This Row],[LONG-TYPE]])</f>
        <v/>
      </c>
      <c r="L1071" s="21">
        <f t="array" ref="L1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1" s="22">
        <f>LEN(非皮卡压缩表[[#This Row],[TYPE]])</f>
        <v/>
      </c>
      <c r="N1071" s="22">
        <f t="array" ref="N1071">_xlfn.XLOOKUP(非皮卡压缩表[[#This Row],[MODEL]],MODEL缩写表[长MODEL],MODEL缩写表[短MODEL],非皮卡压缩表[[#This Row],[MODEL]])</f>
        <v/>
      </c>
      <c r="O1071" s="22">
        <f>LEN(非皮卡压缩表[[#This Row],[SHORT-MODEL]])</f>
        <v/>
      </c>
      <c r="P1071" s="11">
        <f t="array" ref="P1071">TRIM(_xlfn.XLOOKUP(非皮卡压缩表[[#This Row],[BACKSIZE]],ALL尺码表[内部尺码],ALL尺码表[通用尺码]))</f>
        <v/>
      </c>
    </row>
    <row r="1072">
      <c r="A1072" s="17" t="inlineStr">
        <is>
          <t>ALL</t>
        </is>
      </c>
      <c r="B1072" s="18" t="inlineStr">
        <is>
          <t>Plymouth Fury</t>
        </is>
      </c>
      <c r="C1072" s="18" t="inlineStr">
        <is>
          <t>Plymouth</t>
        </is>
      </c>
      <c r="D1072" s="18" t="inlineStr">
        <is>
          <t>Fury</t>
        </is>
      </c>
      <c r="E1072" s="18" t="inlineStr">
        <is>
          <t>1973-1974</t>
        </is>
      </c>
      <c r="F1072" s="18" t="inlineStr"/>
      <c r="G1072" s="18" t="inlineStr">
        <is>
          <t>Coupe</t>
        </is>
      </c>
      <c r="H1072" s="18" t="inlineStr">
        <is>
          <t>3XXXXL-0</t>
        </is>
      </c>
      <c r="I1072" s="19">
        <f t="array" ref="I1072">TRIM(_xlfn.XLOOKUP(非皮卡压缩表[[#This Row],[BACKSIZE]],ALL尺码表[内部尺码],ALL尺码表[分类],""))</f>
        <v/>
      </c>
      <c r="J1072" s="19">
        <f t="array" ref="J1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2" s="20">
        <f>LEN(非皮卡压缩表[[#This Row],[LONG-TYPE]])</f>
        <v/>
      </c>
      <c r="L1072" s="21">
        <f t="array" ref="L1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2" s="22">
        <f>LEN(非皮卡压缩表[[#This Row],[TYPE]])</f>
        <v/>
      </c>
      <c r="N1072" s="22">
        <f t="array" ref="N1072">_xlfn.XLOOKUP(非皮卡压缩表[[#This Row],[MODEL]],MODEL缩写表[长MODEL],MODEL缩写表[短MODEL],非皮卡压缩表[[#This Row],[MODEL]])</f>
        <v/>
      </c>
      <c r="O1072" s="22">
        <f>LEN(非皮卡压缩表[[#This Row],[SHORT-MODEL]])</f>
        <v/>
      </c>
      <c r="P1072" s="11">
        <f t="array" ref="P1072">TRIM(_xlfn.XLOOKUP(非皮卡压缩表[[#This Row],[BACKSIZE]],ALL尺码表[内部尺码],ALL尺码表[通用尺码]))</f>
        <v/>
      </c>
    </row>
    <row r="1073">
      <c r="A1073" s="17" t="inlineStr">
        <is>
          <t>ALL</t>
        </is>
      </c>
      <c r="B1073" s="18" t="inlineStr">
        <is>
          <t>Plymouth Fury</t>
        </is>
      </c>
      <c r="C1073" s="18" t="inlineStr">
        <is>
          <t>Plymouth</t>
        </is>
      </c>
      <c r="D1073" s="18" t="inlineStr">
        <is>
          <t>Fury</t>
        </is>
      </c>
      <c r="E1073" s="18" t="inlineStr">
        <is>
          <t>1973-1974</t>
        </is>
      </c>
      <c r="F1073" s="18" t="inlineStr"/>
      <c r="G1073" s="18" t="inlineStr">
        <is>
          <t>Sedan</t>
        </is>
      </c>
      <c r="H1073" s="18" t="inlineStr">
        <is>
          <t>无可用尺码</t>
        </is>
      </c>
      <c r="I1073" s="19">
        <f t="array" ref="I1073">TRIM(_xlfn.XLOOKUP(非皮卡压缩表[[#This Row],[BACKSIZE]],ALL尺码表[内部尺码],ALL尺码表[分类],""))</f>
        <v/>
      </c>
      <c r="J1073" s="19">
        <f t="array" ref="J1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3" s="20">
        <f>LEN(非皮卡压缩表[[#This Row],[LONG-TYPE]])</f>
        <v/>
      </c>
      <c r="L1073" s="21">
        <f t="array" ref="L1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3" s="22">
        <f>LEN(非皮卡压缩表[[#This Row],[TYPE]])</f>
        <v/>
      </c>
      <c r="N1073" s="22">
        <f t="array" ref="N1073">_xlfn.XLOOKUP(非皮卡压缩表[[#This Row],[MODEL]],MODEL缩写表[长MODEL],MODEL缩写表[短MODEL],非皮卡压缩表[[#This Row],[MODEL]])</f>
        <v/>
      </c>
      <c r="O1073" s="22">
        <f>LEN(非皮卡压缩表[[#This Row],[SHORT-MODEL]])</f>
        <v/>
      </c>
      <c r="P1073" s="11">
        <f t="array" ref="P1073">TRIM(_xlfn.XLOOKUP(非皮卡压缩表[[#This Row],[BACKSIZE]],ALL尺码表[内部尺码],ALL尺码表[通用尺码]))</f>
        <v/>
      </c>
    </row>
    <row r="1074">
      <c r="A1074" s="17" t="inlineStr">
        <is>
          <t>ALL</t>
        </is>
      </c>
      <c r="B1074" s="18" t="inlineStr">
        <is>
          <t>Plymouth Fury</t>
        </is>
      </c>
      <c r="C1074" s="18" t="inlineStr">
        <is>
          <t>Plymouth</t>
        </is>
      </c>
      <c r="D1074" s="18" t="inlineStr">
        <is>
          <t>Fury</t>
        </is>
      </c>
      <c r="E1074" s="18" t="inlineStr">
        <is>
          <t>1975-1978</t>
        </is>
      </c>
      <c r="F1074" s="18" t="inlineStr"/>
      <c r="G1074" s="18" t="inlineStr">
        <is>
          <t>Sedan</t>
        </is>
      </c>
      <c r="H1074" s="18" t="inlineStr">
        <is>
          <t>3XXXL</t>
        </is>
      </c>
      <c r="I1074" s="19">
        <f t="array" ref="I1074">TRIM(_xlfn.XLOOKUP(非皮卡压缩表[[#This Row],[BACKSIZE]],ALL尺码表[内部尺码],ALL尺码表[分类],""))</f>
        <v/>
      </c>
      <c r="J1074" s="19">
        <f t="array" ref="J1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4" s="20">
        <f>LEN(非皮卡压缩表[[#This Row],[LONG-TYPE]])</f>
        <v/>
      </c>
      <c r="L1074" s="21">
        <f t="array" ref="L1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4" s="22">
        <f>LEN(非皮卡压缩表[[#This Row],[TYPE]])</f>
        <v/>
      </c>
      <c r="N1074" s="22">
        <f t="array" ref="N1074">_xlfn.XLOOKUP(非皮卡压缩表[[#This Row],[MODEL]],MODEL缩写表[长MODEL],MODEL缩写表[短MODEL],非皮卡压缩表[[#This Row],[MODEL]])</f>
        <v/>
      </c>
      <c r="O1074" s="22">
        <f>LEN(非皮卡压缩表[[#This Row],[SHORT-MODEL]])</f>
        <v/>
      </c>
      <c r="P1074" s="11">
        <f t="array" ref="P1074">TRIM(_xlfn.XLOOKUP(非皮卡压缩表[[#This Row],[BACKSIZE]],ALL尺码表[内部尺码],ALL尺码表[通用尺码]))</f>
        <v/>
      </c>
    </row>
    <row r="1075">
      <c r="A1075" s="17" t="inlineStr">
        <is>
          <t>ALL</t>
        </is>
      </c>
      <c r="B1075" s="18" t="inlineStr">
        <is>
          <t>Plymouth Fury</t>
        </is>
      </c>
      <c r="C1075" s="18" t="inlineStr">
        <is>
          <t>Plymouth</t>
        </is>
      </c>
      <c r="D1075" s="18" t="inlineStr">
        <is>
          <t>Fury</t>
        </is>
      </c>
      <c r="E1075" s="18" t="inlineStr">
        <is>
          <t>1975-1978</t>
        </is>
      </c>
      <c r="F1075" s="18" t="inlineStr"/>
      <c r="G1075" s="18" t="inlineStr">
        <is>
          <t>Coupe</t>
        </is>
      </c>
      <c r="H1075" s="18" t="inlineStr">
        <is>
          <t>3XXXL-0</t>
        </is>
      </c>
      <c r="I1075" s="19">
        <f t="array" ref="I1075">TRIM(_xlfn.XLOOKUP(非皮卡压缩表[[#This Row],[BACKSIZE]],ALL尺码表[内部尺码],ALL尺码表[分类],""))</f>
        <v/>
      </c>
      <c r="J1075" s="19">
        <f t="array" ref="J1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5" s="20">
        <f>LEN(非皮卡压缩表[[#This Row],[LONG-TYPE]])</f>
        <v/>
      </c>
      <c r="L1075" s="21">
        <f t="array" ref="L1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5" s="22">
        <f>LEN(非皮卡压缩表[[#This Row],[TYPE]])</f>
        <v/>
      </c>
      <c r="N1075" s="22">
        <f t="array" ref="N1075">_xlfn.XLOOKUP(非皮卡压缩表[[#This Row],[MODEL]],MODEL缩写表[长MODEL],MODEL缩写表[短MODEL],非皮卡压缩表[[#This Row],[MODEL]])</f>
        <v/>
      </c>
      <c r="O1075" s="22">
        <f>LEN(非皮卡压缩表[[#This Row],[SHORT-MODEL]])</f>
        <v/>
      </c>
      <c r="P1075" s="11">
        <f t="array" ref="P1075">TRIM(_xlfn.XLOOKUP(非皮卡压缩表[[#This Row],[BACKSIZE]],ALL尺码表[内部尺码],ALL尺码表[通用尺码]))</f>
        <v/>
      </c>
    </row>
    <row r="1076">
      <c r="A1076" s="17" t="inlineStr">
        <is>
          <t>ALL</t>
        </is>
      </c>
      <c r="B1076" s="18" t="inlineStr">
        <is>
          <t>Plymouth Laser</t>
        </is>
      </c>
      <c r="C1076" s="18" t="inlineStr">
        <is>
          <t>Plymouth</t>
        </is>
      </c>
      <c r="D1076" s="18" t="inlineStr">
        <is>
          <t>Laser</t>
        </is>
      </c>
      <c r="E1076" s="18" t="inlineStr">
        <is>
          <t>1990-1994</t>
        </is>
      </c>
      <c r="F1076" s="18" t="inlineStr"/>
      <c r="G1076" s="18" t="inlineStr">
        <is>
          <t>Coupe</t>
        </is>
      </c>
      <c r="H1076" s="18" t="inlineStr">
        <is>
          <t>3M-0</t>
        </is>
      </c>
      <c r="I1076" s="19">
        <f t="array" ref="I1076">TRIM(_xlfn.XLOOKUP(非皮卡压缩表[[#This Row],[BACKSIZE]],ALL尺码表[内部尺码],ALL尺码表[分类],""))</f>
        <v/>
      </c>
      <c r="J1076" s="19">
        <f t="array" ref="J1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6" s="20">
        <f>LEN(非皮卡压缩表[[#This Row],[LONG-TYPE]])</f>
        <v/>
      </c>
      <c r="L1076" s="21">
        <f t="array" ref="L1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6" s="22">
        <f>LEN(非皮卡压缩表[[#This Row],[TYPE]])</f>
        <v/>
      </c>
      <c r="N1076" s="22">
        <f t="array" ref="N1076">_xlfn.XLOOKUP(非皮卡压缩表[[#This Row],[MODEL]],MODEL缩写表[长MODEL],MODEL缩写表[短MODEL],非皮卡压缩表[[#This Row],[MODEL]])</f>
        <v/>
      </c>
      <c r="O1076" s="22">
        <f>LEN(非皮卡压缩表[[#This Row],[SHORT-MODEL]])</f>
        <v/>
      </c>
      <c r="P1076" s="11">
        <f t="array" ref="P1076">TRIM(_xlfn.XLOOKUP(非皮卡压缩表[[#This Row],[BACKSIZE]],ALL尺码表[内部尺码],ALL尺码表[通用尺码]))</f>
        <v/>
      </c>
    </row>
    <row r="1077">
      <c r="A1077" s="17" t="inlineStr">
        <is>
          <t>ALL</t>
        </is>
      </c>
      <c r="B1077" s="18" t="inlineStr">
        <is>
          <t>Plymouth Neon</t>
        </is>
      </c>
      <c r="C1077" s="18" t="inlineStr">
        <is>
          <t>Plymouth</t>
        </is>
      </c>
      <c r="D1077" s="18" t="inlineStr">
        <is>
          <t>Neon</t>
        </is>
      </c>
      <c r="E1077" s="18" t="inlineStr">
        <is>
          <t>1995-2001</t>
        </is>
      </c>
      <c r="F1077" s="18" t="inlineStr"/>
      <c r="G1077" s="18" t="inlineStr">
        <is>
          <t>Sedan</t>
        </is>
      </c>
      <c r="H1077" s="18" t="inlineStr">
        <is>
          <t>3L</t>
        </is>
      </c>
      <c r="I1077" s="19">
        <f t="array" ref="I1077">TRIM(_xlfn.XLOOKUP(非皮卡压缩表[[#This Row],[BACKSIZE]],ALL尺码表[内部尺码],ALL尺码表[分类],""))</f>
        <v/>
      </c>
      <c r="J1077" s="19">
        <f t="array" ref="J1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7" s="20">
        <f>LEN(非皮卡压缩表[[#This Row],[LONG-TYPE]])</f>
        <v/>
      </c>
      <c r="L1077" s="21">
        <f t="array" ref="L1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7" s="22">
        <f>LEN(非皮卡压缩表[[#This Row],[TYPE]])</f>
        <v/>
      </c>
      <c r="N1077" s="22">
        <f t="array" ref="N1077">_xlfn.XLOOKUP(非皮卡压缩表[[#This Row],[MODEL]],MODEL缩写表[长MODEL],MODEL缩写表[短MODEL],非皮卡压缩表[[#This Row],[MODEL]])</f>
        <v/>
      </c>
      <c r="O1077" s="22">
        <f>LEN(非皮卡压缩表[[#This Row],[SHORT-MODEL]])</f>
        <v/>
      </c>
      <c r="P1077" s="11">
        <f t="array" ref="P1077">TRIM(_xlfn.XLOOKUP(非皮卡压缩表[[#This Row],[BACKSIZE]],ALL尺码表[内部尺码],ALL尺码表[通用尺码]))</f>
        <v/>
      </c>
    </row>
    <row r="1078">
      <c r="A1078" s="17" t="inlineStr">
        <is>
          <t>ALL</t>
        </is>
      </c>
      <c r="B1078" s="18" t="inlineStr">
        <is>
          <t>Plymouth Neon</t>
        </is>
      </c>
      <c r="C1078" s="18" t="inlineStr">
        <is>
          <t>Plymouth</t>
        </is>
      </c>
      <c r="D1078" s="18" t="inlineStr">
        <is>
          <t>Neon</t>
        </is>
      </c>
      <c r="E1078" s="18" t="inlineStr">
        <is>
          <t>1995-1999</t>
        </is>
      </c>
      <c r="F1078" s="18" t="inlineStr"/>
      <c r="G1078" s="18" t="inlineStr">
        <is>
          <t>Coupe</t>
        </is>
      </c>
      <c r="H1078" s="18" t="inlineStr">
        <is>
          <t>3M-0</t>
        </is>
      </c>
      <c r="I1078" s="19">
        <f t="array" ref="I1078">TRIM(_xlfn.XLOOKUP(非皮卡压缩表[[#This Row],[BACKSIZE]],ALL尺码表[内部尺码],ALL尺码表[分类],""))</f>
        <v/>
      </c>
      <c r="J1078" s="19">
        <f t="array" ref="J1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8" s="20">
        <f>LEN(非皮卡压缩表[[#This Row],[LONG-TYPE]])</f>
        <v/>
      </c>
      <c r="L1078" s="21">
        <f t="array" ref="L1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8" s="22">
        <f>LEN(非皮卡压缩表[[#This Row],[TYPE]])</f>
        <v/>
      </c>
      <c r="N1078" s="22">
        <f t="array" ref="N1078">_xlfn.XLOOKUP(非皮卡压缩表[[#This Row],[MODEL]],MODEL缩写表[长MODEL],MODEL缩写表[短MODEL],非皮卡压缩表[[#This Row],[MODEL]])</f>
        <v/>
      </c>
      <c r="O1078" s="22">
        <f>LEN(非皮卡压缩表[[#This Row],[SHORT-MODEL]])</f>
        <v/>
      </c>
      <c r="P1078" s="11">
        <f t="array" ref="P1078">TRIM(_xlfn.XLOOKUP(非皮卡压缩表[[#This Row],[BACKSIZE]],ALL尺码表[内部尺码],ALL尺码表[通用尺码]))</f>
        <v/>
      </c>
    </row>
    <row r="1079">
      <c r="A1079" s="17" t="inlineStr">
        <is>
          <t>ALL</t>
        </is>
      </c>
      <c r="B1079" s="18" t="inlineStr">
        <is>
          <t>Plymouth Road Runner</t>
        </is>
      </c>
      <c r="C1079" s="18" t="inlineStr">
        <is>
          <t>Plymouth</t>
        </is>
      </c>
      <c r="D1079" s="18" t="inlineStr">
        <is>
          <t>Road Runner</t>
        </is>
      </c>
      <c r="E1079" s="18" t="inlineStr">
        <is>
          <t>1968-1970</t>
        </is>
      </c>
      <c r="F1079" s="18" t="inlineStr"/>
      <c r="G1079" s="18" t="inlineStr">
        <is>
          <t>Coupe</t>
        </is>
      </c>
      <c r="H1079" s="18" t="inlineStr">
        <is>
          <t>3XL+0</t>
        </is>
      </c>
      <c r="I1079" s="19">
        <f t="array" ref="I1079">TRIM(_xlfn.XLOOKUP(非皮卡压缩表[[#This Row],[BACKSIZE]],ALL尺码表[内部尺码],ALL尺码表[分类],""))</f>
        <v/>
      </c>
      <c r="J1079" s="19">
        <f t="array" ref="J1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9" s="20">
        <f>LEN(非皮卡压缩表[[#This Row],[LONG-TYPE]])</f>
        <v/>
      </c>
      <c r="L1079" s="21">
        <f t="array" ref="L1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9" s="22">
        <f>LEN(非皮卡压缩表[[#This Row],[TYPE]])</f>
        <v/>
      </c>
      <c r="N1079" s="22">
        <f t="array" ref="N1079">_xlfn.XLOOKUP(非皮卡压缩表[[#This Row],[MODEL]],MODEL缩写表[长MODEL],MODEL缩写表[短MODEL],非皮卡压缩表[[#This Row],[MODEL]])</f>
        <v/>
      </c>
      <c r="O1079" s="22">
        <f>LEN(非皮卡压缩表[[#This Row],[SHORT-MODEL]])</f>
        <v/>
      </c>
      <c r="P1079" s="11">
        <f t="array" ref="P1079">TRIM(_xlfn.XLOOKUP(非皮卡压缩表[[#This Row],[BACKSIZE]],ALL尺码表[内部尺码],ALL尺码表[通用尺码]))</f>
        <v/>
      </c>
    </row>
    <row r="1080">
      <c r="A1080" s="17" t="inlineStr">
        <is>
          <t>ALL</t>
        </is>
      </c>
      <c r="B1080" s="18" t="inlineStr">
        <is>
          <t>Plymouth Road Runner</t>
        </is>
      </c>
      <c r="C1080" s="18" t="inlineStr">
        <is>
          <t>Plymouth</t>
        </is>
      </c>
      <c r="D1080" s="18" t="inlineStr">
        <is>
          <t>Road Runner</t>
        </is>
      </c>
      <c r="E1080" s="18" t="inlineStr">
        <is>
          <t>1971</t>
        </is>
      </c>
      <c r="F1080" s="18" t="inlineStr"/>
      <c r="G1080" s="18" t="inlineStr">
        <is>
          <t>Coupe</t>
        </is>
      </c>
      <c r="H1080" s="18" t="inlineStr">
        <is>
          <t>3XXL-0</t>
        </is>
      </c>
      <c r="I1080" s="19">
        <f t="array" ref="I1080">TRIM(_xlfn.XLOOKUP(非皮卡压缩表[[#This Row],[BACKSIZE]],ALL尺码表[内部尺码],ALL尺码表[分类],""))</f>
        <v/>
      </c>
      <c r="J1080" s="19">
        <f t="array" ref="J1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0" s="20">
        <f>LEN(非皮卡压缩表[[#This Row],[LONG-TYPE]])</f>
        <v/>
      </c>
      <c r="L1080" s="21">
        <f t="array" ref="L1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0" s="22">
        <f>LEN(非皮卡压缩表[[#This Row],[TYPE]])</f>
        <v/>
      </c>
      <c r="N1080" s="22">
        <f t="array" ref="N1080">_xlfn.XLOOKUP(非皮卡压缩表[[#This Row],[MODEL]],MODEL缩写表[长MODEL],MODEL缩写表[短MODEL],非皮卡压缩表[[#This Row],[MODEL]])</f>
        <v/>
      </c>
      <c r="O1080" s="22">
        <f>LEN(非皮卡压缩表[[#This Row],[SHORT-MODEL]])</f>
        <v/>
      </c>
      <c r="P1080" s="11">
        <f t="array" ref="P1080">TRIM(_xlfn.XLOOKUP(非皮卡压缩表[[#This Row],[BACKSIZE]],ALL尺码表[内部尺码],ALL尺码表[通用尺码]))</f>
        <v/>
      </c>
    </row>
    <row r="1081">
      <c r="A1081" s="17" t="inlineStr">
        <is>
          <t>ALL</t>
        </is>
      </c>
      <c r="B1081" s="18" t="inlineStr">
        <is>
          <t>Plymouth Road Runner</t>
        </is>
      </c>
      <c r="C1081" s="18" t="inlineStr">
        <is>
          <t>Plymouth</t>
        </is>
      </c>
      <c r="D1081" s="18" t="inlineStr">
        <is>
          <t>Road Runner</t>
        </is>
      </c>
      <c r="E1081" s="18" t="inlineStr">
        <is>
          <t>1972</t>
        </is>
      </c>
      <c r="F1081" s="18" t="inlineStr"/>
      <c r="G1081" s="18" t="inlineStr">
        <is>
          <t>Coupe</t>
        </is>
      </c>
      <c r="H1081" s="18" t="inlineStr">
        <is>
          <t>3XL+0</t>
        </is>
      </c>
      <c r="I1081" s="19">
        <f t="array" ref="I1081">TRIM(_xlfn.XLOOKUP(非皮卡压缩表[[#This Row],[BACKSIZE]],ALL尺码表[内部尺码],ALL尺码表[分类],""))</f>
        <v/>
      </c>
      <c r="J1081" s="19">
        <f t="array" ref="J1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1" s="20">
        <f>LEN(非皮卡压缩表[[#This Row],[LONG-TYPE]])</f>
        <v/>
      </c>
      <c r="L1081" s="21">
        <f t="array" ref="L1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1" s="22">
        <f>LEN(非皮卡压缩表[[#This Row],[TYPE]])</f>
        <v/>
      </c>
      <c r="N1081" s="22">
        <f t="array" ref="N1081">_xlfn.XLOOKUP(非皮卡压缩表[[#This Row],[MODEL]],MODEL缩写表[长MODEL],MODEL缩写表[短MODEL],非皮卡压缩表[[#This Row],[MODEL]])</f>
        <v/>
      </c>
      <c r="O1081" s="22">
        <f>LEN(非皮卡压缩表[[#This Row],[SHORT-MODEL]])</f>
        <v/>
      </c>
      <c r="P1081" s="11">
        <f t="array" ref="P1081">TRIM(_xlfn.XLOOKUP(非皮卡压缩表[[#This Row],[BACKSIZE]],ALL尺码表[内部尺码],ALL尺码表[通用尺码]))</f>
        <v/>
      </c>
    </row>
    <row r="1082">
      <c r="A1082" s="17" t="inlineStr">
        <is>
          <t>ALL</t>
        </is>
      </c>
      <c r="B1082" s="18" t="inlineStr">
        <is>
          <t>Plymouth Road Runner</t>
        </is>
      </c>
      <c r="C1082" s="18" t="inlineStr">
        <is>
          <t>Plymouth</t>
        </is>
      </c>
      <c r="D1082" s="18" t="inlineStr">
        <is>
          <t>Road Runner</t>
        </is>
      </c>
      <c r="E1082" s="18" t="inlineStr">
        <is>
          <t>1973-1975</t>
        </is>
      </c>
      <c r="F1082" s="18" t="inlineStr"/>
      <c r="G1082" s="18" t="inlineStr">
        <is>
          <t>Coupe</t>
        </is>
      </c>
      <c r="H1082" s="18" t="inlineStr">
        <is>
          <t>3XXXL-0</t>
        </is>
      </c>
      <c r="I1082" s="19">
        <f t="array" ref="I1082">TRIM(_xlfn.XLOOKUP(非皮卡压缩表[[#This Row],[BACKSIZE]],ALL尺码表[内部尺码],ALL尺码表[分类],""))</f>
        <v/>
      </c>
      <c r="J1082" s="19">
        <f t="array" ref="J1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2" s="20">
        <f>LEN(非皮卡压缩表[[#This Row],[LONG-TYPE]])</f>
        <v/>
      </c>
      <c r="L1082" s="21">
        <f t="array" ref="L1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2" s="22">
        <f>LEN(非皮卡压缩表[[#This Row],[TYPE]])</f>
        <v/>
      </c>
      <c r="N1082" s="22">
        <f t="array" ref="N1082">_xlfn.XLOOKUP(非皮卡压缩表[[#This Row],[MODEL]],MODEL缩写表[长MODEL],MODEL缩写表[短MODEL],非皮卡压缩表[[#This Row],[MODEL]])</f>
        <v/>
      </c>
      <c r="O1082" s="22">
        <f>LEN(非皮卡压缩表[[#This Row],[SHORT-MODEL]])</f>
        <v/>
      </c>
      <c r="P1082" s="11">
        <f t="array" ref="P1082">TRIM(_xlfn.XLOOKUP(非皮卡压缩表[[#This Row],[BACKSIZE]],ALL尺码表[内部尺码],ALL尺码表[通用尺码]))</f>
        <v/>
      </c>
    </row>
    <row r="1083">
      <c r="A1083" s="17" t="inlineStr">
        <is>
          <t>ALL</t>
        </is>
      </c>
      <c r="B1083" s="18" t="inlineStr">
        <is>
          <t>Plymouth Sundance</t>
        </is>
      </c>
      <c r="C1083" s="18" t="inlineStr">
        <is>
          <t>Plymouth</t>
        </is>
      </c>
      <c r="D1083" s="18" t="inlineStr">
        <is>
          <t>Sundance</t>
        </is>
      </c>
      <c r="E1083" s="18" t="inlineStr">
        <is>
          <t>1992-1994</t>
        </is>
      </c>
      <c r="F1083" s="18" t="inlineStr"/>
      <c r="G1083" s="18" t="inlineStr">
        <is>
          <t>Hatchback</t>
        </is>
      </c>
      <c r="H1083" s="18" t="inlineStr">
        <is>
          <t>2L+</t>
        </is>
      </c>
      <c r="I1083" s="19">
        <f t="array" ref="I1083">TRIM(_xlfn.XLOOKUP(非皮卡压缩表[[#This Row],[BACKSIZE]],ALL尺码表[内部尺码],ALL尺码表[分类],""))</f>
        <v/>
      </c>
      <c r="J1083" s="19">
        <f t="array" ref="J1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3" s="20">
        <f>LEN(非皮卡压缩表[[#This Row],[LONG-TYPE]])</f>
        <v/>
      </c>
      <c r="L1083" s="21">
        <f t="array" ref="L1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3" s="22">
        <f>LEN(非皮卡压缩表[[#This Row],[TYPE]])</f>
        <v/>
      </c>
      <c r="N1083" s="22">
        <f t="array" ref="N1083">_xlfn.XLOOKUP(非皮卡压缩表[[#This Row],[MODEL]],MODEL缩写表[长MODEL],MODEL缩写表[短MODEL],非皮卡压缩表[[#This Row],[MODEL]])</f>
        <v/>
      </c>
      <c r="O1083" s="22">
        <f>LEN(非皮卡压缩表[[#This Row],[SHORT-MODEL]])</f>
        <v/>
      </c>
      <c r="P1083" s="11">
        <f t="array" ref="P1083">TRIM(_xlfn.XLOOKUP(非皮卡压缩表[[#This Row],[BACKSIZE]],ALL尺码表[内部尺码],ALL尺码表[通用尺码]))</f>
        <v/>
      </c>
    </row>
    <row r="1084">
      <c r="A1084" s="17" t="inlineStr">
        <is>
          <t>ALL</t>
        </is>
      </c>
      <c r="B1084" s="18" t="inlineStr">
        <is>
          <t>Plymouth Valiant</t>
        </is>
      </c>
      <c r="C1084" s="18" t="inlineStr">
        <is>
          <t>Plymouth</t>
        </is>
      </c>
      <c r="D1084" s="18" t="inlineStr">
        <is>
          <t>Valiant</t>
        </is>
      </c>
      <c r="E1084" s="18" t="inlineStr">
        <is>
          <t>1960-1966</t>
        </is>
      </c>
      <c r="F1084" s="18" t="inlineStr"/>
      <c r="G1084" s="18" t="inlineStr">
        <is>
          <t>Wagon</t>
        </is>
      </c>
      <c r="H1084" s="18" t="inlineStr">
        <is>
          <t>2XL</t>
        </is>
      </c>
      <c r="I1084" s="19">
        <f t="array" ref="I1084">TRIM(_xlfn.XLOOKUP(非皮卡压缩表[[#This Row],[BACKSIZE]],ALL尺码表[内部尺码],ALL尺码表[分类],""))</f>
        <v/>
      </c>
      <c r="J1084" s="19">
        <f t="array" ref="J1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4" s="20">
        <f>LEN(非皮卡压缩表[[#This Row],[LONG-TYPE]])</f>
        <v/>
      </c>
      <c r="L1084" s="21">
        <f t="array" ref="L1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4" s="22">
        <f>LEN(非皮卡压缩表[[#This Row],[TYPE]])</f>
        <v/>
      </c>
      <c r="N1084" s="22">
        <f t="array" ref="N1084">_xlfn.XLOOKUP(非皮卡压缩表[[#This Row],[MODEL]],MODEL缩写表[长MODEL],MODEL缩写表[短MODEL],非皮卡压缩表[[#This Row],[MODEL]])</f>
        <v/>
      </c>
      <c r="O1084" s="22">
        <f>LEN(非皮卡压缩表[[#This Row],[SHORT-MODEL]])</f>
        <v/>
      </c>
      <c r="P1084" s="11">
        <f t="array" ref="P1084">TRIM(_xlfn.XLOOKUP(非皮卡压缩表[[#This Row],[BACKSIZE]],ALL尺码表[内部尺码],ALL尺码表[通用尺码]))</f>
        <v/>
      </c>
    </row>
    <row r="1085">
      <c r="A1085" s="17" t="inlineStr">
        <is>
          <t>ALL</t>
        </is>
      </c>
      <c r="B1085" s="18" t="inlineStr">
        <is>
          <t>Plymouth Valiant</t>
        </is>
      </c>
      <c r="C1085" s="18" t="inlineStr">
        <is>
          <t>Plymouth</t>
        </is>
      </c>
      <c r="D1085" s="18" t="inlineStr">
        <is>
          <t>Valiant</t>
        </is>
      </c>
      <c r="E1085" s="18" t="inlineStr">
        <is>
          <t>1960-1962</t>
        </is>
      </c>
      <c r="F1085" s="18" t="inlineStr"/>
      <c r="G1085" s="18" t="inlineStr">
        <is>
          <t>Sedan</t>
        </is>
      </c>
      <c r="H1085" s="18" t="inlineStr">
        <is>
          <t>3L</t>
        </is>
      </c>
      <c r="I1085" s="19">
        <f t="array" ref="I1085">TRIM(_xlfn.XLOOKUP(非皮卡压缩表[[#This Row],[BACKSIZE]],ALL尺码表[内部尺码],ALL尺码表[分类],""))</f>
        <v/>
      </c>
      <c r="J1085" s="19">
        <f t="array" ref="J1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5" s="20">
        <f>LEN(非皮卡压缩表[[#This Row],[LONG-TYPE]])</f>
        <v/>
      </c>
      <c r="L1085" s="21">
        <f t="array" ref="L1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5" s="22">
        <f>LEN(非皮卡压缩表[[#This Row],[TYPE]])</f>
        <v/>
      </c>
      <c r="N1085" s="22">
        <f t="array" ref="N1085">_xlfn.XLOOKUP(非皮卡压缩表[[#This Row],[MODEL]],MODEL缩写表[长MODEL],MODEL缩写表[短MODEL],非皮卡压缩表[[#This Row],[MODEL]])</f>
        <v/>
      </c>
      <c r="O1085" s="22">
        <f>LEN(非皮卡压缩表[[#This Row],[SHORT-MODEL]])</f>
        <v/>
      </c>
      <c r="P1085" s="11">
        <f t="array" ref="P1085">TRIM(_xlfn.XLOOKUP(非皮卡压缩表[[#This Row],[BACKSIZE]],ALL尺码表[内部尺码],ALL尺码表[通用尺码]))</f>
        <v/>
      </c>
    </row>
    <row r="1086">
      <c r="A1086" s="17" t="inlineStr">
        <is>
          <t>ALL</t>
        </is>
      </c>
      <c r="B1086" s="18" t="inlineStr">
        <is>
          <t>Plymouth Valiant</t>
        </is>
      </c>
      <c r="C1086" s="18" t="inlineStr">
        <is>
          <t>Plymouth</t>
        </is>
      </c>
      <c r="D1086" s="18" t="inlineStr">
        <is>
          <t>Valiant</t>
        </is>
      </c>
      <c r="E1086" s="18" t="inlineStr">
        <is>
          <t>1963-1972</t>
        </is>
      </c>
      <c r="F1086" s="18" t="inlineStr"/>
      <c r="G1086" s="18" t="inlineStr">
        <is>
          <t>Sedan</t>
        </is>
      </c>
      <c r="H1086" s="18" t="inlineStr">
        <is>
          <t>3XL</t>
        </is>
      </c>
      <c r="I1086" s="19">
        <f t="array" ref="I1086">TRIM(_xlfn.XLOOKUP(非皮卡压缩表[[#This Row],[BACKSIZE]],ALL尺码表[内部尺码],ALL尺码表[分类],""))</f>
        <v/>
      </c>
      <c r="J1086" s="19">
        <f t="array" ref="J1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6" s="20">
        <f>LEN(非皮卡压缩表[[#This Row],[LONG-TYPE]])</f>
        <v/>
      </c>
      <c r="L1086" s="21">
        <f t="array" ref="L1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6" s="22">
        <f>LEN(非皮卡压缩表[[#This Row],[TYPE]])</f>
        <v/>
      </c>
      <c r="N1086" s="22">
        <f t="array" ref="N1086">_xlfn.XLOOKUP(非皮卡压缩表[[#This Row],[MODEL]],MODEL缩写表[长MODEL],MODEL缩写表[短MODEL],非皮卡压缩表[[#This Row],[MODEL]])</f>
        <v/>
      </c>
      <c r="O1086" s="22">
        <f>LEN(非皮卡压缩表[[#This Row],[SHORT-MODEL]])</f>
        <v/>
      </c>
      <c r="P1086" s="11">
        <f t="array" ref="P1086">TRIM(_xlfn.XLOOKUP(非皮卡压缩表[[#This Row],[BACKSIZE]],ALL尺码表[内部尺码],ALL尺码表[通用尺码]))</f>
        <v/>
      </c>
    </row>
    <row r="1087">
      <c r="A1087" s="17" t="inlineStr">
        <is>
          <t>ALL</t>
        </is>
      </c>
      <c r="B1087" s="18" t="inlineStr">
        <is>
          <t>Plymouth Valiant</t>
        </is>
      </c>
      <c r="C1087" s="18" t="inlineStr">
        <is>
          <t>Plymouth</t>
        </is>
      </c>
      <c r="D1087" s="18" t="inlineStr">
        <is>
          <t>Valiant</t>
        </is>
      </c>
      <c r="E1087" s="18" t="inlineStr">
        <is>
          <t>1963-1972</t>
        </is>
      </c>
      <c r="F1087" s="18" t="inlineStr"/>
      <c r="G1087" s="18" t="inlineStr">
        <is>
          <t>Convertible/Coupe</t>
        </is>
      </c>
      <c r="H1087" s="18" t="inlineStr">
        <is>
          <t>3XL-0</t>
        </is>
      </c>
      <c r="I1087" s="19">
        <f t="array" ref="I1087">TRIM(_xlfn.XLOOKUP(非皮卡压缩表[[#This Row],[BACKSIZE]],ALL尺码表[内部尺码],ALL尺码表[分类],""))</f>
        <v/>
      </c>
      <c r="J1087" s="19">
        <f t="array" ref="J1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7" s="20">
        <f>LEN(非皮卡压缩表[[#This Row],[LONG-TYPE]])</f>
        <v/>
      </c>
      <c r="L1087" s="21">
        <f t="array" ref="L1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7" s="22">
        <f>LEN(非皮卡压缩表[[#This Row],[TYPE]])</f>
        <v/>
      </c>
      <c r="N1087" s="22">
        <f t="array" ref="N1087">_xlfn.XLOOKUP(非皮卡压缩表[[#This Row],[MODEL]],MODEL缩写表[长MODEL],MODEL缩写表[短MODEL],非皮卡压缩表[[#This Row],[MODEL]])</f>
        <v/>
      </c>
      <c r="O1087" s="22">
        <f>LEN(非皮卡压缩表[[#This Row],[SHORT-MODEL]])</f>
        <v/>
      </c>
      <c r="P1087" s="11">
        <f t="array" ref="P1087">TRIM(_xlfn.XLOOKUP(非皮卡压缩表[[#This Row],[BACKSIZE]],ALL尺码表[内部尺码],ALL尺码表[通用尺码]))</f>
        <v/>
      </c>
    </row>
    <row r="1088">
      <c r="A1088" s="17" t="inlineStr">
        <is>
          <t>ALL</t>
        </is>
      </c>
      <c r="B1088" s="18" t="inlineStr">
        <is>
          <t>Plymouth Valiant</t>
        </is>
      </c>
      <c r="C1088" s="18" t="inlineStr">
        <is>
          <t>Plymouth</t>
        </is>
      </c>
      <c r="D1088" s="18" t="inlineStr">
        <is>
          <t>Valiant</t>
        </is>
      </c>
      <c r="E1088" s="18" t="inlineStr">
        <is>
          <t>1973-1976</t>
        </is>
      </c>
      <c r="F1088" s="18" t="inlineStr">
        <is>
          <t>Duster/Scamp</t>
        </is>
      </c>
      <c r="G1088" s="18" t="inlineStr">
        <is>
          <t>Coupe</t>
        </is>
      </c>
      <c r="H1088" s="18" t="inlineStr">
        <is>
          <t>3XL+0</t>
        </is>
      </c>
      <c r="I1088" s="19">
        <f t="array" ref="I1088">TRIM(_xlfn.XLOOKUP(非皮卡压缩表[[#This Row],[BACKSIZE]],ALL尺码表[内部尺码],ALL尺码表[分类],""))</f>
        <v/>
      </c>
      <c r="J1088" s="19">
        <f t="array" ref="J1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8" s="20">
        <f>LEN(非皮卡压缩表[[#This Row],[LONG-TYPE]])</f>
        <v/>
      </c>
      <c r="L1088" s="21">
        <f t="array" ref="L1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8" s="22">
        <f>LEN(非皮卡压缩表[[#This Row],[TYPE]])</f>
        <v/>
      </c>
      <c r="N1088" s="22">
        <f t="array" ref="N1088">_xlfn.XLOOKUP(非皮卡压缩表[[#This Row],[MODEL]],MODEL缩写表[长MODEL],MODEL缩写表[短MODEL],非皮卡压缩表[[#This Row],[MODEL]])</f>
        <v/>
      </c>
      <c r="O1088" s="22">
        <f>LEN(非皮卡压缩表[[#This Row],[SHORT-MODEL]])</f>
        <v/>
      </c>
      <c r="P1088" s="11">
        <f t="array" ref="P1088">TRIM(_xlfn.XLOOKUP(非皮卡压缩表[[#This Row],[BACKSIZE]],ALL尺码表[内部尺码],ALL尺码表[通用尺码]))</f>
        <v/>
      </c>
    </row>
    <row r="1089">
      <c r="A1089" s="17" t="inlineStr">
        <is>
          <t>ALL</t>
        </is>
      </c>
      <c r="B1089" s="18" t="inlineStr">
        <is>
          <t>Plymouth Valiant</t>
        </is>
      </c>
      <c r="C1089" s="18" t="inlineStr">
        <is>
          <t>Plymouth</t>
        </is>
      </c>
      <c r="D1089" s="18" t="inlineStr">
        <is>
          <t>Valiant</t>
        </is>
      </c>
      <c r="E1089" s="18" t="inlineStr">
        <is>
          <t>1973-1976</t>
        </is>
      </c>
      <c r="F1089" s="18" t="inlineStr"/>
      <c r="G1089" s="18" t="inlineStr">
        <is>
          <t>Sedan</t>
        </is>
      </c>
      <c r="H1089" s="18" t="inlineStr">
        <is>
          <t>3XXL</t>
        </is>
      </c>
      <c r="I1089" s="19">
        <f t="array" ref="I1089">TRIM(_xlfn.XLOOKUP(非皮卡压缩表[[#This Row],[BACKSIZE]],ALL尺码表[内部尺码],ALL尺码表[分类],""))</f>
        <v/>
      </c>
      <c r="J1089" s="19">
        <f t="array" ref="J1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9" s="20">
        <f>LEN(非皮卡压缩表[[#This Row],[LONG-TYPE]])</f>
        <v/>
      </c>
      <c r="L1089" s="21">
        <f t="array" ref="L1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9" s="22">
        <f>LEN(非皮卡压缩表[[#This Row],[TYPE]])</f>
        <v/>
      </c>
      <c r="N1089" s="22">
        <f t="array" ref="N1089">_xlfn.XLOOKUP(非皮卡压缩表[[#This Row],[MODEL]],MODEL缩写表[长MODEL],MODEL缩写表[短MODEL],非皮卡压缩表[[#This Row],[MODEL]])</f>
        <v/>
      </c>
      <c r="O1089" s="22">
        <f>LEN(非皮卡压缩表[[#This Row],[SHORT-MODEL]])</f>
        <v/>
      </c>
      <c r="P1089" s="11">
        <f t="array" ref="P1089">TRIM(_xlfn.XLOOKUP(非皮卡压缩表[[#This Row],[BACKSIZE]],ALL尺码表[内部尺码],ALL尺码表[通用尺码]))</f>
        <v/>
      </c>
    </row>
    <row r="1090">
      <c r="A1090" s="17" t="inlineStr">
        <is>
          <t>ALL</t>
        </is>
      </c>
      <c r="B1090" s="18" t="inlineStr">
        <is>
          <t>Polestar 1</t>
        </is>
      </c>
      <c r="C1090" s="18" t="inlineStr">
        <is>
          <t>Polestar</t>
        </is>
      </c>
      <c r="D1090" s="18" t="inlineStr">
        <is>
          <t>1</t>
        </is>
      </c>
      <c r="E1090" s="18" t="inlineStr">
        <is>
          <t>2020-2021</t>
        </is>
      </c>
      <c r="F1090" s="18" t="inlineStr"/>
      <c r="G1090" s="18" t="inlineStr">
        <is>
          <t>Coupe</t>
        </is>
      </c>
      <c r="H1090" s="18" t="inlineStr">
        <is>
          <t>3L-0</t>
        </is>
      </c>
      <c r="I1090" s="19">
        <f t="array" ref="I1090">TRIM(_xlfn.XLOOKUP(非皮卡压缩表[[#This Row],[BACKSIZE]],ALL尺码表[内部尺码],ALL尺码表[分类],""))</f>
        <v/>
      </c>
      <c r="J1090" s="19">
        <f t="array" ref="J1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0" s="20">
        <f>LEN(非皮卡压缩表[[#This Row],[LONG-TYPE]])</f>
        <v/>
      </c>
      <c r="L1090" s="21">
        <f t="array" ref="L1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0" s="22">
        <f>LEN(非皮卡压缩表[[#This Row],[TYPE]])</f>
        <v/>
      </c>
      <c r="N1090" s="22">
        <f t="array" ref="N1090">_xlfn.XLOOKUP(非皮卡压缩表[[#This Row],[MODEL]],MODEL缩写表[长MODEL],MODEL缩写表[短MODEL],非皮卡压缩表[[#This Row],[MODEL]])</f>
        <v/>
      </c>
      <c r="O1090" s="22">
        <f>LEN(非皮卡压缩表[[#This Row],[SHORT-MODEL]])</f>
        <v/>
      </c>
      <c r="P1090" s="11">
        <f t="array" ref="P1090">TRIM(_xlfn.XLOOKUP(非皮卡压缩表[[#This Row],[BACKSIZE]],ALL尺码表[内部尺码],ALL尺码表[通用尺码]))</f>
        <v/>
      </c>
    </row>
    <row r="1091">
      <c r="A1091" s="17" t="inlineStr">
        <is>
          <t>ALL</t>
        </is>
      </c>
      <c r="B1091" s="18" t="inlineStr">
        <is>
          <t>Polestar 2</t>
        </is>
      </c>
      <c r="C1091" s="18" t="inlineStr">
        <is>
          <t>Polestar</t>
        </is>
      </c>
      <c r="D1091" s="18" t="inlineStr">
        <is>
          <t>2</t>
        </is>
      </c>
      <c r="E1091" s="18" t="inlineStr">
        <is>
          <t>2021-2025</t>
        </is>
      </c>
      <c r="F1091" s="18" t="inlineStr"/>
      <c r="G1091" s="18" t="inlineStr">
        <is>
          <t>Hatchback</t>
        </is>
      </c>
      <c r="H1091" s="18" t="inlineStr">
        <is>
          <t>2XL</t>
        </is>
      </c>
      <c r="I1091" s="19">
        <f t="array" ref="I1091">TRIM(_xlfn.XLOOKUP(非皮卡压缩表[[#This Row],[BACKSIZE]],ALL尺码表[内部尺码],ALL尺码表[分类],""))</f>
        <v/>
      </c>
      <c r="J1091" s="19">
        <f t="array" ref="J1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1" s="20">
        <f>LEN(非皮卡压缩表[[#This Row],[LONG-TYPE]])</f>
        <v/>
      </c>
      <c r="L1091" s="21">
        <f t="array" ref="L1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1" s="22">
        <f>LEN(非皮卡压缩表[[#This Row],[TYPE]])</f>
        <v/>
      </c>
      <c r="N1091" s="22">
        <f t="array" ref="N1091">_xlfn.XLOOKUP(非皮卡压缩表[[#This Row],[MODEL]],MODEL缩写表[长MODEL],MODEL缩写表[短MODEL],非皮卡压缩表[[#This Row],[MODEL]])</f>
        <v/>
      </c>
      <c r="O1091" s="22">
        <f>LEN(非皮卡压缩表[[#This Row],[SHORT-MODEL]])</f>
        <v/>
      </c>
      <c r="P1091" s="11">
        <f t="array" ref="P1091">TRIM(_xlfn.XLOOKUP(非皮卡压缩表[[#This Row],[BACKSIZE]],ALL尺码表[内部尺码],ALL尺码表[通用尺码]))</f>
        <v/>
      </c>
    </row>
    <row r="1092">
      <c r="A1092" s="17" t="inlineStr">
        <is>
          <t>ALL</t>
        </is>
      </c>
      <c r="B1092" s="18" t="inlineStr">
        <is>
          <t>Polestar 3</t>
        </is>
      </c>
      <c r="C1092" s="18" t="inlineStr">
        <is>
          <t>Polestar</t>
        </is>
      </c>
      <c r="D1092" s="18" t="inlineStr">
        <is>
          <t>3</t>
        </is>
      </c>
      <c r="E1092" s="18" t="inlineStr">
        <is>
          <t>2025-2026</t>
        </is>
      </c>
      <c r="F1092" s="18" t="inlineStr"/>
      <c r="G1092" s="18" t="inlineStr">
        <is>
          <t>SUV</t>
        </is>
      </c>
      <c r="H1092" s="18" t="inlineStr">
        <is>
          <t>YXL</t>
        </is>
      </c>
      <c r="I1092" s="19">
        <f t="array" ref="I1092">TRIM(_xlfn.XLOOKUP(非皮卡压缩表[[#This Row],[BACKSIZE]],ALL尺码表[内部尺码],ALL尺码表[分类],""))</f>
        <v/>
      </c>
      <c r="J1092" s="19">
        <f t="array" ref="J1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2" s="20">
        <f>LEN(非皮卡压缩表[[#This Row],[LONG-TYPE]])</f>
        <v/>
      </c>
      <c r="L1092" s="21">
        <f t="array" ref="L1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2" s="22">
        <f>LEN(非皮卡压缩表[[#This Row],[TYPE]])</f>
        <v/>
      </c>
      <c r="N1092" s="22">
        <f t="array" ref="N1092">_xlfn.XLOOKUP(非皮卡压缩表[[#This Row],[MODEL]],MODEL缩写表[长MODEL],MODEL缩写表[短MODEL],非皮卡压缩表[[#This Row],[MODEL]])</f>
        <v/>
      </c>
      <c r="O1092" s="22">
        <f>LEN(非皮卡压缩表[[#This Row],[SHORT-MODEL]])</f>
        <v/>
      </c>
      <c r="P1092" s="11">
        <f t="array" ref="P1092">TRIM(_xlfn.XLOOKUP(非皮卡压缩表[[#This Row],[BACKSIZE]],ALL尺码表[内部尺码],ALL尺码表[通用尺码]))</f>
        <v/>
      </c>
    </row>
    <row r="1093">
      <c r="A1093" s="17" t="inlineStr">
        <is>
          <t>ALL</t>
        </is>
      </c>
      <c r="B1093" s="18" t="inlineStr">
        <is>
          <t>Polestar 4</t>
        </is>
      </c>
      <c r="C1093" s="18" t="inlineStr">
        <is>
          <t>Polestar</t>
        </is>
      </c>
      <c r="D1093" s="18" t="inlineStr">
        <is>
          <t>4</t>
        </is>
      </c>
      <c r="E1093" s="18" t="inlineStr">
        <is>
          <t>2026</t>
        </is>
      </c>
      <c r="F1093" s="18" t="inlineStr"/>
      <c r="G1093" s="18" t="inlineStr">
        <is>
          <t>Coupe SUV</t>
        </is>
      </c>
      <c r="H1093" s="18" t="inlineStr">
        <is>
          <t>YXL</t>
        </is>
      </c>
      <c r="I1093" s="19">
        <f t="array" ref="I1093">TRIM(_xlfn.XLOOKUP(非皮卡压缩表[[#This Row],[BACKSIZE]],ALL尺码表[内部尺码],ALL尺码表[分类],""))</f>
        <v/>
      </c>
      <c r="J1093" s="19">
        <f t="array" ref="J1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3" s="20">
        <f>LEN(非皮卡压缩表[[#This Row],[LONG-TYPE]])</f>
        <v/>
      </c>
      <c r="L1093" s="21">
        <f t="array" ref="L1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3" s="22">
        <f>LEN(非皮卡压缩表[[#This Row],[TYPE]])</f>
        <v/>
      </c>
      <c r="N1093" s="22">
        <f t="array" ref="N1093">_xlfn.XLOOKUP(非皮卡压缩表[[#This Row],[MODEL]],MODEL缩写表[长MODEL],MODEL缩写表[短MODEL],非皮卡压缩表[[#This Row],[MODEL]])</f>
        <v/>
      </c>
      <c r="O1093" s="22">
        <f>LEN(非皮卡压缩表[[#This Row],[SHORT-MODEL]])</f>
        <v/>
      </c>
      <c r="P1093" s="11">
        <f t="array" ref="P1093">TRIM(_xlfn.XLOOKUP(非皮卡压缩表[[#This Row],[BACKSIZE]],ALL尺码表[内部尺码],ALL尺码表[通用尺码]))</f>
        <v/>
      </c>
    </row>
    <row r="1094">
      <c r="A1094" s="17" t="inlineStr">
        <is>
          <t>ALL</t>
        </is>
      </c>
      <c r="B1094" s="18" t="inlineStr">
        <is>
          <t>Pontiac Astre</t>
        </is>
      </c>
      <c r="C1094" s="18" t="inlineStr">
        <is>
          <t>Pontiac</t>
        </is>
      </c>
      <c r="D1094" s="18" t="inlineStr">
        <is>
          <t>Astre</t>
        </is>
      </c>
      <c r="E1094" s="18" t="inlineStr">
        <is>
          <t>1975-1977</t>
        </is>
      </c>
      <c r="F1094" s="18" t="inlineStr">
        <is>
          <t>Incl: Safari</t>
        </is>
      </c>
      <c r="G1094" s="18" t="inlineStr">
        <is>
          <t>Hatchback/Wagon</t>
        </is>
      </c>
      <c r="H1094" s="18" t="inlineStr">
        <is>
          <t>2L+</t>
        </is>
      </c>
      <c r="I1094" s="19">
        <f t="array" ref="I1094">TRIM(_xlfn.XLOOKUP(非皮卡压缩表[[#This Row],[BACKSIZE]],ALL尺码表[内部尺码],ALL尺码表[分类],""))</f>
        <v/>
      </c>
      <c r="J1094" s="19">
        <f t="array" ref="J1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4" s="20">
        <f>LEN(非皮卡压缩表[[#This Row],[LONG-TYPE]])</f>
        <v/>
      </c>
      <c r="L1094" s="21">
        <f t="array" ref="L1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4" s="22">
        <f>LEN(非皮卡压缩表[[#This Row],[TYPE]])</f>
        <v/>
      </c>
      <c r="N1094" s="22">
        <f t="array" ref="N1094">_xlfn.XLOOKUP(非皮卡压缩表[[#This Row],[MODEL]],MODEL缩写表[长MODEL],MODEL缩写表[短MODEL],非皮卡压缩表[[#This Row],[MODEL]])</f>
        <v/>
      </c>
      <c r="O1094" s="22">
        <f>LEN(非皮卡压缩表[[#This Row],[SHORT-MODEL]])</f>
        <v/>
      </c>
      <c r="P1094" s="11">
        <f t="array" ref="P1094">TRIM(_xlfn.XLOOKUP(非皮卡压缩表[[#This Row],[BACKSIZE]],ALL尺码表[内部尺码],ALL尺码表[通用尺码]))</f>
        <v/>
      </c>
    </row>
    <row r="1095" ht="30" customHeight="1" s="23">
      <c r="A1095" s="17" t="inlineStr">
        <is>
          <t>ALL</t>
        </is>
      </c>
      <c r="B1095" s="18" t="inlineStr">
        <is>
          <t>Pontiac Astre</t>
        </is>
      </c>
      <c r="C1095" s="18" t="inlineStr">
        <is>
          <t>Pontiac</t>
        </is>
      </c>
      <c r="D1095" s="18" t="inlineStr">
        <is>
          <t>Astre</t>
        </is>
      </c>
      <c r="E1095" s="18" t="inlineStr">
        <is>
          <t>1975-1977</t>
        </is>
      </c>
      <c r="F1095" s="18" t="inlineStr"/>
      <c r="G1095" s="18" t="inlineStr">
        <is>
          <t>Sedan</t>
        </is>
      </c>
      <c r="H1095" s="18" t="inlineStr">
        <is>
          <t>3L</t>
        </is>
      </c>
      <c r="I1095" s="19">
        <f t="array" ref="I1095">TRIM(_xlfn.XLOOKUP(非皮卡压缩表[[#This Row],[BACKSIZE]],ALL尺码表[内部尺码],ALL尺码表[分类],""))</f>
        <v/>
      </c>
      <c r="J1095" s="19">
        <f t="array" ref="J1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5" s="20">
        <f>LEN(非皮卡压缩表[[#This Row],[LONG-TYPE]])</f>
        <v/>
      </c>
      <c r="L1095" s="21">
        <f t="array" ref="L1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5" s="22">
        <f>LEN(非皮卡压缩表[[#This Row],[TYPE]])</f>
        <v/>
      </c>
      <c r="N1095" s="22">
        <f t="array" ref="N1095">_xlfn.XLOOKUP(非皮卡压缩表[[#This Row],[MODEL]],MODEL缩写表[长MODEL],MODEL缩写表[短MODEL],非皮卡压缩表[[#This Row],[MODEL]])</f>
        <v/>
      </c>
      <c r="O1095" s="22">
        <f>LEN(非皮卡压缩表[[#This Row],[SHORT-MODEL]])</f>
        <v/>
      </c>
      <c r="P1095" s="11">
        <f t="array" ref="P1095">TRIM(_xlfn.XLOOKUP(非皮卡压缩表[[#This Row],[BACKSIZE]],ALL尺码表[内部尺码],ALL尺码表[通用尺码]))</f>
        <v/>
      </c>
    </row>
    <row r="1096">
      <c r="A1096" s="17" t="inlineStr">
        <is>
          <t>ALL</t>
        </is>
      </c>
      <c r="B1096" s="18" t="inlineStr">
        <is>
          <t>Pontiac Aztec</t>
        </is>
      </c>
      <c r="C1096" s="18" t="inlineStr">
        <is>
          <t>Pontiac</t>
        </is>
      </c>
      <c r="D1096" s="18" t="inlineStr">
        <is>
          <t>Aztec</t>
        </is>
      </c>
      <c r="E1096" s="18" t="inlineStr">
        <is>
          <t>2001-2005</t>
        </is>
      </c>
      <c r="F1096" s="18" t="inlineStr"/>
      <c r="G1096" s="18" t="inlineStr">
        <is>
          <t>CUV</t>
        </is>
      </c>
      <c r="H1096" s="18" t="inlineStr">
        <is>
          <t>YL</t>
        </is>
      </c>
      <c r="I1096" s="19">
        <f t="array" ref="I1096">TRIM(_xlfn.XLOOKUP(非皮卡压缩表[[#This Row],[BACKSIZE]],ALL尺码表[内部尺码],ALL尺码表[分类],""))</f>
        <v/>
      </c>
      <c r="J1096" s="19">
        <f t="array" ref="J1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6" s="20">
        <f>LEN(非皮卡压缩表[[#This Row],[LONG-TYPE]])</f>
        <v/>
      </c>
      <c r="L1096" s="21">
        <f t="array" ref="L1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6" s="22">
        <f>LEN(非皮卡压缩表[[#This Row],[TYPE]])</f>
        <v/>
      </c>
      <c r="N1096" s="22">
        <f t="array" ref="N1096">_xlfn.XLOOKUP(非皮卡压缩表[[#This Row],[MODEL]],MODEL缩写表[长MODEL],MODEL缩写表[短MODEL],非皮卡压缩表[[#This Row],[MODEL]])</f>
        <v/>
      </c>
      <c r="O1096" s="22">
        <f>LEN(非皮卡压缩表[[#This Row],[SHORT-MODEL]])</f>
        <v/>
      </c>
      <c r="P1096" s="11">
        <f t="array" ref="P1096">TRIM(_xlfn.XLOOKUP(非皮卡压缩表[[#This Row],[BACKSIZE]],ALL尺码表[内部尺码],ALL尺码表[通用尺码]))</f>
        <v/>
      </c>
    </row>
    <row r="1097">
      <c r="A1097" s="17" t="inlineStr">
        <is>
          <t>ALL</t>
        </is>
      </c>
      <c r="B1097" s="18" t="inlineStr">
        <is>
          <t>Pontiac Bonneville</t>
        </is>
      </c>
      <c r="C1097" s="18" t="inlineStr">
        <is>
          <t>Pontiac</t>
        </is>
      </c>
      <c r="D1097" s="18" t="inlineStr">
        <is>
          <t>Bonneville</t>
        </is>
      </c>
      <c r="E1097" s="18" t="inlineStr">
        <is>
          <t>1957-1958</t>
        </is>
      </c>
      <c r="F1097" s="18" t="inlineStr"/>
      <c r="G1097" s="18" t="inlineStr">
        <is>
          <t>Convertible/Coupe</t>
        </is>
      </c>
      <c r="H1097" s="18" t="inlineStr">
        <is>
          <t>3XXXL-0</t>
        </is>
      </c>
      <c r="I1097" s="19">
        <f t="array" ref="I1097">TRIM(_xlfn.XLOOKUP(非皮卡压缩表[[#This Row],[BACKSIZE]],ALL尺码表[内部尺码],ALL尺码表[分类],""))</f>
        <v/>
      </c>
      <c r="J1097" s="19">
        <f t="array" ref="J1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7" s="20">
        <f>LEN(非皮卡压缩表[[#This Row],[LONG-TYPE]])</f>
        <v/>
      </c>
      <c r="L1097" s="21">
        <f t="array" ref="L1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7" s="22">
        <f>LEN(非皮卡压缩表[[#This Row],[TYPE]])</f>
        <v/>
      </c>
      <c r="N1097" s="22">
        <f t="array" ref="N1097">_xlfn.XLOOKUP(非皮卡压缩表[[#This Row],[MODEL]],MODEL缩写表[长MODEL],MODEL缩写表[短MODEL],非皮卡压缩表[[#This Row],[MODEL]])</f>
        <v/>
      </c>
      <c r="O1097" s="22">
        <f>LEN(非皮卡压缩表[[#This Row],[SHORT-MODEL]])</f>
        <v/>
      </c>
      <c r="P1097" s="11">
        <f t="array" ref="P1097">TRIM(_xlfn.XLOOKUP(非皮卡压缩表[[#This Row],[BACKSIZE]],ALL尺码表[内部尺码],ALL尺码表[通用尺码]))</f>
        <v/>
      </c>
    </row>
    <row r="1098">
      <c r="A1098" s="17" t="inlineStr">
        <is>
          <t>ALL</t>
        </is>
      </c>
      <c r="B1098" s="18" t="inlineStr">
        <is>
          <t>Pontiac Bonneville</t>
        </is>
      </c>
      <c r="C1098" s="18" t="inlineStr">
        <is>
          <t>Pontiac</t>
        </is>
      </c>
      <c r="D1098" s="18" t="inlineStr">
        <is>
          <t>Bonneville</t>
        </is>
      </c>
      <c r="E1098" s="18" t="inlineStr">
        <is>
          <t>1958</t>
        </is>
      </c>
      <c r="F1098" s="18" t="inlineStr"/>
      <c r="G1098" s="18" t="inlineStr">
        <is>
          <t>Sedan</t>
        </is>
      </c>
      <c r="H1098" s="18" t="inlineStr">
        <is>
          <t>3XXXL</t>
        </is>
      </c>
      <c r="I1098" s="19">
        <f t="array" ref="I1098">TRIM(_xlfn.XLOOKUP(非皮卡压缩表[[#This Row],[BACKSIZE]],ALL尺码表[内部尺码],ALL尺码表[分类],""))</f>
        <v/>
      </c>
      <c r="J1098" s="19">
        <f t="array" ref="J1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8" s="20">
        <f>LEN(非皮卡压缩表[[#This Row],[LONG-TYPE]])</f>
        <v/>
      </c>
      <c r="L1098" s="21">
        <f t="array" ref="L1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8" s="22">
        <f>LEN(非皮卡压缩表[[#This Row],[TYPE]])</f>
        <v/>
      </c>
      <c r="N1098" s="22">
        <f t="array" ref="N1098">_xlfn.XLOOKUP(非皮卡压缩表[[#This Row],[MODEL]],MODEL缩写表[长MODEL],MODEL缩写表[短MODEL],非皮卡压缩表[[#This Row],[MODEL]])</f>
        <v/>
      </c>
      <c r="O1098" s="22">
        <f>LEN(非皮卡压缩表[[#This Row],[SHORT-MODEL]])</f>
        <v/>
      </c>
      <c r="P1098" s="11">
        <f t="array" ref="P1098">TRIM(_xlfn.XLOOKUP(非皮卡压缩表[[#This Row],[BACKSIZE]],ALL尺码表[内部尺码],ALL尺码表[通用尺码]))</f>
        <v/>
      </c>
    </row>
    <row r="1099">
      <c r="A1099" s="17" t="inlineStr">
        <is>
          <t>ALL</t>
        </is>
      </c>
      <c r="B1099" s="18" t="inlineStr">
        <is>
          <t>Pontiac Bonneville</t>
        </is>
      </c>
      <c r="C1099" s="18" t="inlineStr">
        <is>
          <t>Pontiac</t>
        </is>
      </c>
      <c r="D1099" s="18" t="inlineStr">
        <is>
          <t>Bonneville</t>
        </is>
      </c>
      <c r="E1099" s="18" t="inlineStr">
        <is>
          <t>1958-1981</t>
        </is>
      </c>
      <c r="F1099" s="18" t="inlineStr">
        <is>
          <t>Incl: Grand Safari/Safari</t>
        </is>
      </c>
      <c r="G1099" s="18" t="inlineStr">
        <is>
          <t>Hatchback/Wagon</t>
        </is>
      </c>
      <c r="H1099" s="18" t="inlineStr">
        <is>
          <t>无可用尺码</t>
        </is>
      </c>
      <c r="I1099" s="19">
        <f t="array" ref="I1099">TRIM(_xlfn.XLOOKUP(非皮卡压缩表[[#This Row],[BACKSIZE]],ALL尺码表[内部尺码],ALL尺码表[分类],""))</f>
        <v/>
      </c>
      <c r="J1099" s="19">
        <f t="array" ref="J1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9" s="20">
        <f>LEN(非皮卡压缩表[[#This Row],[LONG-TYPE]])</f>
        <v/>
      </c>
      <c r="L1099" s="21">
        <f t="array" ref="L1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9" s="22">
        <f>LEN(非皮卡压缩表[[#This Row],[TYPE]])</f>
        <v/>
      </c>
      <c r="N1099" s="22">
        <f t="array" ref="N1099">_xlfn.XLOOKUP(非皮卡压缩表[[#This Row],[MODEL]],MODEL缩写表[长MODEL],MODEL缩写表[短MODEL],非皮卡压缩表[[#This Row],[MODEL]])</f>
        <v/>
      </c>
      <c r="O1099" s="22">
        <f>LEN(非皮卡压缩表[[#This Row],[SHORT-MODEL]])</f>
        <v/>
      </c>
      <c r="P1099" s="11">
        <f t="array" ref="P1099">TRIM(_xlfn.XLOOKUP(非皮卡压缩表[[#This Row],[BACKSIZE]],ALL尺码表[内部尺码],ALL尺码表[通用尺码]))</f>
        <v/>
      </c>
    </row>
    <row r="1100">
      <c r="A1100" s="17" t="inlineStr">
        <is>
          <t>ALL</t>
        </is>
      </c>
      <c r="B1100" s="18" t="inlineStr">
        <is>
          <t>Pontiac Bonneville</t>
        </is>
      </c>
      <c r="C1100" s="18" t="inlineStr">
        <is>
          <t>Pontiac</t>
        </is>
      </c>
      <c r="D1100" s="18" t="inlineStr">
        <is>
          <t>Bonneville</t>
        </is>
      </c>
      <c r="E1100" s="18" t="inlineStr">
        <is>
          <t>1959-1960</t>
        </is>
      </c>
      <c r="F1100" s="18" t="inlineStr"/>
      <c r="G1100" s="18" t="inlineStr">
        <is>
          <t>Convertible/Coupe</t>
        </is>
      </c>
      <c r="H1100" s="18" t="inlineStr">
        <is>
          <t>3XXXXL-0</t>
        </is>
      </c>
      <c r="I1100" s="19">
        <f t="array" ref="I1100">TRIM(_xlfn.XLOOKUP(非皮卡压缩表[[#This Row],[BACKSIZE]],ALL尺码表[内部尺码],ALL尺码表[分类],""))</f>
        <v/>
      </c>
      <c r="J1100" s="19">
        <f t="array" ref="J1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0" s="20">
        <f>LEN(非皮卡压缩表[[#This Row],[LONG-TYPE]])</f>
        <v/>
      </c>
      <c r="L1100" s="21">
        <f t="array" ref="L1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0" s="22">
        <f>LEN(非皮卡压缩表[[#This Row],[TYPE]])</f>
        <v/>
      </c>
      <c r="N1100" s="22">
        <f t="array" ref="N1100">_xlfn.XLOOKUP(非皮卡压缩表[[#This Row],[MODEL]],MODEL缩写表[长MODEL],MODEL缩写表[短MODEL],非皮卡压缩表[[#This Row],[MODEL]])</f>
        <v/>
      </c>
      <c r="O1100" s="22">
        <f>LEN(非皮卡压缩表[[#This Row],[SHORT-MODEL]])</f>
        <v/>
      </c>
      <c r="P1100" s="11">
        <f t="array" ref="P1100">TRIM(_xlfn.XLOOKUP(非皮卡压缩表[[#This Row],[BACKSIZE]],ALL尺码表[内部尺码],ALL尺码表[通用尺码]))</f>
        <v/>
      </c>
    </row>
    <row r="1101">
      <c r="A1101" s="17" t="inlineStr">
        <is>
          <t>ALL</t>
        </is>
      </c>
      <c r="B1101" s="18" t="inlineStr">
        <is>
          <t>Pontiac Bonneville</t>
        </is>
      </c>
      <c r="C1101" s="18" t="inlineStr">
        <is>
          <t>Pontiac</t>
        </is>
      </c>
      <c r="D1101" s="18" t="inlineStr">
        <is>
          <t>Bonneville</t>
        </is>
      </c>
      <c r="E1101" s="18" t="inlineStr">
        <is>
          <t>1959-1960</t>
        </is>
      </c>
      <c r="F1101" s="18" t="inlineStr"/>
      <c r="G1101" s="18" t="inlineStr">
        <is>
          <t>Sedan</t>
        </is>
      </c>
      <c r="H1101" s="18" t="inlineStr">
        <is>
          <t>无可用尺码</t>
        </is>
      </c>
      <c r="I1101" s="19">
        <f t="array" ref="I1101">TRIM(_xlfn.XLOOKUP(非皮卡压缩表[[#This Row],[BACKSIZE]],ALL尺码表[内部尺码],ALL尺码表[分类],""))</f>
        <v/>
      </c>
      <c r="J1101" s="19">
        <f t="array" ref="J1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1" s="20">
        <f>LEN(非皮卡压缩表[[#This Row],[LONG-TYPE]])</f>
        <v/>
      </c>
      <c r="L1101" s="21">
        <f t="array" ref="L1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1" s="22">
        <f>LEN(非皮卡压缩表[[#This Row],[TYPE]])</f>
        <v/>
      </c>
      <c r="N1101" s="22">
        <f t="array" ref="N1101">_xlfn.XLOOKUP(非皮卡压缩表[[#This Row],[MODEL]],MODEL缩写表[长MODEL],MODEL缩写表[短MODEL],非皮卡压缩表[[#This Row],[MODEL]])</f>
        <v/>
      </c>
      <c r="O1101" s="22">
        <f>LEN(非皮卡压缩表[[#This Row],[SHORT-MODEL]])</f>
        <v/>
      </c>
      <c r="P1101" s="11">
        <f t="array" ref="P1101">TRIM(_xlfn.XLOOKUP(非皮卡压缩表[[#This Row],[BACKSIZE]],ALL尺码表[内部尺码],ALL尺码表[通用尺码]))</f>
        <v/>
      </c>
    </row>
    <row r="1102">
      <c r="A1102" s="17" t="inlineStr">
        <is>
          <t>ALL</t>
        </is>
      </c>
      <c r="B1102" s="18" t="inlineStr">
        <is>
          <t>Pontiac Bonneville</t>
        </is>
      </c>
      <c r="C1102" s="18" t="inlineStr">
        <is>
          <t>Pontiac</t>
        </is>
      </c>
      <c r="D1102" s="18" t="inlineStr">
        <is>
          <t>Bonneville</t>
        </is>
      </c>
      <c r="E1102" s="18" t="inlineStr">
        <is>
          <t>1961-1964</t>
        </is>
      </c>
      <c r="F1102" s="18" t="inlineStr"/>
      <c r="G1102" s="18" t="inlineStr">
        <is>
          <t>Sedan</t>
        </is>
      </c>
      <c r="H1102" s="18" t="inlineStr">
        <is>
          <t>3XXXL</t>
        </is>
      </c>
      <c r="I1102" s="19">
        <f t="array" ref="I1102">TRIM(_xlfn.XLOOKUP(非皮卡压缩表[[#This Row],[BACKSIZE]],ALL尺码表[内部尺码],ALL尺码表[分类],""))</f>
        <v/>
      </c>
      <c r="J1102" s="19">
        <f t="array" ref="J1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2" s="20">
        <f>LEN(非皮卡压缩表[[#This Row],[LONG-TYPE]])</f>
        <v/>
      </c>
      <c r="L1102" s="21">
        <f t="array" ref="L1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2" s="22">
        <f>LEN(非皮卡压缩表[[#This Row],[TYPE]])</f>
        <v/>
      </c>
      <c r="N1102" s="22">
        <f t="array" ref="N1102">_xlfn.XLOOKUP(非皮卡压缩表[[#This Row],[MODEL]],MODEL缩写表[长MODEL],MODEL缩写表[短MODEL],非皮卡压缩表[[#This Row],[MODEL]])</f>
        <v/>
      </c>
      <c r="O1102" s="22">
        <f>LEN(非皮卡压缩表[[#This Row],[SHORT-MODEL]])</f>
        <v/>
      </c>
      <c r="P1102" s="11">
        <f t="array" ref="P1102">TRIM(_xlfn.XLOOKUP(非皮卡压缩表[[#This Row],[BACKSIZE]],ALL尺码表[内部尺码],ALL尺码表[通用尺码]))</f>
        <v/>
      </c>
    </row>
    <row r="1103">
      <c r="A1103" s="17" t="inlineStr">
        <is>
          <t>ALL</t>
        </is>
      </c>
      <c r="B1103" s="18" t="inlineStr">
        <is>
          <t>Pontiac Bonneville</t>
        </is>
      </c>
      <c r="C1103" s="18" t="inlineStr">
        <is>
          <t>Pontiac</t>
        </is>
      </c>
      <c r="D1103" s="18" t="inlineStr">
        <is>
          <t>Bonneville</t>
        </is>
      </c>
      <c r="E1103" s="18" t="inlineStr">
        <is>
          <t>1961</t>
        </is>
      </c>
      <c r="F1103" s="18" t="inlineStr"/>
      <c r="G1103" s="18" t="inlineStr">
        <is>
          <t>Convertible</t>
        </is>
      </c>
      <c r="H1103" s="18" t="inlineStr">
        <is>
          <t>3XXXL-0</t>
        </is>
      </c>
      <c r="I1103" s="19">
        <f t="array" ref="I1103">TRIM(_xlfn.XLOOKUP(非皮卡压缩表[[#This Row],[BACKSIZE]],ALL尺码表[内部尺码],ALL尺码表[分类],""))</f>
        <v/>
      </c>
      <c r="J1103" s="19">
        <f t="array" ref="J1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3" s="20">
        <f>LEN(非皮卡压缩表[[#This Row],[LONG-TYPE]])</f>
        <v/>
      </c>
      <c r="L1103" s="21">
        <f t="array" ref="L1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3" s="22">
        <f>LEN(非皮卡压缩表[[#This Row],[TYPE]])</f>
        <v/>
      </c>
      <c r="N1103" s="22">
        <f t="array" ref="N1103">_xlfn.XLOOKUP(非皮卡压缩表[[#This Row],[MODEL]],MODEL缩写表[长MODEL],MODEL缩写表[短MODEL],非皮卡压缩表[[#This Row],[MODEL]])</f>
        <v/>
      </c>
      <c r="O1103" s="22">
        <f>LEN(非皮卡压缩表[[#This Row],[SHORT-MODEL]])</f>
        <v/>
      </c>
      <c r="P1103" s="11">
        <f t="array" ref="P1103">TRIM(_xlfn.XLOOKUP(非皮卡压缩表[[#This Row],[BACKSIZE]],ALL尺码表[内部尺码],ALL尺码表[通用尺码]))</f>
        <v/>
      </c>
    </row>
    <row r="1104">
      <c r="A1104" s="17" t="inlineStr">
        <is>
          <t>ALL</t>
        </is>
      </c>
      <c r="B1104" s="18" t="inlineStr">
        <is>
          <t>Pontiac Bonneville</t>
        </is>
      </c>
      <c r="C1104" s="18" t="inlineStr">
        <is>
          <t>Pontiac</t>
        </is>
      </c>
      <c r="D1104" s="18" t="inlineStr">
        <is>
          <t>Bonneville</t>
        </is>
      </c>
      <c r="E1104" s="18" t="inlineStr">
        <is>
          <t>1961-1964</t>
        </is>
      </c>
      <c r="F1104" s="18" t="inlineStr"/>
      <c r="G1104" s="18" t="inlineStr">
        <is>
          <t>Coupe</t>
        </is>
      </c>
      <c r="H1104" s="18" t="inlineStr">
        <is>
          <t>3XXXL-0</t>
        </is>
      </c>
      <c r="I1104" s="19">
        <f t="array" ref="I1104">TRIM(_xlfn.XLOOKUP(非皮卡压缩表[[#This Row],[BACKSIZE]],ALL尺码表[内部尺码],ALL尺码表[分类],""))</f>
        <v/>
      </c>
      <c r="J1104" s="19">
        <f t="array" ref="J1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4" s="20">
        <f>LEN(非皮卡压缩表[[#This Row],[LONG-TYPE]])</f>
        <v/>
      </c>
      <c r="L1104" s="21">
        <f t="array" ref="L1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4" s="22">
        <f>LEN(非皮卡压缩表[[#This Row],[TYPE]])</f>
        <v/>
      </c>
      <c r="N1104" s="22">
        <f t="array" ref="N1104">_xlfn.XLOOKUP(非皮卡压缩表[[#This Row],[MODEL]],MODEL缩写表[长MODEL],MODEL缩写表[短MODEL],非皮卡压缩表[[#This Row],[MODEL]])</f>
        <v/>
      </c>
      <c r="O1104" s="22">
        <f>LEN(非皮卡压缩表[[#This Row],[SHORT-MODEL]])</f>
        <v/>
      </c>
      <c r="P1104" s="11">
        <f t="array" ref="P1104">TRIM(_xlfn.XLOOKUP(非皮卡压缩表[[#This Row],[BACKSIZE]],ALL尺码表[内部尺码],ALL尺码表[通用尺码]))</f>
        <v/>
      </c>
    </row>
    <row r="1105">
      <c r="A1105" s="17" t="inlineStr">
        <is>
          <t>ALL</t>
        </is>
      </c>
      <c r="B1105" s="18" t="inlineStr">
        <is>
          <t>Pontiac Bonneville</t>
        </is>
      </c>
      <c r="C1105" s="18" t="inlineStr">
        <is>
          <t>Pontiac</t>
        </is>
      </c>
      <c r="D1105" s="18" t="inlineStr">
        <is>
          <t>Bonneville</t>
        </is>
      </c>
      <c r="E1105" s="18" t="inlineStr">
        <is>
          <t>1962-1976</t>
        </is>
      </c>
      <c r="F1105" s="18" t="inlineStr"/>
      <c r="G1105" s="18" t="inlineStr">
        <is>
          <t>Convertible</t>
        </is>
      </c>
      <c r="H1105" s="18" t="inlineStr">
        <is>
          <t>3XXXXL-0</t>
        </is>
      </c>
      <c r="I1105" s="19">
        <f t="array" ref="I1105">TRIM(_xlfn.XLOOKUP(非皮卡压缩表[[#This Row],[BACKSIZE]],ALL尺码表[内部尺码],ALL尺码表[分类],""))</f>
        <v/>
      </c>
      <c r="J1105" s="19">
        <f t="array" ref="J1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5" s="20">
        <f>LEN(非皮卡压缩表[[#This Row],[LONG-TYPE]])</f>
        <v/>
      </c>
      <c r="L1105" s="21">
        <f t="array" ref="L1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5" s="22">
        <f>LEN(非皮卡压缩表[[#This Row],[TYPE]])</f>
        <v/>
      </c>
      <c r="N1105" s="22">
        <f t="array" ref="N1105">_xlfn.XLOOKUP(非皮卡压缩表[[#This Row],[MODEL]],MODEL缩写表[长MODEL],MODEL缩写表[短MODEL],非皮卡压缩表[[#This Row],[MODEL]])</f>
        <v/>
      </c>
      <c r="O1105" s="22">
        <f>LEN(非皮卡压缩表[[#This Row],[SHORT-MODEL]])</f>
        <v/>
      </c>
      <c r="P1105" s="11">
        <f t="array" ref="P1105">TRIM(_xlfn.XLOOKUP(非皮卡压缩表[[#This Row],[BACKSIZE]],ALL尺码表[内部尺码],ALL尺码表[通用尺码]))</f>
        <v/>
      </c>
    </row>
    <row r="1106">
      <c r="A1106" s="17" t="inlineStr">
        <is>
          <t>ALL</t>
        </is>
      </c>
      <c r="B1106" s="18" t="inlineStr">
        <is>
          <t>Pontiac Bonneville</t>
        </is>
      </c>
      <c r="C1106" s="18" t="inlineStr">
        <is>
          <t>Pontiac</t>
        </is>
      </c>
      <c r="D1106" s="18" t="inlineStr">
        <is>
          <t>Bonneville</t>
        </is>
      </c>
      <c r="E1106" s="18" t="inlineStr">
        <is>
          <t>1965-1976</t>
        </is>
      </c>
      <c r="F1106" s="18" t="inlineStr"/>
      <c r="G1106" s="18" t="inlineStr">
        <is>
          <t>Coupe</t>
        </is>
      </c>
      <c r="H1106" s="18" t="inlineStr">
        <is>
          <t>3XXXXL-0</t>
        </is>
      </c>
      <c r="I1106" s="19">
        <f t="array" ref="I1106">TRIM(_xlfn.XLOOKUP(非皮卡压缩表[[#This Row],[BACKSIZE]],ALL尺码表[内部尺码],ALL尺码表[分类],""))</f>
        <v/>
      </c>
      <c r="J1106" s="19">
        <f t="array" ref="J1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6" s="20">
        <f>LEN(非皮卡压缩表[[#This Row],[LONG-TYPE]])</f>
        <v/>
      </c>
      <c r="L1106" s="21">
        <f t="array" ref="L1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6" s="22">
        <f>LEN(非皮卡压缩表[[#This Row],[TYPE]])</f>
        <v/>
      </c>
      <c r="N1106" s="22">
        <f t="array" ref="N1106">_xlfn.XLOOKUP(非皮卡压缩表[[#This Row],[MODEL]],MODEL缩写表[长MODEL],MODEL缩写表[短MODEL],非皮卡压缩表[[#This Row],[MODEL]])</f>
        <v/>
      </c>
      <c r="O1106" s="22">
        <f>LEN(非皮卡压缩表[[#This Row],[SHORT-MODEL]])</f>
        <v/>
      </c>
      <c r="P1106" s="11">
        <f t="array" ref="P1106">TRIM(_xlfn.XLOOKUP(非皮卡压缩表[[#This Row],[BACKSIZE]],ALL尺码表[内部尺码],ALL尺码表[通用尺码]))</f>
        <v/>
      </c>
    </row>
    <row r="1107">
      <c r="A1107" s="17" t="inlineStr">
        <is>
          <t>ALL</t>
        </is>
      </c>
      <c r="B1107" s="18" t="inlineStr">
        <is>
          <t>Pontiac Bonneville</t>
        </is>
      </c>
      <c r="C1107" s="18" t="inlineStr">
        <is>
          <t>Pontiac</t>
        </is>
      </c>
      <c r="D1107" s="18" t="inlineStr">
        <is>
          <t>Bonneville</t>
        </is>
      </c>
      <c r="E1107" s="18" t="inlineStr">
        <is>
          <t>1965-1976</t>
        </is>
      </c>
      <c r="F1107" s="18" t="inlineStr"/>
      <c r="G1107" s="18" t="inlineStr">
        <is>
          <t>Sedan</t>
        </is>
      </c>
      <c r="H1107" s="18" t="inlineStr">
        <is>
          <t>无可用尺码</t>
        </is>
      </c>
      <c r="I1107" s="19">
        <f t="array" ref="I1107">TRIM(_xlfn.XLOOKUP(非皮卡压缩表[[#This Row],[BACKSIZE]],ALL尺码表[内部尺码],ALL尺码表[分类],""))</f>
        <v/>
      </c>
      <c r="J1107" s="19">
        <f t="array" ref="J1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7" s="20">
        <f>LEN(非皮卡压缩表[[#This Row],[LONG-TYPE]])</f>
        <v/>
      </c>
      <c r="L1107" s="21">
        <f t="array" ref="L1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7" s="22">
        <f>LEN(非皮卡压缩表[[#This Row],[TYPE]])</f>
        <v/>
      </c>
      <c r="N1107" s="22">
        <f t="array" ref="N1107">_xlfn.XLOOKUP(非皮卡压缩表[[#This Row],[MODEL]],MODEL缩写表[长MODEL],MODEL缩写表[短MODEL],非皮卡压缩表[[#This Row],[MODEL]])</f>
        <v/>
      </c>
      <c r="O1107" s="22">
        <f>LEN(非皮卡压缩表[[#This Row],[SHORT-MODEL]])</f>
        <v/>
      </c>
      <c r="P1107" s="11">
        <f t="array" ref="P1107">TRIM(_xlfn.XLOOKUP(非皮卡压缩表[[#This Row],[BACKSIZE]],ALL尺码表[内部尺码],ALL尺码表[通用尺码]))</f>
        <v/>
      </c>
    </row>
    <row r="1108" ht="30" customHeight="1" s="23">
      <c r="A1108" s="17" t="inlineStr">
        <is>
          <t>ALL</t>
        </is>
      </c>
      <c r="B1108" s="18" t="inlineStr">
        <is>
          <t>Pontiac Bonneville</t>
        </is>
      </c>
      <c r="C1108" s="18" t="inlineStr">
        <is>
          <t>Pontiac</t>
        </is>
      </c>
      <c r="D1108" s="18" t="inlineStr">
        <is>
          <t>Bonneville</t>
        </is>
      </c>
      <c r="E1108" s="18" t="inlineStr">
        <is>
          <t>1977-1981</t>
        </is>
      </c>
      <c r="F1108" s="18" t="inlineStr"/>
      <c r="G1108" s="18" t="inlineStr">
        <is>
          <t>Sedan</t>
        </is>
      </c>
      <c r="H1108" s="18" t="inlineStr">
        <is>
          <t>3XXXL</t>
        </is>
      </c>
      <c r="I1108" s="19">
        <f t="array" ref="I1108">TRIM(_xlfn.XLOOKUP(非皮卡压缩表[[#This Row],[BACKSIZE]],ALL尺码表[内部尺码],ALL尺码表[分类],""))</f>
        <v/>
      </c>
      <c r="J1108" s="19">
        <f t="array" ref="J1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8" s="20">
        <f>LEN(非皮卡压缩表[[#This Row],[LONG-TYPE]])</f>
        <v/>
      </c>
      <c r="L1108" s="21">
        <f t="array" ref="L1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8" s="22">
        <f>LEN(非皮卡压缩表[[#This Row],[TYPE]])</f>
        <v/>
      </c>
      <c r="N1108" s="22">
        <f t="array" ref="N1108">_xlfn.XLOOKUP(非皮卡压缩表[[#This Row],[MODEL]],MODEL缩写表[长MODEL],MODEL缩写表[短MODEL],非皮卡压缩表[[#This Row],[MODEL]])</f>
        <v/>
      </c>
      <c r="O1108" s="22">
        <f>LEN(非皮卡压缩表[[#This Row],[SHORT-MODEL]])</f>
        <v/>
      </c>
      <c r="P1108" s="11">
        <f t="array" ref="P1108">TRIM(_xlfn.XLOOKUP(非皮卡压缩表[[#This Row],[BACKSIZE]],ALL尺码表[内部尺码],ALL尺码表[通用尺码]))</f>
        <v/>
      </c>
    </row>
    <row r="1109">
      <c r="A1109" s="17" t="inlineStr">
        <is>
          <t>ALL</t>
        </is>
      </c>
      <c r="B1109" s="18" t="inlineStr">
        <is>
          <t>Pontiac Bonneville</t>
        </is>
      </c>
      <c r="C1109" s="18" t="inlineStr">
        <is>
          <t>Pontiac</t>
        </is>
      </c>
      <c r="D1109" s="18" t="inlineStr">
        <is>
          <t>Bonneville</t>
        </is>
      </c>
      <c r="E1109" s="18" t="inlineStr">
        <is>
          <t>1977-1981</t>
        </is>
      </c>
      <c r="F1109" s="18" t="inlineStr"/>
      <c r="G1109" s="18" t="inlineStr">
        <is>
          <t>Coupe</t>
        </is>
      </c>
      <c r="H1109" s="18" t="inlineStr">
        <is>
          <t>3XXXL-0</t>
        </is>
      </c>
      <c r="I1109" s="19">
        <f t="array" ref="I1109">TRIM(_xlfn.XLOOKUP(非皮卡压缩表[[#This Row],[BACKSIZE]],ALL尺码表[内部尺码],ALL尺码表[分类],""))</f>
        <v/>
      </c>
      <c r="J1109" s="19">
        <f t="array" ref="J1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9" s="20">
        <f>LEN(非皮卡压缩表[[#This Row],[LONG-TYPE]])</f>
        <v/>
      </c>
      <c r="L1109" s="21">
        <f t="array" ref="L1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9" s="22">
        <f>LEN(非皮卡压缩表[[#This Row],[TYPE]])</f>
        <v/>
      </c>
      <c r="N1109" s="22">
        <f t="array" ref="N1109">_xlfn.XLOOKUP(非皮卡压缩表[[#This Row],[MODEL]],MODEL缩写表[长MODEL],MODEL缩写表[短MODEL],非皮卡压缩表[[#This Row],[MODEL]])</f>
        <v/>
      </c>
      <c r="O1109" s="22">
        <f>LEN(非皮卡压缩表[[#This Row],[SHORT-MODEL]])</f>
        <v/>
      </c>
      <c r="P1109" s="11">
        <f t="array" ref="P1109">TRIM(_xlfn.XLOOKUP(非皮卡压缩表[[#This Row],[BACKSIZE]],ALL尺码表[内部尺码],ALL尺码表[通用尺码]))</f>
        <v/>
      </c>
    </row>
    <row r="1110">
      <c r="A1110" s="17" t="inlineStr">
        <is>
          <t>ALL</t>
        </is>
      </c>
      <c r="B1110" s="18" t="inlineStr">
        <is>
          <t>Pontiac Bonneville</t>
        </is>
      </c>
      <c r="C1110" s="18" t="inlineStr">
        <is>
          <t>Pontiac</t>
        </is>
      </c>
      <c r="D1110" s="18" t="inlineStr">
        <is>
          <t>Bonneville</t>
        </is>
      </c>
      <c r="E1110" s="18" t="inlineStr">
        <is>
          <t>1982-2005</t>
        </is>
      </c>
      <c r="F1110" s="18" t="inlineStr"/>
      <c r="G1110" s="18" t="inlineStr">
        <is>
          <t>Sedan</t>
        </is>
      </c>
      <c r="H1110" s="18" t="inlineStr">
        <is>
          <t>3XXL</t>
        </is>
      </c>
      <c r="I1110" s="19">
        <f t="array" ref="I1110">TRIM(_xlfn.XLOOKUP(非皮卡压缩表[[#This Row],[BACKSIZE]],ALL尺码表[内部尺码],ALL尺码表[分类],""))</f>
        <v/>
      </c>
      <c r="J1110" s="19">
        <f t="array" ref="J1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0" s="20">
        <f>LEN(非皮卡压缩表[[#This Row],[LONG-TYPE]])</f>
        <v/>
      </c>
      <c r="L1110" s="21">
        <f t="array" ref="L1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0" s="22">
        <f>LEN(非皮卡压缩表[[#This Row],[TYPE]])</f>
        <v/>
      </c>
      <c r="N1110" s="22">
        <f t="array" ref="N1110">_xlfn.XLOOKUP(非皮卡压缩表[[#This Row],[MODEL]],MODEL缩写表[长MODEL],MODEL缩写表[短MODEL],非皮卡压缩表[[#This Row],[MODEL]])</f>
        <v/>
      </c>
      <c r="O1110" s="22">
        <f>LEN(非皮卡压缩表[[#This Row],[SHORT-MODEL]])</f>
        <v/>
      </c>
      <c r="P1110" s="11">
        <f t="array" ref="P1110">TRIM(_xlfn.XLOOKUP(非皮卡压缩表[[#This Row],[BACKSIZE]],ALL尺码表[内部尺码],ALL尺码表[通用尺码]))</f>
        <v/>
      </c>
    </row>
    <row r="1111" ht="30" customHeight="1" s="23">
      <c r="A1111" s="17" t="inlineStr">
        <is>
          <t>ALL</t>
        </is>
      </c>
      <c r="B1111" s="18" t="inlineStr">
        <is>
          <t>Pontiac Firebird</t>
        </is>
      </c>
      <c r="C1111" s="18" t="inlineStr">
        <is>
          <t>Pontiac</t>
        </is>
      </c>
      <c r="D1111" s="18" t="inlineStr">
        <is>
          <t>Firebird</t>
        </is>
      </c>
      <c r="E1111" s="18" t="inlineStr">
        <is>
          <t>1967-1973</t>
        </is>
      </c>
      <c r="F1111" s="18" t="inlineStr">
        <is>
          <t>Incl: Trans Am</t>
        </is>
      </c>
      <c r="G1111" s="18" t="inlineStr">
        <is>
          <t>Convertible/Coupe</t>
        </is>
      </c>
      <c r="H1111" s="18" t="inlineStr">
        <is>
          <t>3XL-0</t>
        </is>
      </c>
      <c r="I1111" s="19">
        <f t="array" ref="I1111">TRIM(_xlfn.XLOOKUP(非皮卡压缩表[[#This Row],[BACKSIZE]],ALL尺码表[内部尺码],ALL尺码表[分类],""))</f>
        <v/>
      </c>
      <c r="J1111" s="19">
        <f t="array" ref="J1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1" s="20">
        <f>LEN(非皮卡压缩表[[#This Row],[LONG-TYPE]])</f>
        <v/>
      </c>
      <c r="L1111" s="21">
        <f t="array" ref="L1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1" s="22">
        <f>LEN(非皮卡压缩表[[#This Row],[TYPE]])</f>
        <v/>
      </c>
      <c r="N1111" s="22">
        <f t="array" ref="N1111">_xlfn.XLOOKUP(非皮卡压缩表[[#This Row],[MODEL]],MODEL缩写表[长MODEL],MODEL缩写表[短MODEL],非皮卡压缩表[[#This Row],[MODEL]])</f>
        <v/>
      </c>
      <c r="O1111" s="22">
        <f>LEN(非皮卡压缩表[[#This Row],[SHORT-MODEL]])</f>
        <v/>
      </c>
      <c r="P1111" s="11">
        <f t="array" ref="P1111">TRIM(_xlfn.XLOOKUP(非皮卡压缩表[[#This Row],[BACKSIZE]],ALL尺码表[内部尺码],ALL尺码表[通用尺码]))</f>
        <v/>
      </c>
    </row>
    <row r="1112">
      <c r="A1112" s="17" t="inlineStr">
        <is>
          <t>ALL</t>
        </is>
      </c>
      <c r="B1112" s="18" t="inlineStr">
        <is>
          <t>Pontiac Firebird</t>
        </is>
      </c>
      <c r="C1112" s="18" t="inlineStr">
        <is>
          <t>Pontiac</t>
        </is>
      </c>
      <c r="D1112" s="18" t="inlineStr">
        <is>
          <t>Firebird</t>
        </is>
      </c>
      <c r="E1112" s="18" t="inlineStr">
        <is>
          <t>1974-1981</t>
        </is>
      </c>
      <c r="F1112" s="18" t="inlineStr">
        <is>
          <t>Trans Am</t>
        </is>
      </c>
      <c r="G1112" s="18" t="inlineStr">
        <is>
          <t>Coupe</t>
        </is>
      </c>
      <c r="H1112" s="18" t="inlineStr">
        <is>
          <t>3XL+0</t>
        </is>
      </c>
      <c r="I1112" s="19">
        <f t="array" ref="I1112">TRIM(_xlfn.XLOOKUP(非皮卡压缩表[[#This Row],[BACKSIZE]],ALL尺码表[内部尺码],ALL尺码表[分类],""))</f>
        <v/>
      </c>
      <c r="J1112" s="19">
        <f t="array" ref="J1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2" s="20">
        <f>LEN(非皮卡压缩表[[#This Row],[LONG-TYPE]])</f>
        <v/>
      </c>
      <c r="L1112" s="21">
        <f t="array" ref="L1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2" s="22">
        <f>LEN(非皮卡压缩表[[#This Row],[TYPE]])</f>
        <v/>
      </c>
      <c r="N1112" s="22">
        <f t="array" ref="N1112">_xlfn.XLOOKUP(非皮卡压缩表[[#This Row],[MODEL]],MODEL缩写表[长MODEL],MODEL缩写表[短MODEL],非皮卡压缩表[[#This Row],[MODEL]])</f>
        <v/>
      </c>
      <c r="O1112" s="22">
        <f>LEN(非皮卡压缩表[[#This Row],[SHORT-MODEL]])</f>
        <v/>
      </c>
      <c r="P1112" s="11">
        <f t="array" ref="P1112">TRIM(_xlfn.XLOOKUP(非皮卡压缩表[[#This Row],[BACKSIZE]],ALL尺码表[内部尺码],ALL尺码表[通用尺码]))</f>
        <v/>
      </c>
    </row>
    <row r="1113">
      <c r="A1113" s="17" t="inlineStr">
        <is>
          <t>ALL</t>
        </is>
      </c>
      <c r="B1113" s="18" t="inlineStr">
        <is>
          <t>Pontiac Firebird</t>
        </is>
      </c>
      <c r="C1113" s="18" t="inlineStr">
        <is>
          <t>Pontiac</t>
        </is>
      </c>
      <c r="D1113" s="18" t="inlineStr">
        <is>
          <t>Firebird</t>
        </is>
      </c>
      <c r="E1113" s="18" t="inlineStr">
        <is>
          <t>1982-1990</t>
        </is>
      </c>
      <c r="F1113" s="18" t="inlineStr">
        <is>
          <t>Trans Am</t>
        </is>
      </c>
      <c r="G1113" s="18" t="inlineStr">
        <is>
          <t>Coupe</t>
        </is>
      </c>
      <c r="H1113" s="18" t="inlineStr">
        <is>
          <t>3XL-0</t>
        </is>
      </c>
      <c r="I1113" s="19">
        <f t="array" ref="I1113">TRIM(_xlfn.XLOOKUP(非皮卡压缩表[[#This Row],[BACKSIZE]],ALL尺码表[内部尺码],ALL尺码表[分类],""))</f>
        <v/>
      </c>
      <c r="J1113" s="19">
        <f t="array" ref="J1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3" s="20">
        <f>LEN(非皮卡压缩表[[#This Row],[LONG-TYPE]])</f>
        <v/>
      </c>
      <c r="L1113" s="21">
        <f t="array" ref="L1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3" s="22">
        <f>LEN(非皮卡压缩表[[#This Row],[TYPE]])</f>
        <v/>
      </c>
      <c r="N1113" s="22">
        <f t="array" ref="N1113">_xlfn.XLOOKUP(非皮卡压缩表[[#This Row],[MODEL]],MODEL缩写表[长MODEL],MODEL缩写表[短MODEL],非皮卡压缩表[[#This Row],[MODEL]])</f>
        <v/>
      </c>
      <c r="O1113" s="22">
        <f>LEN(非皮卡压缩表[[#This Row],[SHORT-MODEL]])</f>
        <v/>
      </c>
      <c r="P1113" s="11">
        <f t="array" ref="P1113">TRIM(_xlfn.XLOOKUP(非皮卡压缩表[[#This Row],[BACKSIZE]],ALL尺码表[内部尺码],ALL尺码表[通用尺码]))</f>
        <v/>
      </c>
    </row>
    <row r="1114" ht="30" customHeight="1" s="23">
      <c r="A1114" s="17" t="inlineStr">
        <is>
          <t>ALL</t>
        </is>
      </c>
      <c r="B1114" s="18" t="inlineStr">
        <is>
          <t>Pontiac Firebird</t>
        </is>
      </c>
      <c r="C1114" s="18" t="inlineStr">
        <is>
          <t>Pontiac</t>
        </is>
      </c>
      <c r="D1114" s="18" t="inlineStr">
        <is>
          <t>Firebird</t>
        </is>
      </c>
      <c r="E1114" s="18" t="inlineStr">
        <is>
          <t>1991-2002</t>
        </is>
      </c>
      <c r="F1114" s="18" t="inlineStr">
        <is>
          <t>Trans Am</t>
        </is>
      </c>
      <c r="G1114" s="18" t="inlineStr">
        <is>
          <t>Convertible/Coupe</t>
        </is>
      </c>
      <c r="H1114" s="18" t="inlineStr">
        <is>
          <t>3XL+0</t>
        </is>
      </c>
      <c r="I1114" s="19">
        <f t="array" ref="I1114">TRIM(_xlfn.XLOOKUP(非皮卡压缩表[[#This Row],[BACKSIZE]],ALL尺码表[内部尺码],ALL尺码表[分类],""))</f>
        <v/>
      </c>
      <c r="J1114" s="19">
        <f t="array" ref="J1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4" s="20">
        <f>LEN(非皮卡压缩表[[#This Row],[LONG-TYPE]])</f>
        <v/>
      </c>
      <c r="L1114" s="21">
        <f t="array" ref="L1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4" s="22">
        <f>LEN(非皮卡压缩表[[#This Row],[TYPE]])</f>
        <v/>
      </c>
      <c r="N1114" s="22">
        <f t="array" ref="N1114">_xlfn.XLOOKUP(非皮卡压缩表[[#This Row],[MODEL]],MODEL缩写表[长MODEL],MODEL缩写表[短MODEL],非皮卡压缩表[[#This Row],[MODEL]])</f>
        <v/>
      </c>
      <c r="O1114" s="22">
        <f>LEN(非皮卡压缩表[[#This Row],[SHORT-MODEL]])</f>
        <v/>
      </c>
      <c r="P1114" s="11">
        <f t="array" ref="P1114">TRIM(_xlfn.XLOOKUP(非皮卡压缩表[[#This Row],[BACKSIZE]],ALL尺码表[内部尺码],ALL尺码表[通用尺码]))</f>
        <v/>
      </c>
    </row>
    <row r="1115">
      <c r="A1115" s="17" t="inlineStr">
        <is>
          <t>ALL</t>
        </is>
      </c>
      <c r="B1115" s="18" t="inlineStr">
        <is>
          <t>Pontiac G3</t>
        </is>
      </c>
      <c r="C1115" s="18" t="inlineStr">
        <is>
          <t>Pontiac</t>
        </is>
      </c>
      <c r="D1115" s="18" t="inlineStr">
        <is>
          <t>G3</t>
        </is>
      </c>
      <c r="E1115" s="18" t="inlineStr">
        <is>
          <t>2009</t>
        </is>
      </c>
      <c r="F1115" s="18" t="inlineStr"/>
      <c r="G1115" s="18" t="inlineStr">
        <is>
          <t>Hatchback</t>
        </is>
      </c>
      <c r="H1115" s="18" t="inlineStr">
        <is>
          <t>2M</t>
        </is>
      </c>
      <c r="I1115" s="19">
        <f t="array" ref="I1115">TRIM(_xlfn.XLOOKUP(非皮卡压缩表[[#This Row],[BACKSIZE]],ALL尺码表[内部尺码],ALL尺码表[分类],""))</f>
        <v/>
      </c>
      <c r="J1115" s="19">
        <f t="array" ref="J1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5" s="20">
        <f>LEN(非皮卡压缩表[[#This Row],[LONG-TYPE]])</f>
        <v/>
      </c>
      <c r="L1115" s="21">
        <f t="array" ref="L1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5" s="22">
        <f>LEN(非皮卡压缩表[[#This Row],[TYPE]])</f>
        <v/>
      </c>
      <c r="N1115" s="22">
        <f t="array" ref="N1115">_xlfn.XLOOKUP(非皮卡压缩表[[#This Row],[MODEL]],MODEL缩写表[长MODEL],MODEL缩写表[短MODEL],非皮卡压缩表[[#This Row],[MODEL]])</f>
        <v/>
      </c>
      <c r="O1115" s="22">
        <f>LEN(非皮卡压缩表[[#This Row],[SHORT-MODEL]])</f>
        <v/>
      </c>
      <c r="P1115" s="11">
        <f t="array" ref="P1115">TRIM(_xlfn.XLOOKUP(非皮卡压缩表[[#This Row],[BACKSIZE]],ALL尺码表[内部尺码],ALL尺码表[通用尺码]))</f>
        <v/>
      </c>
    </row>
    <row r="1116">
      <c r="A1116" s="17" t="inlineStr">
        <is>
          <t>ALL</t>
        </is>
      </c>
      <c r="B1116" s="18" t="inlineStr">
        <is>
          <t>Pontiac G5</t>
        </is>
      </c>
      <c r="C1116" s="18" t="inlineStr">
        <is>
          <t>Pontiac</t>
        </is>
      </c>
      <c r="D1116" s="18" t="inlineStr">
        <is>
          <t>G5</t>
        </is>
      </c>
      <c r="E1116" s="18" t="inlineStr">
        <is>
          <t>2007-2009</t>
        </is>
      </c>
      <c r="F1116" s="18" t="inlineStr"/>
      <c r="G1116" s="18" t="inlineStr">
        <is>
          <t>Coupe</t>
        </is>
      </c>
      <c r="H1116" s="18" t="inlineStr">
        <is>
          <t>3L-0</t>
        </is>
      </c>
      <c r="I1116" s="19">
        <f t="array" ref="I1116">TRIM(_xlfn.XLOOKUP(非皮卡压缩表[[#This Row],[BACKSIZE]],ALL尺码表[内部尺码],ALL尺码表[分类],""))</f>
        <v/>
      </c>
      <c r="J1116" s="19">
        <f t="array" ref="J1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6" s="20">
        <f>LEN(非皮卡压缩表[[#This Row],[LONG-TYPE]])</f>
        <v/>
      </c>
      <c r="L1116" s="21">
        <f t="array" ref="L1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6" s="22">
        <f>LEN(非皮卡压缩表[[#This Row],[TYPE]])</f>
        <v/>
      </c>
      <c r="N1116" s="22">
        <f t="array" ref="N1116">_xlfn.XLOOKUP(非皮卡压缩表[[#This Row],[MODEL]],MODEL缩写表[长MODEL],MODEL缩写表[短MODEL],非皮卡压缩表[[#This Row],[MODEL]])</f>
        <v/>
      </c>
      <c r="O1116" s="22">
        <f>LEN(非皮卡压缩表[[#This Row],[SHORT-MODEL]])</f>
        <v/>
      </c>
      <c r="P1116" s="11">
        <f t="array" ref="P1116">TRIM(_xlfn.XLOOKUP(非皮卡压缩表[[#This Row],[BACKSIZE]],ALL尺码表[内部尺码],ALL尺码表[通用尺码]))</f>
        <v/>
      </c>
    </row>
    <row r="1117">
      <c r="A1117" s="17" t="inlineStr">
        <is>
          <t>ALL</t>
        </is>
      </c>
      <c r="B1117" s="18" t="inlineStr">
        <is>
          <t>Pontiac G6</t>
        </is>
      </c>
      <c r="C1117" s="18" t="inlineStr">
        <is>
          <t>Pontiac</t>
        </is>
      </c>
      <c r="D1117" s="18" t="inlineStr">
        <is>
          <t>G6</t>
        </is>
      </c>
      <c r="E1117" s="18" t="inlineStr">
        <is>
          <t>2005-2010</t>
        </is>
      </c>
      <c r="F1117" s="18" t="inlineStr"/>
      <c r="G1117" s="18" t="inlineStr">
        <is>
          <t>Sedan</t>
        </is>
      </c>
      <c r="H1117" s="18" t="inlineStr">
        <is>
          <t>3XL</t>
        </is>
      </c>
      <c r="I1117" s="19">
        <f t="array" ref="I1117">TRIM(_xlfn.XLOOKUP(非皮卡压缩表[[#This Row],[BACKSIZE]],ALL尺码表[内部尺码],ALL尺码表[分类],""))</f>
        <v/>
      </c>
      <c r="J1117" s="19">
        <f t="array" ref="J1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7" s="20">
        <f>LEN(非皮卡压缩表[[#This Row],[LONG-TYPE]])</f>
        <v/>
      </c>
      <c r="L1117" s="21">
        <f t="array" ref="L1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7" s="22">
        <f>LEN(非皮卡压缩表[[#This Row],[TYPE]])</f>
        <v/>
      </c>
      <c r="N1117" s="22">
        <f t="array" ref="N1117">_xlfn.XLOOKUP(非皮卡压缩表[[#This Row],[MODEL]],MODEL缩写表[长MODEL],MODEL缩写表[短MODEL],非皮卡压缩表[[#This Row],[MODEL]])</f>
        <v/>
      </c>
      <c r="O1117" s="22">
        <f>LEN(非皮卡压缩表[[#This Row],[SHORT-MODEL]])</f>
        <v/>
      </c>
      <c r="P1117" s="11">
        <f t="array" ref="P1117">TRIM(_xlfn.XLOOKUP(非皮卡压缩表[[#This Row],[BACKSIZE]],ALL尺码表[内部尺码],ALL尺码表[通用尺码]))</f>
        <v/>
      </c>
    </row>
    <row r="1118">
      <c r="A1118" s="17" t="inlineStr">
        <is>
          <t>ALL</t>
        </is>
      </c>
      <c r="B1118" s="18" t="inlineStr">
        <is>
          <t>Pontiac G6</t>
        </is>
      </c>
      <c r="C1118" s="18" t="inlineStr">
        <is>
          <t>Pontiac</t>
        </is>
      </c>
      <c r="D1118" s="18" t="inlineStr">
        <is>
          <t>G6</t>
        </is>
      </c>
      <c r="E1118" s="18" t="inlineStr">
        <is>
          <t>2006-2009</t>
        </is>
      </c>
      <c r="F1118" s="18" t="inlineStr"/>
      <c r="G1118" s="18" t="inlineStr">
        <is>
          <t>Convertible</t>
        </is>
      </c>
      <c r="H1118" s="18" t="inlineStr">
        <is>
          <t>3XL-0</t>
        </is>
      </c>
      <c r="I1118" s="19">
        <f t="array" ref="I1118">TRIM(_xlfn.XLOOKUP(非皮卡压缩表[[#This Row],[BACKSIZE]],ALL尺码表[内部尺码],ALL尺码表[分类],""))</f>
        <v/>
      </c>
      <c r="J1118" s="19">
        <f t="array" ref="J1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8" s="20">
        <f>LEN(非皮卡压缩表[[#This Row],[LONG-TYPE]])</f>
        <v/>
      </c>
      <c r="L1118" s="21">
        <f t="array" ref="L1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8" s="22">
        <f>LEN(非皮卡压缩表[[#This Row],[TYPE]])</f>
        <v/>
      </c>
      <c r="N1118" s="22">
        <f t="array" ref="N1118">_xlfn.XLOOKUP(非皮卡压缩表[[#This Row],[MODEL]],MODEL缩写表[长MODEL],MODEL缩写表[短MODEL],非皮卡压缩表[[#This Row],[MODEL]])</f>
        <v/>
      </c>
      <c r="O1118" s="22">
        <f>LEN(非皮卡压缩表[[#This Row],[SHORT-MODEL]])</f>
        <v/>
      </c>
      <c r="P1118" s="11">
        <f t="array" ref="P1118">TRIM(_xlfn.XLOOKUP(非皮卡压缩表[[#This Row],[BACKSIZE]],ALL尺码表[内部尺码],ALL尺码表[通用尺码]))</f>
        <v/>
      </c>
    </row>
    <row r="1119">
      <c r="A1119" s="17" t="inlineStr">
        <is>
          <t>ALL</t>
        </is>
      </c>
      <c r="B1119" s="18" t="inlineStr">
        <is>
          <t>Pontiac G8</t>
        </is>
      </c>
      <c r="C1119" s="18" t="inlineStr">
        <is>
          <t>Pontiac</t>
        </is>
      </c>
      <c r="D1119" s="18" t="inlineStr">
        <is>
          <t>G8</t>
        </is>
      </c>
      <c r="E1119" s="18" t="inlineStr">
        <is>
          <t>2008-2009</t>
        </is>
      </c>
      <c r="F1119" s="18" t="inlineStr"/>
      <c r="G1119" s="18" t="inlineStr">
        <is>
          <t>Fastback</t>
        </is>
      </c>
      <c r="H1119" s="18" t="inlineStr">
        <is>
          <t>3XXL</t>
        </is>
      </c>
      <c r="I1119" s="19">
        <f t="array" ref="I1119">TRIM(_xlfn.XLOOKUP(非皮卡压缩表[[#This Row],[BACKSIZE]],ALL尺码表[内部尺码],ALL尺码表[分类],""))</f>
        <v/>
      </c>
      <c r="J1119" s="19">
        <f t="array" ref="J1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9" s="20">
        <f>LEN(非皮卡压缩表[[#This Row],[LONG-TYPE]])</f>
        <v/>
      </c>
      <c r="L1119" s="21">
        <f t="array" ref="L1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9" s="22">
        <f>LEN(非皮卡压缩表[[#This Row],[TYPE]])</f>
        <v/>
      </c>
      <c r="N1119" s="22">
        <f t="array" ref="N1119">_xlfn.XLOOKUP(非皮卡压缩表[[#This Row],[MODEL]],MODEL缩写表[长MODEL],MODEL缩写表[短MODEL],非皮卡压缩表[[#This Row],[MODEL]])</f>
        <v/>
      </c>
      <c r="O1119" s="22">
        <f>LEN(非皮卡压缩表[[#This Row],[SHORT-MODEL]])</f>
        <v/>
      </c>
      <c r="P1119" s="11">
        <f t="array" ref="P1119">TRIM(_xlfn.XLOOKUP(非皮卡压缩表[[#This Row],[BACKSIZE]],ALL尺码表[内部尺码],ALL尺码表[通用尺码]))</f>
        <v/>
      </c>
    </row>
    <row r="1120">
      <c r="A1120" s="17" t="inlineStr">
        <is>
          <t>ALL</t>
        </is>
      </c>
      <c r="B1120" s="18" t="inlineStr">
        <is>
          <t>Pontiac GTO</t>
        </is>
      </c>
      <c r="C1120" s="18" t="inlineStr">
        <is>
          <t>Pontiac</t>
        </is>
      </c>
      <c r="D1120" s="18" t="inlineStr">
        <is>
          <t>GTO</t>
        </is>
      </c>
      <c r="E1120" s="18" t="inlineStr">
        <is>
          <t>1964</t>
        </is>
      </c>
      <c r="F1120" s="18" t="inlineStr"/>
      <c r="G1120" s="18" t="inlineStr">
        <is>
          <t>Convertible/Coupe</t>
        </is>
      </c>
      <c r="H1120" s="18" t="inlineStr">
        <is>
          <t>3XL+0</t>
        </is>
      </c>
      <c r="I1120" s="19">
        <f t="array" ref="I1120">TRIM(_xlfn.XLOOKUP(非皮卡压缩表[[#This Row],[BACKSIZE]],ALL尺码表[内部尺码],ALL尺码表[分类],""))</f>
        <v/>
      </c>
      <c r="J1120" s="19">
        <f t="array" ref="J1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0" s="20">
        <f>LEN(非皮卡压缩表[[#This Row],[LONG-TYPE]])</f>
        <v/>
      </c>
      <c r="L1120" s="21">
        <f t="array" ref="L1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0" s="22">
        <f>LEN(非皮卡压缩表[[#This Row],[TYPE]])</f>
        <v/>
      </c>
      <c r="N1120" s="22">
        <f t="array" ref="N1120">_xlfn.XLOOKUP(非皮卡压缩表[[#This Row],[MODEL]],MODEL缩写表[长MODEL],MODEL缩写表[短MODEL],非皮卡压缩表[[#This Row],[MODEL]])</f>
        <v/>
      </c>
      <c r="O1120" s="22">
        <f>LEN(非皮卡压缩表[[#This Row],[SHORT-MODEL]])</f>
        <v/>
      </c>
      <c r="P1120" s="11">
        <f t="array" ref="P1120">TRIM(_xlfn.XLOOKUP(非皮卡压缩表[[#This Row],[BACKSIZE]],ALL尺码表[内部尺码],ALL尺码表[通用尺码]))</f>
        <v/>
      </c>
    </row>
    <row r="1121">
      <c r="A1121" s="17" t="inlineStr">
        <is>
          <t>ALL</t>
        </is>
      </c>
      <c r="B1121" s="18" t="inlineStr">
        <is>
          <t>Pontiac GTO</t>
        </is>
      </c>
      <c r="C1121" s="18" t="inlineStr">
        <is>
          <t>Pontiac</t>
        </is>
      </c>
      <c r="D1121" s="18" t="inlineStr">
        <is>
          <t>GTO</t>
        </is>
      </c>
      <c r="E1121" s="18" t="inlineStr">
        <is>
          <t>1965-1967</t>
        </is>
      </c>
      <c r="F1121" s="18" t="inlineStr"/>
      <c r="G1121" s="18" t="inlineStr">
        <is>
          <t>Convertible/Coupe</t>
        </is>
      </c>
      <c r="H1121" s="18" t="inlineStr">
        <is>
          <t>3XXL-0</t>
        </is>
      </c>
      <c r="I1121" s="19">
        <f t="array" ref="I1121">TRIM(_xlfn.XLOOKUP(非皮卡压缩表[[#This Row],[BACKSIZE]],ALL尺码表[内部尺码],ALL尺码表[分类],""))</f>
        <v/>
      </c>
      <c r="J1121" s="19">
        <f t="array" ref="J1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1" s="20">
        <f>LEN(非皮卡压缩表[[#This Row],[LONG-TYPE]])</f>
        <v/>
      </c>
      <c r="L1121" s="21">
        <f t="array" ref="L1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1" s="22">
        <f>LEN(非皮卡压缩表[[#This Row],[TYPE]])</f>
        <v/>
      </c>
      <c r="N1121" s="22">
        <f t="array" ref="N1121">_xlfn.XLOOKUP(非皮卡压缩表[[#This Row],[MODEL]],MODEL缩写表[长MODEL],MODEL缩写表[短MODEL],非皮卡压缩表[[#This Row],[MODEL]])</f>
        <v/>
      </c>
      <c r="O1121" s="22">
        <f>LEN(非皮卡压缩表[[#This Row],[SHORT-MODEL]])</f>
        <v/>
      </c>
      <c r="P1121" s="11">
        <f t="array" ref="P1121">TRIM(_xlfn.XLOOKUP(非皮卡压缩表[[#This Row],[BACKSIZE]],ALL尺码表[内部尺码],ALL尺码表[通用尺码]))</f>
        <v/>
      </c>
    </row>
    <row r="1122">
      <c r="A1122" s="17" t="inlineStr">
        <is>
          <t>ALL</t>
        </is>
      </c>
      <c r="B1122" s="18" t="inlineStr">
        <is>
          <t>Pontiac GTO</t>
        </is>
      </c>
      <c r="C1122" s="18" t="inlineStr">
        <is>
          <t>Pontiac</t>
        </is>
      </c>
      <c r="D1122" s="18" t="inlineStr">
        <is>
          <t>GTO</t>
        </is>
      </c>
      <c r="E1122" s="18" t="inlineStr">
        <is>
          <t>1968-1970</t>
        </is>
      </c>
      <c r="F1122" s="18" t="inlineStr"/>
      <c r="G1122" s="18" t="inlineStr">
        <is>
          <t>Coupe</t>
        </is>
      </c>
      <c r="H1122" s="18" t="inlineStr">
        <is>
          <t>3XL+0</t>
        </is>
      </c>
      <c r="I1122" s="19">
        <f t="array" ref="I1122">TRIM(_xlfn.XLOOKUP(非皮卡压缩表[[#This Row],[BACKSIZE]],ALL尺码表[内部尺码],ALL尺码表[分类],""))</f>
        <v/>
      </c>
      <c r="J1122" s="19">
        <f t="array" ref="J1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2" s="20">
        <f>LEN(非皮卡压缩表[[#This Row],[LONG-TYPE]])</f>
        <v/>
      </c>
      <c r="L1122" s="21">
        <f t="array" ref="L1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2" s="22">
        <f>LEN(非皮卡压缩表[[#This Row],[TYPE]])</f>
        <v/>
      </c>
      <c r="N1122" s="22">
        <f t="array" ref="N1122">_xlfn.XLOOKUP(非皮卡压缩表[[#This Row],[MODEL]],MODEL缩写表[长MODEL],MODEL缩写表[短MODEL],非皮卡压缩表[[#This Row],[MODEL]])</f>
        <v/>
      </c>
      <c r="O1122" s="22">
        <f>LEN(非皮卡压缩表[[#This Row],[SHORT-MODEL]])</f>
        <v/>
      </c>
      <c r="P1122" s="11">
        <f t="array" ref="P1122">TRIM(_xlfn.XLOOKUP(非皮卡压缩表[[#This Row],[BACKSIZE]],ALL尺码表[内部尺码],ALL尺码表[通用尺码]))</f>
        <v/>
      </c>
    </row>
    <row r="1123">
      <c r="A1123" s="17" t="inlineStr">
        <is>
          <t>ALL</t>
        </is>
      </c>
      <c r="B1123" s="18" t="inlineStr">
        <is>
          <t>Pontiac GTO</t>
        </is>
      </c>
      <c r="C1123" s="18" t="inlineStr">
        <is>
          <t>Pontiac</t>
        </is>
      </c>
      <c r="D1123" s="18" t="inlineStr">
        <is>
          <t>GTO</t>
        </is>
      </c>
      <c r="E1123" s="18" t="inlineStr">
        <is>
          <t>1971-1972</t>
        </is>
      </c>
      <c r="F1123" s="18" t="inlineStr"/>
      <c r="G1123" s="18" t="inlineStr">
        <is>
          <t>Coupe</t>
        </is>
      </c>
      <c r="H1123" s="18" t="inlineStr">
        <is>
          <t>3XXL-0</t>
        </is>
      </c>
      <c r="I1123" s="19">
        <f t="array" ref="I1123">TRIM(_xlfn.XLOOKUP(非皮卡压缩表[[#This Row],[BACKSIZE]],ALL尺码表[内部尺码],ALL尺码表[分类],""))</f>
        <v/>
      </c>
      <c r="J1123" s="19">
        <f t="array" ref="J1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3" s="20">
        <f>LEN(非皮卡压缩表[[#This Row],[LONG-TYPE]])</f>
        <v/>
      </c>
      <c r="L1123" s="21">
        <f t="array" ref="L1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3" s="22">
        <f>LEN(非皮卡压缩表[[#This Row],[TYPE]])</f>
        <v/>
      </c>
      <c r="N1123" s="22">
        <f t="array" ref="N1123">_xlfn.XLOOKUP(非皮卡压缩表[[#This Row],[MODEL]],MODEL缩写表[长MODEL],MODEL缩写表[短MODEL],非皮卡压缩表[[#This Row],[MODEL]])</f>
        <v/>
      </c>
      <c r="O1123" s="22">
        <f>LEN(非皮卡压缩表[[#This Row],[SHORT-MODEL]])</f>
        <v/>
      </c>
      <c r="P1123" s="11">
        <f t="array" ref="P1123">TRIM(_xlfn.XLOOKUP(非皮卡压缩表[[#This Row],[BACKSIZE]],ALL尺码表[内部尺码],ALL尺码表[通用尺码]))</f>
        <v/>
      </c>
    </row>
    <row r="1124">
      <c r="A1124" s="17" t="inlineStr">
        <is>
          <t>ALL</t>
        </is>
      </c>
      <c r="B1124" s="18" t="inlineStr">
        <is>
          <t>Pontiac GTO</t>
        </is>
      </c>
      <c r="C1124" s="18" t="inlineStr">
        <is>
          <t>Pontiac</t>
        </is>
      </c>
      <c r="D1124" s="18" t="inlineStr">
        <is>
          <t>GTO</t>
        </is>
      </c>
      <c r="E1124" s="18" t="inlineStr">
        <is>
          <t>1974</t>
        </is>
      </c>
      <c r="F1124" s="18" t="inlineStr"/>
      <c r="G1124" s="18" t="inlineStr">
        <is>
          <t>Coupe</t>
        </is>
      </c>
      <c r="H1124" s="18" t="inlineStr">
        <is>
          <t>3XL+0</t>
        </is>
      </c>
      <c r="I1124" s="19">
        <f t="array" ref="I1124">TRIM(_xlfn.XLOOKUP(非皮卡压缩表[[#This Row],[BACKSIZE]],ALL尺码表[内部尺码],ALL尺码表[分类],""))</f>
        <v/>
      </c>
      <c r="J1124" s="19">
        <f t="array" ref="J1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4" s="20">
        <f>LEN(非皮卡压缩表[[#This Row],[LONG-TYPE]])</f>
        <v/>
      </c>
      <c r="L1124" s="21">
        <f t="array" ref="L1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4" s="22">
        <f>LEN(非皮卡压缩表[[#This Row],[TYPE]])</f>
        <v/>
      </c>
      <c r="N1124" s="22">
        <f t="array" ref="N1124">_xlfn.XLOOKUP(非皮卡压缩表[[#This Row],[MODEL]],MODEL缩写表[长MODEL],MODEL缩写表[短MODEL],非皮卡压缩表[[#This Row],[MODEL]])</f>
        <v/>
      </c>
      <c r="O1124" s="22">
        <f>LEN(非皮卡压缩表[[#This Row],[SHORT-MODEL]])</f>
        <v/>
      </c>
      <c r="P1124" s="11">
        <f t="array" ref="P1124">TRIM(_xlfn.XLOOKUP(非皮卡压缩表[[#This Row],[BACKSIZE]],ALL尺码表[内部尺码],ALL尺码表[通用尺码]))</f>
        <v/>
      </c>
    </row>
    <row r="1125">
      <c r="A1125" s="17" t="inlineStr">
        <is>
          <t>ALL</t>
        </is>
      </c>
      <c r="B1125" s="18" t="inlineStr">
        <is>
          <t>Pontiac GTO</t>
        </is>
      </c>
      <c r="C1125" s="18" t="inlineStr">
        <is>
          <t>Pontiac</t>
        </is>
      </c>
      <c r="D1125" s="18" t="inlineStr">
        <is>
          <t>GTO</t>
        </is>
      </c>
      <c r="E1125" s="18" t="inlineStr">
        <is>
          <t>2004-2006</t>
        </is>
      </c>
      <c r="F1125" s="18" t="inlineStr"/>
      <c r="G1125" s="18" t="inlineStr">
        <is>
          <t>Coupe</t>
        </is>
      </c>
      <c r="H1125" s="18" t="inlineStr">
        <is>
          <t>3XL-0</t>
        </is>
      </c>
      <c r="I1125" s="19">
        <f t="array" ref="I1125">TRIM(_xlfn.XLOOKUP(非皮卡压缩表[[#This Row],[BACKSIZE]],ALL尺码表[内部尺码],ALL尺码表[分类],""))</f>
        <v/>
      </c>
      <c r="J1125" s="19">
        <f t="array" ref="J1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5" s="20">
        <f>LEN(非皮卡压缩表[[#This Row],[LONG-TYPE]])</f>
        <v/>
      </c>
      <c r="L1125" s="21">
        <f t="array" ref="L1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5" s="22">
        <f>LEN(非皮卡压缩表[[#This Row],[TYPE]])</f>
        <v/>
      </c>
      <c r="N1125" s="22">
        <f t="array" ref="N1125">_xlfn.XLOOKUP(非皮卡压缩表[[#This Row],[MODEL]],MODEL缩写表[长MODEL],MODEL缩写表[短MODEL],非皮卡压缩表[[#This Row],[MODEL]])</f>
        <v/>
      </c>
      <c r="O1125" s="22">
        <f>LEN(非皮卡压缩表[[#This Row],[SHORT-MODEL]])</f>
        <v/>
      </c>
      <c r="P1125" s="11">
        <f t="array" ref="P1125">TRIM(_xlfn.XLOOKUP(非皮卡压缩表[[#This Row],[BACKSIZE]],ALL尺码表[内部尺码],ALL尺码表[通用尺码]))</f>
        <v/>
      </c>
    </row>
    <row r="1126">
      <c r="A1126" s="17" t="inlineStr">
        <is>
          <t>ALL</t>
        </is>
      </c>
      <c r="B1126" s="18" t="inlineStr">
        <is>
          <t>Pontiac Grand Am</t>
        </is>
      </c>
      <c r="C1126" s="18" t="inlineStr">
        <is>
          <t>Pontiac</t>
        </is>
      </c>
      <c r="D1126" s="18" t="inlineStr">
        <is>
          <t>Grand Am</t>
        </is>
      </c>
      <c r="E1126" s="18" t="inlineStr">
        <is>
          <t>1992-2005</t>
        </is>
      </c>
      <c r="F1126" s="18" t="inlineStr"/>
      <c r="G1126" s="18" t="inlineStr">
        <is>
          <t>Sedan</t>
        </is>
      </c>
      <c r="H1126" s="18" t="inlineStr">
        <is>
          <t>3XL</t>
        </is>
      </c>
      <c r="I1126" s="19">
        <f t="array" ref="I1126">TRIM(_xlfn.XLOOKUP(非皮卡压缩表[[#This Row],[BACKSIZE]],ALL尺码表[内部尺码],ALL尺码表[分类],""))</f>
        <v/>
      </c>
      <c r="J1126" s="19">
        <f t="array" ref="J1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6" s="20">
        <f>LEN(非皮卡压缩表[[#This Row],[LONG-TYPE]])</f>
        <v/>
      </c>
      <c r="L1126" s="21">
        <f t="array" ref="L1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6" s="22">
        <f>LEN(非皮卡压缩表[[#This Row],[TYPE]])</f>
        <v/>
      </c>
      <c r="N1126" s="22">
        <f t="array" ref="N1126">_xlfn.XLOOKUP(非皮卡压缩表[[#This Row],[MODEL]],MODEL缩写表[长MODEL],MODEL缩写表[短MODEL],非皮卡压缩表[[#This Row],[MODEL]])</f>
        <v/>
      </c>
      <c r="O1126" s="22">
        <f>LEN(非皮卡压缩表[[#This Row],[SHORT-MODEL]])</f>
        <v/>
      </c>
      <c r="P1126" s="11">
        <f t="array" ref="P1126">TRIM(_xlfn.XLOOKUP(非皮卡压缩表[[#This Row],[BACKSIZE]],ALL尺码表[内部尺码],ALL尺码表[通用尺码]))</f>
        <v/>
      </c>
    </row>
    <row r="1127">
      <c r="A1127" s="17" t="inlineStr">
        <is>
          <t>ALL</t>
        </is>
      </c>
      <c r="B1127" s="18" t="inlineStr">
        <is>
          <t>Pontiac Grand Am</t>
        </is>
      </c>
      <c r="C1127" s="18" t="inlineStr">
        <is>
          <t>Pontiac</t>
        </is>
      </c>
      <c r="D1127" s="18" t="inlineStr">
        <is>
          <t>Grand Am</t>
        </is>
      </c>
      <c r="E1127" s="18" t="inlineStr">
        <is>
          <t>1992-2005</t>
        </is>
      </c>
      <c r="F1127" s="18" t="inlineStr"/>
      <c r="G1127" s="18" t="inlineStr">
        <is>
          <t>Coupe</t>
        </is>
      </c>
      <c r="H1127" s="18" t="inlineStr">
        <is>
          <t>3XL-0</t>
        </is>
      </c>
      <c r="I1127" s="19">
        <f t="array" ref="I1127">TRIM(_xlfn.XLOOKUP(非皮卡压缩表[[#This Row],[BACKSIZE]],ALL尺码表[内部尺码],ALL尺码表[分类],""))</f>
        <v/>
      </c>
      <c r="J1127" s="19">
        <f t="array" ref="J1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7" s="20">
        <f>LEN(非皮卡压缩表[[#This Row],[LONG-TYPE]])</f>
        <v/>
      </c>
      <c r="L1127" s="21">
        <f t="array" ref="L1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7" s="22">
        <f>LEN(非皮卡压缩表[[#This Row],[TYPE]])</f>
        <v/>
      </c>
      <c r="N1127" s="22">
        <f t="array" ref="N1127">_xlfn.XLOOKUP(非皮卡压缩表[[#This Row],[MODEL]],MODEL缩写表[长MODEL],MODEL缩写表[短MODEL],非皮卡压缩表[[#This Row],[MODEL]])</f>
        <v/>
      </c>
      <c r="O1127" s="22">
        <f>LEN(非皮卡压缩表[[#This Row],[SHORT-MODEL]])</f>
        <v/>
      </c>
      <c r="P1127" s="11">
        <f t="array" ref="P1127">TRIM(_xlfn.XLOOKUP(非皮卡压缩表[[#This Row],[BACKSIZE]],ALL尺码表[内部尺码],ALL尺码表[通用尺码]))</f>
        <v/>
      </c>
    </row>
    <row r="1128">
      <c r="A1128" s="17" t="inlineStr">
        <is>
          <t>ALL</t>
        </is>
      </c>
      <c r="B1128" s="18" t="inlineStr">
        <is>
          <t>Pontiac Grand Prix</t>
        </is>
      </c>
      <c r="C1128" s="18" t="inlineStr">
        <is>
          <t>Pontiac</t>
        </is>
      </c>
      <c r="D1128" s="18" t="inlineStr">
        <is>
          <t>Grand Prix</t>
        </is>
      </c>
      <c r="E1128" s="18" t="inlineStr">
        <is>
          <t>1963-1977</t>
        </is>
      </c>
      <c r="F1128" s="18" t="inlineStr"/>
      <c r="G1128" s="18" t="inlineStr">
        <is>
          <t>Coupe</t>
        </is>
      </c>
      <c r="H1128" s="18" t="inlineStr">
        <is>
          <t>3XXXL-0</t>
        </is>
      </c>
      <c r="I1128" s="19">
        <f t="array" ref="I1128">TRIM(_xlfn.XLOOKUP(非皮卡压缩表[[#This Row],[BACKSIZE]],ALL尺码表[内部尺码],ALL尺码表[分类],""))</f>
        <v/>
      </c>
      <c r="J1128" s="19">
        <f t="array" ref="J1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8" s="20">
        <f>LEN(非皮卡压缩表[[#This Row],[LONG-TYPE]])</f>
        <v/>
      </c>
      <c r="L1128" s="21">
        <f t="array" ref="L1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8" s="22">
        <f>LEN(非皮卡压缩表[[#This Row],[TYPE]])</f>
        <v/>
      </c>
      <c r="N1128" s="22">
        <f t="array" ref="N1128">_xlfn.XLOOKUP(非皮卡压缩表[[#This Row],[MODEL]],MODEL缩写表[长MODEL],MODEL缩写表[短MODEL],非皮卡压缩表[[#This Row],[MODEL]])</f>
        <v/>
      </c>
      <c r="O1128" s="22">
        <f>LEN(非皮卡压缩表[[#This Row],[SHORT-MODEL]])</f>
        <v/>
      </c>
      <c r="P1128" s="11">
        <f t="array" ref="P1128">TRIM(_xlfn.XLOOKUP(非皮卡压缩表[[#This Row],[BACKSIZE]],ALL尺码表[内部尺码],ALL尺码表[通用尺码]))</f>
        <v/>
      </c>
    </row>
    <row r="1129">
      <c r="A1129" s="17" t="inlineStr">
        <is>
          <t>ALL</t>
        </is>
      </c>
      <c r="B1129" s="18" t="inlineStr">
        <is>
          <t>Pontiac Grand Prix</t>
        </is>
      </c>
      <c r="C1129" s="18" t="inlineStr">
        <is>
          <t>Pontiac</t>
        </is>
      </c>
      <c r="D1129" s="18" t="inlineStr">
        <is>
          <t>Grand Prix</t>
        </is>
      </c>
      <c r="E1129" s="18" t="inlineStr">
        <is>
          <t>1978-2002</t>
        </is>
      </c>
      <c r="F1129" s="18" t="inlineStr"/>
      <c r="G1129" s="18" t="inlineStr">
        <is>
          <t>Coupe</t>
        </is>
      </c>
      <c r="H1129" s="18" t="inlineStr">
        <is>
          <t>3XL+0</t>
        </is>
      </c>
      <c r="I1129" s="19">
        <f t="array" ref="I1129">TRIM(_xlfn.XLOOKUP(非皮卡压缩表[[#This Row],[BACKSIZE]],ALL尺码表[内部尺码],ALL尺码表[分类],""))</f>
        <v/>
      </c>
      <c r="J1129" s="19">
        <f t="array" ref="J1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9" s="20">
        <f>LEN(非皮卡压缩表[[#This Row],[LONG-TYPE]])</f>
        <v/>
      </c>
      <c r="L1129" s="21">
        <f t="array" ref="L1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9" s="22">
        <f>LEN(非皮卡压缩表[[#This Row],[TYPE]])</f>
        <v/>
      </c>
      <c r="N1129" s="22">
        <f t="array" ref="N1129">_xlfn.XLOOKUP(非皮卡压缩表[[#This Row],[MODEL]],MODEL缩写表[长MODEL],MODEL缩写表[短MODEL],非皮卡压缩表[[#This Row],[MODEL]])</f>
        <v/>
      </c>
      <c r="O1129" s="22">
        <f>LEN(非皮卡压缩表[[#This Row],[SHORT-MODEL]])</f>
        <v/>
      </c>
      <c r="P1129" s="11">
        <f t="array" ref="P1129">TRIM(_xlfn.XLOOKUP(非皮卡压缩表[[#This Row],[BACKSIZE]],ALL尺码表[内部尺码],ALL尺码表[通用尺码]))</f>
        <v/>
      </c>
    </row>
    <row r="1130">
      <c r="A1130" s="17" t="inlineStr">
        <is>
          <t>ALL</t>
        </is>
      </c>
      <c r="B1130" s="18" t="inlineStr">
        <is>
          <t>Pontiac Grand Prix</t>
        </is>
      </c>
      <c r="C1130" s="18" t="inlineStr">
        <is>
          <t>Pontiac</t>
        </is>
      </c>
      <c r="D1130" s="18" t="inlineStr">
        <is>
          <t>Grand Prix</t>
        </is>
      </c>
      <c r="E1130" s="18" t="inlineStr">
        <is>
          <t>1997-2008</t>
        </is>
      </c>
      <c r="F1130" s="18" t="inlineStr"/>
      <c r="G1130" s="18" t="inlineStr">
        <is>
          <t>Sedan</t>
        </is>
      </c>
      <c r="H1130" s="18" t="inlineStr">
        <is>
          <t>3XXL</t>
        </is>
      </c>
      <c r="I1130" s="19">
        <f t="array" ref="I1130">TRIM(_xlfn.XLOOKUP(非皮卡压缩表[[#This Row],[BACKSIZE]],ALL尺码表[内部尺码],ALL尺码表[分类],""))</f>
        <v/>
      </c>
      <c r="J1130" s="19">
        <f t="array" ref="J1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0" s="20">
        <f>LEN(非皮卡压缩表[[#This Row],[LONG-TYPE]])</f>
        <v/>
      </c>
      <c r="L1130" s="21">
        <f t="array" ref="L1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0" s="22">
        <f>LEN(非皮卡压缩表[[#This Row],[TYPE]])</f>
        <v/>
      </c>
      <c r="N1130" s="22">
        <f t="array" ref="N1130">_xlfn.XLOOKUP(非皮卡压缩表[[#This Row],[MODEL]],MODEL缩写表[长MODEL],MODEL缩写表[短MODEL],非皮卡压缩表[[#This Row],[MODEL]])</f>
        <v/>
      </c>
      <c r="O1130" s="22">
        <f>LEN(非皮卡压缩表[[#This Row],[SHORT-MODEL]])</f>
        <v/>
      </c>
      <c r="P1130" s="11">
        <f t="array" ref="P1130">TRIM(_xlfn.XLOOKUP(非皮卡压缩表[[#This Row],[BACKSIZE]],ALL尺码表[内部尺码],ALL尺码表[通用尺码]))</f>
        <v/>
      </c>
    </row>
    <row r="1131">
      <c r="A1131" s="17" t="inlineStr">
        <is>
          <t>ALL</t>
        </is>
      </c>
      <c r="B1131" s="18" t="inlineStr">
        <is>
          <t>Pontiac LeMans</t>
        </is>
      </c>
      <c r="C1131" s="18" t="inlineStr">
        <is>
          <t>Pontiac</t>
        </is>
      </c>
      <c r="D1131" s="18" t="inlineStr">
        <is>
          <t>LeMans</t>
        </is>
      </c>
      <c r="E1131" s="18" t="inlineStr">
        <is>
          <t>1961-1963</t>
        </is>
      </c>
      <c r="F1131" s="18" t="inlineStr">
        <is>
          <t>Tempest/LeMans</t>
        </is>
      </c>
      <c r="G1131" s="18" t="inlineStr">
        <is>
          <t>Convertible</t>
        </is>
      </c>
      <c r="H1131" s="18" t="inlineStr">
        <is>
          <t>3XL+0</t>
        </is>
      </c>
      <c r="I1131" s="19">
        <f t="array" ref="I1131">TRIM(_xlfn.XLOOKUP(非皮卡压缩表[[#This Row],[BACKSIZE]],ALL尺码表[内部尺码],ALL尺码表[分类],""))</f>
        <v/>
      </c>
      <c r="J1131" s="19">
        <f t="array" ref="J1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1" s="20">
        <f>LEN(非皮卡压缩表[[#This Row],[LONG-TYPE]])</f>
        <v/>
      </c>
      <c r="L1131" s="21">
        <f t="array" ref="L1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1" s="22">
        <f>LEN(非皮卡压缩表[[#This Row],[TYPE]])</f>
        <v/>
      </c>
      <c r="N1131" s="22">
        <f t="array" ref="N1131">_xlfn.XLOOKUP(非皮卡压缩表[[#This Row],[MODEL]],MODEL缩写表[长MODEL],MODEL缩写表[短MODEL],非皮卡压缩表[[#This Row],[MODEL]])</f>
        <v/>
      </c>
      <c r="O1131" s="22">
        <f>LEN(非皮卡压缩表[[#This Row],[SHORT-MODEL]])</f>
        <v/>
      </c>
      <c r="P1131" s="11">
        <f t="array" ref="P1131">TRIM(_xlfn.XLOOKUP(非皮卡压缩表[[#This Row],[BACKSIZE]],ALL尺码表[内部尺码],ALL尺码表[通用尺码]))</f>
        <v/>
      </c>
    </row>
    <row r="1132">
      <c r="A1132" s="17" t="inlineStr">
        <is>
          <t>ALL</t>
        </is>
      </c>
      <c r="B1132" s="18" t="inlineStr">
        <is>
          <t>Pontiac LeMans</t>
        </is>
      </c>
      <c r="C1132" s="18" t="inlineStr">
        <is>
          <t>Pontiac</t>
        </is>
      </c>
      <c r="D1132" s="18" t="inlineStr">
        <is>
          <t>LeMans</t>
        </is>
      </c>
      <c r="E1132" s="18" t="inlineStr">
        <is>
          <t>1961-1963</t>
        </is>
      </c>
      <c r="F1132" s="18" t="inlineStr">
        <is>
          <t>Tempest/LeMans</t>
        </is>
      </c>
      <c r="G1132" s="18" t="inlineStr">
        <is>
          <t>Coupe</t>
        </is>
      </c>
      <c r="H1132" s="18" t="inlineStr">
        <is>
          <t>3XL+0</t>
        </is>
      </c>
      <c r="I1132" s="19">
        <f t="array" ref="I1132">TRIM(_xlfn.XLOOKUP(非皮卡压缩表[[#This Row],[BACKSIZE]],ALL尺码表[内部尺码],ALL尺码表[分类],""))</f>
        <v/>
      </c>
      <c r="J1132" s="19">
        <f t="array" ref="J1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2" s="20">
        <f>LEN(非皮卡压缩表[[#This Row],[LONG-TYPE]])</f>
        <v/>
      </c>
      <c r="L1132" s="21">
        <f t="array" ref="L1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2" s="22">
        <f>LEN(非皮卡压缩表[[#This Row],[TYPE]])</f>
        <v/>
      </c>
      <c r="N1132" s="22">
        <f t="array" ref="N1132">_xlfn.XLOOKUP(非皮卡压缩表[[#This Row],[MODEL]],MODEL缩写表[长MODEL],MODEL缩写表[短MODEL],非皮卡压缩表[[#This Row],[MODEL]])</f>
        <v/>
      </c>
      <c r="O1132" s="22">
        <f>LEN(非皮卡压缩表[[#This Row],[SHORT-MODEL]])</f>
        <v/>
      </c>
      <c r="P1132" s="11">
        <f t="array" ref="P1132">TRIM(_xlfn.XLOOKUP(非皮卡压缩表[[#This Row],[BACKSIZE]],ALL尺码表[内部尺码],ALL尺码表[通用尺码]))</f>
        <v/>
      </c>
    </row>
    <row r="1133">
      <c r="A1133" s="17" t="inlineStr">
        <is>
          <t>ALL</t>
        </is>
      </c>
      <c r="B1133" s="18" t="inlineStr">
        <is>
          <t>Pontiac LeMans</t>
        </is>
      </c>
      <c r="C1133" s="18" t="inlineStr">
        <is>
          <t>Pontiac</t>
        </is>
      </c>
      <c r="D1133" s="18" t="inlineStr">
        <is>
          <t>LeMans</t>
        </is>
      </c>
      <c r="E1133" s="18" t="inlineStr">
        <is>
          <t>1962</t>
        </is>
      </c>
      <c r="F1133" s="18" t="inlineStr">
        <is>
          <t>Tempest/LeMans</t>
        </is>
      </c>
      <c r="G1133" s="18" t="inlineStr">
        <is>
          <t>Coupe</t>
        </is>
      </c>
      <c r="H1133" s="18" t="inlineStr">
        <is>
          <t>3XL-0</t>
        </is>
      </c>
      <c r="I1133" s="19">
        <f t="array" ref="I1133">TRIM(_xlfn.XLOOKUP(非皮卡压缩表[[#This Row],[BACKSIZE]],ALL尺码表[内部尺码],ALL尺码表[分类],""))</f>
        <v/>
      </c>
      <c r="J1133" s="19">
        <f t="array" ref="J1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3" s="20">
        <f>LEN(非皮卡压缩表[[#This Row],[LONG-TYPE]])</f>
        <v/>
      </c>
      <c r="L1133" s="21">
        <f t="array" ref="L1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3" s="22">
        <f>LEN(非皮卡压缩表[[#This Row],[TYPE]])</f>
        <v/>
      </c>
      <c r="N1133" s="22">
        <f t="array" ref="N1133">_xlfn.XLOOKUP(非皮卡压缩表[[#This Row],[MODEL]],MODEL缩写表[长MODEL],MODEL缩写表[短MODEL],非皮卡压缩表[[#This Row],[MODEL]])</f>
        <v/>
      </c>
      <c r="O1133" s="22">
        <f>LEN(非皮卡压缩表[[#This Row],[SHORT-MODEL]])</f>
        <v/>
      </c>
      <c r="P1133" s="11">
        <f t="array" ref="P1133">TRIM(_xlfn.XLOOKUP(非皮卡压缩表[[#This Row],[BACKSIZE]],ALL尺码表[内部尺码],ALL尺码表[通用尺码]))</f>
        <v/>
      </c>
    </row>
    <row r="1134">
      <c r="A1134" s="17" t="inlineStr">
        <is>
          <t>ALL</t>
        </is>
      </c>
      <c r="B1134" s="18" t="inlineStr">
        <is>
          <t>Pontiac LeMans</t>
        </is>
      </c>
      <c r="C1134" s="18" t="inlineStr">
        <is>
          <t>Pontiac</t>
        </is>
      </c>
      <c r="D1134" s="18" t="inlineStr">
        <is>
          <t>LeMans</t>
        </is>
      </c>
      <c r="E1134" s="18" t="inlineStr">
        <is>
          <t>1963</t>
        </is>
      </c>
      <c r="F1134" s="18" t="inlineStr">
        <is>
          <t>LeMans/Safari/Tempest</t>
        </is>
      </c>
      <c r="G1134" s="18" t="inlineStr">
        <is>
          <t>Wagon</t>
        </is>
      </c>
      <c r="H1134" s="18" t="inlineStr">
        <is>
          <t>2XL+</t>
        </is>
      </c>
      <c r="I1134" s="19">
        <f t="array" ref="I1134">TRIM(_xlfn.XLOOKUP(非皮卡压缩表[[#This Row],[BACKSIZE]],ALL尺码表[内部尺码],ALL尺码表[分类],""))</f>
        <v/>
      </c>
      <c r="J1134" s="19">
        <f t="array" ref="J1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4" s="20">
        <f>LEN(非皮卡压缩表[[#This Row],[LONG-TYPE]])</f>
        <v/>
      </c>
      <c r="L1134" s="21">
        <f t="array" ref="L1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4" s="22">
        <f>LEN(非皮卡压缩表[[#This Row],[TYPE]])</f>
        <v/>
      </c>
      <c r="N1134" s="22">
        <f t="array" ref="N1134">_xlfn.XLOOKUP(非皮卡压缩表[[#This Row],[MODEL]],MODEL缩写表[长MODEL],MODEL缩写表[短MODEL],非皮卡压缩表[[#This Row],[MODEL]])</f>
        <v/>
      </c>
      <c r="O1134" s="22">
        <f>LEN(非皮卡压缩表[[#This Row],[SHORT-MODEL]])</f>
        <v/>
      </c>
      <c r="P1134" s="11">
        <f t="array" ref="P1134">TRIM(_xlfn.XLOOKUP(非皮卡压缩表[[#This Row],[BACKSIZE]],ALL尺码表[内部尺码],ALL尺码表[通用尺码]))</f>
        <v/>
      </c>
    </row>
    <row r="1135" ht="30" customHeight="1" s="23">
      <c r="A1135" s="17" t="inlineStr">
        <is>
          <t>ALL</t>
        </is>
      </c>
      <c r="B1135" s="18" t="inlineStr">
        <is>
          <t>Pontiac LeMans</t>
        </is>
      </c>
      <c r="C1135" s="18" t="inlineStr">
        <is>
          <t>Pontiac</t>
        </is>
      </c>
      <c r="D1135" s="18" t="inlineStr">
        <is>
          <t>LeMans</t>
        </is>
      </c>
      <c r="E1135" s="18" t="inlineStr">
        <is>
          <t>1964-1967</t>
        </is>
      </c>
      <c r="F1135" s="18" t="inlineStr"/>
      <c r="G1135" s="18" t="inlineStr">
        <is>
          <t>Hatchback/Wagon</t>
        </is>
      </c>
      <c r="H1135" s="18" t="inlineStr">
        <is>
          <t>2XXL</t>
        </is>
      </c>
      <c r="I1135" s="19">
        <f t="array" ref="I1135">TRIM(_xlfn.XLOOKUP(非皮卡压缩表[[#This Row],[BACKSIZE]],ALL尺码表[内部尺码],ALL尺码表[分类],""))</f>
        <v/>
      </c>
      <c r="J1135" s="19">
        <f t="array" ref="J1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5" s="20">
        <f>LEN(非皮卡压缩表[[#This Row],[LONG-TYPE]])</f>
        <v/>
      </c>
      <c r="L1135" s="21">
        <f t="array" ref="L1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5" s="22">
        <f>LEN(非皮卡压缩表[[#This Row],[TYPE]])</f>
        <v/>
      </c>
      <c r="N1135" s="22">
        <f t="array" ref="N1135">_xlfn.XLOOKUP(非皮卡压缩表[[#This Row],[MODEL]],MODEL缩写表[长MODEL],MODEL缩写表[短MODEL],非皮卡压缩表[[#This Row],[MODEL]])</f>
        <v/>
      </c>
      <c r="O1135" s="22">
        <f>LEN(非皮卡压缩表[[#This Row],[SHORT-MODEL]])</f>
        <v/>
      </c>
      <c r="P1135" s="11">
        <f t="array" ref="P1135">TRIM(_xlfn.XLOOKUP(非皮卡压缩表[[#This Row],[BACKSIZE]],ALL尺码表[内部尺码],ALL尺码表[通用尺码]))</f>
        <v/>
      </c>
    </row>
    <row r="1136">
      <c r="A1136" s="17" t="inlineStr">
        <is>
          <t>ALL</t>
        </is>
      </c>
      <c r="B1136" s="18" t="inlineStr">
        <is>
          <t>Pontiac LeMans</t>
        </is>
      </c>
      <c r="C1136" s="18" t="inlineStr">
        <is>
          <t>Pontiac</t>
        </is>
      </c>
      <c r="D1136" s="18" t="inlineStr">
        <is>
          <t>LeMans</t>
        </is>
      </c>
      <c r="E1136" s="18" t="inlineStr">
        <is>
          <t>1964-1970</t>
        </is>
      </c>
      <c r="F1136" s="18" t="inlineStr"/>
      <c r="G1136" s="18" t="inlineStr">
        <is>
          <t>Convertible</t>
        </is>
      </c>
      <c r="H1136" s="18" t="inlineStr">
        <is>
          <t>3XL+0</t>
        </is>
      </c>
      <c r="I1136" s="19">
        <f t="array" ref="I1136">TRIM(_xlfn.XLOOKUP(非皮卡压缩表[[#This Row],[BACKSIZE]],ALL尺码表[内部尺码],ALL尺码表[分类],""))</f>
        <v/>
      </c>
      <c r="J1136" s="19">
        <f t="array" ref="J1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6" s="20">
        <f>LEN(非皮卡压缩表[[#This Row],[LONG-TYPE]])</f>
        <v/>
      </c>
      <c r="L1136" s="21">
        <f t="array" ref="L1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6" s="22">
        <f>LEN(非皮卡压缩表[[#This Row],[TYPE]])</f>
        <v/>
      </c>
      <c r="N1136" s="22">
        <f t="array" ref="N1136">_xlfn.XLOOKUP(非皮卡压缩表[[#This Row],[MODEL]],MODEL缩写表[长MODEL],MODEL缩写表[短MODEL],非皮卡压缩表[[#This Row],[MODEL]])</f>
        <v/>
      </c>
      <c r="O1136" s="22">
        <f>LEN(非皮卡压缩表[[#This Row],[SHORT-MODEL]])</f>
        <v/>
      </c>
      <c r="P1136" s="11">
        <f t="array" ref="P1136">TRIM(_xlfn.XLOOKUP(非皮卡压缩表[[#This Row],[BACKSIZE]],ALL尺码表[内部尺码],ALL尺码表[通用尺码]))</f>
        <v/>
      </c>
    </row>
    <row r="1137">
      <c r="A1137" s="17" t="inlineStr">
        <is>
          <t>ALL</t>
        </is>
      </c>
      <c r="B1137" s="18" t="inlineStr">
        <is>
          <t>Pontiac LeMans</t>
        </is>
      </c>
      <c r="C1137" s="18" t="inlineStr">
        <is>
          <t>Pontiac</t>
        </is>
      </c>
      <c r="D1137" s="18" t="inlineStr">
        <is>
          <t>LeMans</t>
        </is>
      </c>
      <c r="E1137" s="18" t="inlineStr">
        <is>
          <t>1964-1968</t>
        </is>
      </c>
      <c r="F1137" s="18" t="inlineStr"/>
      <c r="G1137" s="18" t="inlineStr">
        <is>
          <t>Coupe</t>
        </is>
      </c>
      <c r="H1137" s="18" t="inlineStr">
        <is>
          <t>3XL+0</t>
        </is>
      </c>
      <c r="I1137" s="19">
        <f t="array" ref="I1137">TRIM(_xlfn.XLOOKUP(非皮卡压缩表[[#This Row],[BACKSIZE]],ALL尺码表[内部尺码],ALL尺码表[分类],""))</f>
        <v/>
      </c>
      <c r="J1137" s="19">
        <f t="array" ref="J1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7" s="20">
        <f>LEN(非皮卡压缩表[[#This Row],[LONG-TYPE]])</f>
        <v/>
      </c>
      <c r="L1137" s="21">
        <f t="array" ref="L1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7" s="22">
        <f>LEN(非皮卡压缩表[[#This Row],[TYPE]])</f>
        <v/>
      </c>
      <c r="N1137" s="22">
        <f t="array" ref="N1137">_xlfn.XLOOKUP(非皮卡压缩表[[#This Row],[MODEL]],MODEL缩写表[长MODEL],MODEL缩写表[短MODEL],非皮卡压缩表[[#This Row],[MODEL]])</f>
        <v/>
      </c>
      <c r="O1137" s="22">
        <f>LEN(非皮卡压缩表[[#This Row],[SHORT-MODEL]])</f>
        <v/>
      </c>
      <c r="P1137" s="11">
        <f t="array" ref="P1137">TRIM(_xlfn.XLOOKUP(非皮卡压缩表[[#This Row],[BACKSIZE]],ALL尺码表[内部尺码],ALL尺码表[通用尺码]))</f>
        <v/>
      </c>
    </row>
    <row r="1138">
      <c r="A1138" s="17" t="inlineStr">
        <is>
          <t>ALL</t>
        </is>
      </c>
      <c r="B1138" s="18" t="inlineStr">
        <is>
          <t>Pontiac LeMans</t>
        </is>
      </c>
      <c r="C1138" s="18" t="inlineStr">
        <is>
          <t>Pontiac</t>
        </is>
      </c>
      <c r="D1138" s="18" t="inlineStr">
        <is>
          <t>LeMans</t>
        </is>
      </c>
      <c r="E1138" s="18" t="inlineStr">
        <is>
          <t>1964-1972</t>
        </is>
      </c>
      <c r="F1138" s="18" t="inlineStr"/>
      <c r="G1138" s="18" t="inlineStr">
        <is>
          <t>Sedan</t>
        </is>
      </c>
      <c r="H1138" s="18" t="inlineStr">
        <is>
          <t>3XXL</t>
        </is>
      </c>
      <c r="I1138" s="19">
        <f t="array" ref="I1138">TRIM(_xlfn.XLOOKUP(非皮卡压缩表[[#This Row],[BACKSIZE]],ALL尺码表[内部尺码],ALL尺码表[分类],""))</f>
        <v/>
      </c>
      <c r="J1138" s="19">
        <f t="array" ref="J1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8" s="20">
        <f>LEN(非皮卡压缩表[[#This Row],[LONG-TYPE]])</f>
        <v/>
      </c>
      <c r="L1138" s="21">
        <f t="array" ref="L1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8" s="22">
        <f>LEN(非皮卡压缩表[[#This Row],[TYPE]])</f>
        <v/>
      </c>
      <c r="N1138" s="22">
        <f t="array" ref="N1138">_xlfn.XLOOKUP(非皮卡压缩表[[#This Row],[MODEL]],MODEL缩写表[长MODEL],MODEL缩写表[短MODEL],非皮卡压缩表[[#This Row],[MODEL]])</f>
        <v/>
      </c>
      <c r="O1138" s="22">
        <f>LEN(非皮卡压缩表[[#This Row],[SHORT-MODEL]])</f>
        <v/>
      </c>
      <c r="P1138" s="11">
        <f t="array" ref="P1138">TRIM(_xlfn.XLOOKUP(非皮卡压缩表[[#This Row],[BACKSIZE]],ALL尺码表[内部尺码],ALL尺码表[通用尺码]))</f>
        <v/>
      </c>
    </row>
    <row r="1139">
      <c r="A1139" s="17" t="inlineStr">
        <is>
          <t>ALL</t>
        </is>
      </c>
      <c r="B1139" s="18" t="inlineStr">
        <is>
          <t>Pontiac LeMans</t>
        </is>
      </c>
      <c r="C1139" s="18" t="inlineStr">
        <is>
          <t>Pontiac</t>
        </is>
      </c>
      <c r="D1139" s="18" t="inlineStr">
        <is>
          <t>LeMans</t>
        </is>
      </c>
      <c r="E1139" s="18" t="inlineStr">
        <is>
          <t>1965-1967</t>
        </is>
      </c>
      <c r="F1139" s="18" t="inlineStr"/>
      <c r="G1139" s="18" t="inlineStr">
        <is>
          <t>Coupe</t>
        </is>
      </c>
      <c r="H1139" s="18" t="inlineStr">
        <is>
          <t>3XXL-0</t>
        </is>
      </c>
      <c r="I1139" s="19">
        <f t="array" ref="I1139">TRIM(_xlfn.XLOOKUP(非皮卡压缩表[[#This Row],[BACKSIZE]],ALL尺码表[内部尺码],ALL尺码表[分类],""))</f>
        <v/>
      </c>
      <c r="J1139" s="19">
        <f t="array" ref="J1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9" s="20">
        <f>LEN(非皮卡压缩表[[#This Row],[LONG-TYPE]])</f>
        <v/>
      </c>
      <c r="L1139" s="21">
        <f t="array" ref="L1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9" s="22">
        <f>LEN(非皮卡压缩表[[#This Row],[TYPE]])</f>
        <v/>
      </c>
      <c r="N1139" s="22">
        <f t="array" ref="N1139">_xlfn.XLOOKUP(非皮卡压缩表[[#This Row],[MODEL]],MODEL缩写表[长MODEL],MODEL缩写表[短MODEL],非皮卡压缩表[[#This Row],[MODEL]])</f>
        <v/>
      </c>
      <c r="O1139" s="22">
        <f>LEN(非皮卡压缩表[[#This Row],[SHORT-MODEL]])</f>
        <v/>
      </c>
      <c r="P1139" s="11">
        <f t="array" ref="P1139">TRIM(_xlfn.XLOOKUP(非皮卡压缩表[[#This Row],[BACKSIZE]],ALL尺码表[内部尺码],ALL尺码表[通用尺码]))</f>
        <v/>
      </c>
    </row>
    <row r="1140">
      <c r="A1140" s="17" t="inlineStr">
        <is>
          <t>ALL</t>
        </is>
      </c>
      <c r="B1140" s="18" t="inlineStr">
        <is>
          <t>Pontiac LeMans</t>
        </is>
      </c>
      <c r="C1140" s="18" t="inlineStr">
        <is>
          <t>Pontiac</t>
        </is>
      </c>
      <c r="D1140" s="18" t="inlineStr">
        <is>
          <t>LeMans</t>
        </is>
      </c>
      <c r="E1140" s="18" t="inlineStr">
        <is>
          <t>1967</t>
        </is>
      </c>
      <c r="F1140" s="18" t="inlineStr"/>
      <c r="G1140" s="18" t="inlineStr">
        <is>
          <t>Convertible</t>
        </is>
      </c>
      <c r="H1140" s="18" t="inlineStr">
        <is>
          <t>3XXL-0</t>
        </is>
      </c>
      <c r="I1140" s="19">
        <f t="array" ref="I1140">TRIM(_xlfn.XLOOKUP(非皮卡压缩表[[#This Row],[BACKSIZE]],ALL尺码表[内部尺码],ALL尺码表[分类],""))</f>
        <v/>
      </c>
      <c r="J1140" s="19">
        <f t="array" ref="J1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0" s="20">
        <f>LEN(非皮卡压缩表[[#This Row],[LONG-TYPE]])</f>
        <v/>
      </c>
      <c r="L1140" s="21">
        <f t="array" ref="L1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0" s="22">
        <f>LEN(非皮卡压缩表[[#This Row],[TYPE]])</f>
        <v/>
      </c>
      <c r="N1140" s="22">
        <f t="array" ref="N1140">_xlfn.XLOOKUP(非皮卡压缩表[[#This Row],[MODEL]],MODEL缩写表[长MODEL],MODEL缩写表[短MODEL],非皮卡压缩表[[#This Row],[MODEL]])</f>
        <v/>
      </c>
      <c r="O1140" s="22">
        <f>LEN(非皮卡压缩表[[#This Row],[SHORT-MODEL]])</f>
        <v/>
      </c>
      <c r="P1140" s="11">
        <f t="array" ref="P1140">TRIM(_xlfn.XLOOKUP(非皮卡压缩表[[#This Row],[BACKSIZE]],ALL尺码表[内部尺码],ALL尺码表[通用尺码]))</f>
        <v/>
      </c>
    </row>
    <row r="1141">
      <c r="A1141" s="17" t="inlineStr">
        <is>
          <t>ALL</t>
        </is>
      </c>
      <c r="B1141" s="18" t="inlineStr">
        <is>
          <t>Pontiac LeMans</t>
        </is>
      </c>
      <c r="C1141" s="18" t="inlineStr">
        <is>
          <t>Pontiac</t>
        </is>
      </c>
      <c r="D1141" s="18" t="inlineStr">
        <is>
          <t>LeMans</t>
        </is>
      </c>
      <c r="E1141" s="18" t="inlineStr">
        <is>
          <t>1968-1977</t>
        </is>
      </c>
      <c r="F1141" s="18" t="inlineStr"/>
      <c r="G1141" s="18" t="inlineStr">
        <is>
          <t>Hatchback/Wagon</t>
        </is>
      </c>
      <c r="H1141" s="18" t="inlineStr">
        <is>
          <t>无可用尺码</t>
        </is>
      </c>
      <c r="I1141" s="19">
        <f t="array" ref="I1141">TRIM(_xlfn.XLOOKUP(非皮卡压缩表[[#This Row],[BACKSIZE]],ALL尺码表[内部尺码],ALL尺码表[分类],""))</f>
        <v/>
      </c>
      <c r="J1141" s="19">
        <f t="array" ref="J1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1" s="20">
        <f>LEN(非皮卡压缩表[[#This Row],[LONG-TYPE]])</f>
        <v/>
      </c>
      <c r="L1141" s="21">
        <f t="array" ref="L1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1" s="22">
        <f>LEN(非皮卡压缩表[[#This Row],[TYPE]])</f>
        <v/>
      </c>
      <c r="N1141" s="22">
        <f t="array" ref="N1141">_xlfn.XLOOKUP(非皮卡压缩表[[#This Row],[MODEL]],MODEL缩写表[长MODEL],MODEL缩写表[短MODEL],非皮卡压缩表[[#This Row],[MODEL]])</f>
        <v/>
      </c>
      <c r="O1141" s="22">
        <f>LEN(非皮卡压缩表[[#This Row],[SHORT-MODEL]])</f>
        <v/>
      </c>
      <c r="P1141" s="11">
        <f t="array" ref="P1141">TRIM(_xlfn.XLOOKUP(非皮卡压缩表[[#This Row],[BACKSIZE]],ALL尺码表[内部尺码],ALL尺码表[通用尺码]))</f>
        <v/>
      </c>
    </row>
    <row r="1142">
      <c r="A1142" s="17" t="inlineStr">
        <is>
          <t>ALL</t>
        </is>
      </c>
      <c r="B1142" s="18" t="inlineStr">
        <is>
          <t>Pontiac LeMans</t>
        </is>
      </c>
      <c r="C1142" s="18" t="inlineStr">
        <is>
          <t>Pontiac</t>
        </is>
      </c>
      <c r="D1142" s="18" t="inlineStr">
        <is>
          <t>LeMans</t>
        </is>
      </c>
      <c r="E1142" s="18" t="inlineStr">
        <is>
          <t>1970-1971</t>
        </is>
      </c>
      <c r="F1142" s="18" t="inlineStr"/>
      <c r="G1142" s="18" t="inlineStr">
        <is>
          <t>Coupe</t>
        </is>
      </c>
      <c r="H1142" s="18" t="inlineStr">
        <is>
          <t>3XL+0</t>
        </is>
      </c>
      <c r="I1142" s="19">
        <f t="array" ref="I1142">TRIM(_xlfn.XLOOKUP(非皮卡压缩表[[#This Row],[BACKSIZE]],ALL尺码表[内部尺码],ALL尺码表[分类],""))</f>
        <v/>
      </c>
      <c r="J1142" s="19">
        <f t="array" ref="J1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2" s="20">
        <f>LEN(非皮卡压缩表[[#This Row],[LONG-TYPE]])</f>
        <v/>
      </c>
      <c r="L1142" s="21">
        <f t="array" ref="L1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2" s="22">
        <f>LEN(非皮卡压缩表[[#This Row],[TYPE]])</f>
        <v/>
      </c>
      <c r="N1142" s="22">
        <f t="array" ref="N1142">_xlfn.XLOOKUP(非皮卡压缩表[[#This Row],[MODEL]],MODEL缩写表[长MODEL],MODEL缩写表[短MODEL],非皮卡压缩表[[#This Row],[MODEL]])</f>
        <v/>
      </c>
      <c r="O1142" s="22">
        <f>LEN(非皮卡压缩表[[#This Row],[SHORT-MODEL]])</f>
        <v/>
      </c>
      <c r="P1142" s="11">
        <f t="array" ref="P1142">TRIM(_xlfn.XLOOKUP(非皮卡压缩表[[#This Row],[BACKSIZE]],ALL尺码表[内部尺码],ALL尺码表[通用尺码]))</f>
        <v/>
      </c>
    </row>
    <row r="1143" ht="30" customHeight="1" s="23">
      <c r="A1143" s="17" t="inlineStr">
        <is>
          <t>ALL</t>
        </is>
      </c>
      <c r="B1143" s="18" t="inlineStr">
        <is>
          <t>Pontiac LeMans</t>
        </is>
      </c>
      <c r="C1143" s="18" t="inlineStr">
        <is>
          <t>Pontiac</t>
        </is>
      </c>
      <c r="D1143" s="18" t="inlineStr">
        <is>
          <t>LeMans</t>
        </is>
      </c>
      <c r="E1143" s="18" t="inlineStr">
        <is>
          <t>1972-1977</t>
        </is>
      </c>
      <c r="F1143" s="18" t="inlineStr">
        <is>
          <t>Incl: Can Am</t>
        </is>
      </c>
      <c r="G1143" s="18" t="inlineStr">
        <is>
          <t>Convertible/Coupe</t>
        </is>
      </c>
      <c r="H1143" s="18" t="inlineStr">
        <is>
          <t>3XXL-0</t>
        </is>
      </c>
      <c r="I1143" s="19">
        <f t="array" ref="I1143">TRIM(_xlfn.XLOOKUP(非皮卡压缩表[[#This Row],[BACKSIZE]],ALL尺码表[内部尺码],ALL尺码表[分类],""))</f>
        <v/>
      </c>
      <c r="J1143" s="19">
        <f t="array" ref="J1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3" s="20">
        <f>LEN(非皮卡压缩表[[#This Row],[LONG-TYPE]])</f>
        <v/>
      </c>
      <c r="L1143" s="21">
        <f t="array" ref="L1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3" s="22">
        <f>LEN(非皮卡压缩表[[#This Row],[TYPE]])</f>
        <v/>
      </c>
      <c r="N1143" s="22">
        <f t="array" ref="N1143">_xlfn.XLOOKUP(非皮卡压缩表[[#This Row],[MODEL]],MODEL缩写表[长MODEL],MODEL缩写表[短MODEL],非皮卡压缩表[[#This Row],[MODEL]])</f>
        <v/>
      </c>
      <c r="O1143" s="22">
        <f>LEN(非皮卡压缩表[[#This Row],[SHORT-MODEL]])</f>
        <v/>
      </c>
      <c r="P1143" s="11">
        <f t="array" ref="P1143">TRIM(_xlfn.XLOOKUP(非皮卡压缩表[[#This Row],[BACKSIZE]],ALL尺码表[内部尺码],ALL尺码表[通用尺码]))</f>
        <v/>
      </c>
    </row>
    <row r="1144">
      <c r="A1144" s="17" t="inlineStr">
        <is>
          <t>ALL</t>
        </is>
      </c>
      <c r="B1144" s="18" t="inlineStr">
        <is>
          <t>Pontiac LeMans</t>
        </is>
      </c>
      <c r="C1144" s="18" t="inlineStr">
        <is>
          <t>Pontiac</t>
        </is>
      </c>
      <c r="D1144" s="18" t="inlineStr">
        <is>
          <t>LeMans</t>
        </is>
      </c>
      <c r="E1144" s="18" t="inlineStr">
        <is>
          <t>1973-1976</t>
        </is>
      </c>
      <c r="F1144" s="18" t="inlineStr"/>
      <c r="G1144" s="18" t="inlineStr">
        <is>
          <t>Sedan</t>
        </is>
      </c>
      <c r="H1144" s="18" t="inlineStr">
        <is>
          <t>3XXXL</t>
        </is>
      </c>
      <c r="I1144" s="19">
        <f t="array" ref="I1144">TRIM(_xlfn.XLOOKUP(非皮卡压缩表[[#This Row],[BACKSIZE]],ALL尺码表[内部尺码],ALL尺码表[分类],""))</f>
        <v/>
      </c>
      <c r="J1144" s="19">
        <f t="array" ref="J1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4" s="20">
        <f>LEN(非皮卡压缩表[[#This Row],[LONG-TYPE]])</f>
        <v/>
      </c>
      <c r="L1144" s="21">
        <f t="array" ref="L1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4" s="22">
        <f>LEN(非皮卡压缩表[[#This Row],[TYPE]])</f>
        <v/>
      </c>
      <c r="N1144" s="22">
        <f t="array" ref="N1144">_xlfn.XLOOKUP(非皮卡压缩表[[#This Row],[MODEL]],MODEL缩写表[长MODEL],MODEL缩写表[短MODEL],非皮卡压缩表[[#This Row],[MODEL]])</f>
        <v/>
      </c>
      <c r="O1144" s="22">
        <f>LEN(非皮卡压缩表[[#This Row],[SHORT-MODEL]])</f>
        <v/>
      </c>
      <c r="P1144" s="11">
        <f t="array" ref="P1144">TRIM(_xlfn.XLOOKUP(非皮卡压缩表[[#This Row],[BACKSIZE]],ALL尺码表[内部尺码],ALL尺码表[通用尺码]))</f>
        <v/>
      </c>
    </row>
    <row r="1145">
      <c r="A1145" s="17" t="inlineStr">
        <is>
          <t>ALL</t>
        </is>
      </c>
      <c r="B1145" s="18" t="inlineStr">
        <is>
          <t>Pontiac LeMans</t>
        </is>
      </c>
      <c r="C1145" s="18" t="inlineStr">
        <is>
          <t>Pontiac</t>
        </is>
      </c>
      <c r="D1145" s="18" t="inlineStr">
        <is>
          <t>LeMans</t>
        </is>
      </c>
      <c r="E1145" s="18" t="inlineStr">
        <is>
          <t>1977-1980</t>
        </is>
      </c>
      <c r="F1145" s="18" t="inlineStr"/>
      <c r="G1145" s="18" t="inlineStr">
        <is>
          <t>Sedan</t>
        </is>
      </c>
      <c r="H1145" s="18" t="inlineStr">
        <is>
          <t>3XXL</t>
        </is>
      </c>
      <c r="I1145" s="19">
        <f t="array" ref="I1145">TRIM(_xlfn.XLOOKUP(非皮卡压缩表[[#This Row],[BACKSIZE]],ALL尺码表[内部尺码],ALL尺码表[分类],""))</f>
        <v/>
      </c>
      <c r="J1145" s="19">
        <f t="array" ref="J1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5" s="20">
        <f>LEN(非皮卡压缩表[[#This Row],[LONG-TYPE]])</f>
        <v/>
      </c>
      <c r="L1145" s="21">
        <f t="array" ref="L1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5" s="22">
        <f>LEN(非皮卡压缩表[[#This Row],[TYPE]])</f>
        <v/>
      </c>
      <c r="N1145" s="22">
        <f t="array" ref="N1145">_xlfn.XLOOKUP(非皮卡压缩表[[#This Row],[MODEL]],MODEL缩写表[长MODEL],MODEL缩写表[短MODEL],非皮卡压缩表[[#This Row],[MODEL]])</f>
        <v/>
      </c>
      <c r="O1145" s="22">
        <f>LEN(非皮卡压缩表[[#This Row],[SHORT-MODEL]])</f>
        <v/>
      </c>
      <c r="P1145" s="11">
        <f t="array" ref="P1145">TRIM(_xlfn.XLOOKUP(非皮卡压缩表[[#This Row],[BACKSIZE]],ALL尺码表[内部尺码],ALL尺码表[通用尺码]))</f>
        <v/>
      </c>
    </row>
    <row r="1146" ht="30" customHeight="1" s="23">
      <c r="A1146" s="17" t="inlineStr">
        <is>
          <t>ALL</t>
        </is>
      </c>
      <c r="B1146" s="18" t="inlineStr">
        <is>
          <t>Pontiac LeMans</t>
        </is>
      </c>
      <c r="C1146" s="18" t="inlineStr">
        <is>
          <t>Pontiac</t>
        </is>
      </c>
      <c r="D1146" s="18" t="inlineStr">
        <is>
          <t>LeMans</t>
        </is>
      </c>
      <c r="E1146" s="18" t="inlineStr">
        <is>
          <t>1978-1980</t>
        </is>
      </c>
      <c r="F1146" s="18" t="inlineStr"/>
      <c r="G1146" s="18" t="inlineStr">
        <is>
          <t>Hatchback/Wagon</t>
        </is>
      </c>
      <c r="H1146" s="18" t="inlineStr">
        <is>
          <t>2XL+</t>
        </is>
      </c>
      <c r="I1146" s="19">
        <f t="array" ref="I1146">TRIM(_xlfn.XLOOKUP(非皮卡压缩表[[#This Row],[BACKSIZE]],ALL尺码表[内部尺码],ALL尺码表[分类],""))</f>
        <v/>
      </c>
      <c r="J1146" s="19">
        <f t="array" ref="J1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6" s="20">
        <f>LEN(非皮卡压缩表[[#This Row],[LONG-TYPE]])</f>
        <v/>
      </c>
      <c r="L1146" s="21">
        <f t="array" ref="L1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6" s="22">
        <f>LEN(非皮卡压缩表[[#This Row],[TYPE]])</f>
        <v/>
      </c>
      <c r="N1146" s="22">
        <f t="array" ref="N1146">_xlfn.XLOOKUP(非皮卡压缩表[[#This Row],[MODEL]],MODEL缩写表[长MODEL],MODEL缩写表[短MODEL],非皮卡压缩表[[#This Row],[MODEL]])</f>
        <v/>
      </c>
      <c r="O1146" s="22">
        <f>LEN(非皮卡压缩表[[#This Row],[SHORT-MODEL]])</f>
        <v/>
      </c>
      <c r="P1146" s="11">
        <f t="array" ref="P1146">TRIM(_xlfn.XLOOKUP(非皮卡压缩表[[#This Row],[BACKSIZE]],ALL尺码表[内部尺码],ALL尺码表[通用尺码]))</f>
        <v/>
      </c>
    </row>
    <row r="1147">
      <c r="A1147" s="17" t="inlineStr">
        <is>
          <t>ALL</t>
        </is>
      </c>
      <c r="B1147" s="18" t="inlineStr">
        <is>
          <t>Pontiac LeMans</t>
        </is>
      </c>
      <c r="C1147" s="18" t="inlineStr">
        <is>
          <t>Pontiac</t>
        </is>
      </c>
      <c r="D1147" s="18" t="inlineStr">
        <is>
          <t>LeMans</t>
        </is>
      </c>
      <c r="E1147" s="18" t="inlineStr">
        <is>
          <t>1978-1981</t>
        </is>
      </c>
      <c r="F1147" s="18" t="inlineStr"/>
      <c r="G1147" s="18" t="inlineStr">
        <is>
          <t>Coupe</t>
        </is>
      </c>
      <c r="H1147" s="18" t="inlineStr">
        <is>
          <t>3XL+0</t>
        </is>
      </c>
      <c r="I1147" s="19">
        <f t="array" ref="I1147">TRIM(_xlfn.XLOOKUP(非皮卡压缩表[[#This Row],[BACKSIZE]],ALL尺码表[内部尺码],ALL尺码表[分类],""))</f>
        <v/>
      </c>
      <c r="J1147" s="19">
        <f t="array" ref="J1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7" s="20">
        <f>LEN(非皮卡压缩表[[#This Row],[LONG-TYPE]])</f>
        <v/>
      </c>
      <c r="L1147" s="21">
        <f t="array" ref="L1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7" s="22">
        <f>LEN(非皮卡压缩表[[#This Row],[TYPE]])</f>
        <v/>
      </c>
      <c r="N1147" s="22">
        <f t="array" ref="N1147">_xlfn.XLOOKUP(非皮卡压缩表[[#This Row],[MODEL]],MODEL缩写表[长MODEL],MODEL缩写表[短MODEL],非皮卡压缩表[[#This Row],[MODEL]])</f>
        <v/>
      </c>
      <c r="O1147" s="22">
        <f>LEN(非皮卡压缩表[[#This Row],[SHORT-MODEL]])</f>
        <v/>
      </c>
      <c r="P1147" s="11">
        <f t="array" ref="P1147">TRIM(_xlfn.XLOOKUP(非皮卡压缩表[[#This Row],[BACKSIZE]],ALL尺码表[内部尺码],ALL尺码表[通用尺码]))</f>
        <v/>
      </c>
    </row>
    <row r="1148">
      <c r="A1148" s="17" t="inlineStr">
        <is>
          <t>ALL</t>
        </is>
      </c>
      <c r="B1148" s="18" t="inlineStr">
        <is>
          <t>Pontiac LeMans</t>
        </is>
      </c>
      <c r="C1148" s="18" t="inlineStr">
        <is>
          <t>Pontiac</t>
        </is>
      </c>
      <c r="D1148" s="18" t="inlineStr">
        <is>
          <t>LeMans</t>
        </is>
      </c>
      <c r="E1148" s="18" t="inlineStr">
        <is>
          <t>1988-1993</t>
        </is>
      </c>
      <c r="F1148" s="18" t="inlineStr"/>
      <c r="G1148" s="18" t="inlineStr">
        <is>
          <t>Hatchback</t>
        </is>
      </c>
      <c r="H1148" s="18" t="inlineStr">
        <is>
          <t>2L+</t>
        </is>
      </c>
      <c r="I1148" s="19">
        <f t="array" ref="I1148">TRIM(_xlfn.XLOOKUP(非皮卡压缩表[[#This Row],[BACKSIZE]],ALL尺码表[内部尺码],ALL尺码表[分类],""))</f>
        <v/>
      </c>
      <c r="J1148" s="19">
        <f t="array" ref="J1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8" s="20">
        <f>LEN(非皮卡压缩表[[#This Row],[LONG-TYPE]])</f>
        <v/>
      </c>
      <c r="L1148" s="21">
        <f t="array" ref="L1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8" s="22">
        <f>LEN(非皮卡压缩表[[#This Row],[TYPE]])</f>
        <v/>
      </c>
      <c r="N1148" s="22">
        <f t="array" ref="N1148">_xlfn.XLOOKUP(非皮卡压缩表[[#This Row],[MODEL]],MODEL缩写表[长MODEL],MODEL缩写表[短MODEL],非皮卡压缩表[[#This Row],[MODEL]])</f>
        <v/>
      </c>
      <c r="O1148" s="22">
        <f>LEN(非皮卡压缩表[[#This Row],[SHORT-MODEL]])</f>
        <v/>
      </c>
      <c r="P1148" s="11">
        <f t="array" ref="P1148">TRIM(_xlfn.XLOOKUP(非皮卡压缩表[[#This Row],[BACKSIZE]],ALL尺码表[内部尺码],ALL尺码表[通用尺码]))</f>
        <v/>
      </c>
    </row>
    <row r="1149">
      <c r="A1149" s="17" t="inlineStr">
        <is>
          <t>ALL</t>
        </is>
      </c>
      <c r="B1149" s="18" t="inlineStr">
        <is>
          <t>Pontiac LeMans</t>
        </is>
      </c>
      <c r="C1149" s="18" t="inlineStr">
        <is>
          <t>Pontiac</t>
        </is>
      </c>
      <c r="D1149" s="18" t="inlineStr">
        <is>
          <t>LeMans</t>
        </is>
      </c>
      <c r="E1149" s="18" t="inlineStr">
        <is>
          <t>1988-1993</t>
        </is>
      </c>
      <c r="F1149" s="18" t="inlineStr"/>
      <c r="G1149" s="18" t="inlineStr">
        <is>
          <t>Sedan</t>
        </is>
      </c>
      <c r="H1149" s="18" t="inlineStr">
        <is>
          <t>3L</t>
        </is>
      </c>
      <c r="I1149" s="19">
        <f t="array" ref="I1149">TRIM(_xlfn.XLOOKUP(非皮卡压缩表[[#This Row],[BACKSIZE]],ALL尺码表[内部尺码],ALL尺码表[分类],""))</f>
        <v/>
      </c>
      <c r="J1149" s="19">
        <f t="array" ref="J1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9" s="20">
        <f>LEN(非皮卡压缩表[[#This Row],[LONG-TYPE]])</f>
        <v/>
      </c>
      <c r="L1149" s="21">
        <f t="array" ref="L1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9" s="22">
        <f>LEN(非皮卡压缩表[[#This Row],[TYPE]])</f>
        <v/>
      </c>
      <c r="N1149" s="22">
        <f t="array" ref="N1149">_xlfn.XLOOKUP(非皮卡压缩表[[#This Row],[MODEL]],MODEL缩写表[长MODEL],MODEL缩写表[短MODEL],非皮卡压缩表[[#This Row],[MODEL]])</f>
        <v/>
      </c>
      <c r="O1149" s="22">
        <f>LEN(非皮卡压缩表[[#This Row],[SHORT-MODEL]])</f>
        <v/>
      </c>
      <c r="P1149" s="11">
        <f t="array" ref="P1149">TRIM(_xlfn.XLOOKUP(非皮卡压缩表[[#This Row],[BACKSIZE]],ALL尺码表[内部尺码],ALL尺码表[通用尺码]))</f>
        <v/>
      </c>
    </row>
    <row r="1150">
      <c r="A1150" s="17" t="inlineStr">
        <is>
          <t>ALL</t>
        </is>
      </c>
      <c r="B1150" s="18" t="inlineStr">
        <is>
          <t>Pontiac LeMans</t>
        </is>
      </c>
      <c r="C1150" s="18" t="inlineStr">
        <is>
          <t>Pontiac</t>
        </is>
      </c>
      <c r="D1150" s="18" t="inlineStr">
        <is>
          <t>LeMans</t>
        </is>
      </c>
      <c r="E1150" s="18" t="inlineStr">
        <is>
          <t>1993</t>
        </is>
      </c>
      <c r="F1150" s="18" t="inlineStr"/>
      <c r="G1150" s="18" t="inlineStr">
        <is>
          <t>Coupe</t>
        </is>
      </c>
      <c r="H1150" s="18" t="inlineStr">
        <is>
          <t>3M-0</t>
        </is>
      </c>
      <c r="I1150" s="19">
        <f t="array" ref="I1150">TRIM(_xlfn.XLOOKUP(非皮卡压缩表[[#This Row],[BACKSIZE]],ALL尺码表[内部尺码],ALL尺码表[分类],""))</f>
        <v/>
      </c>
      <c r="J1150" s="19">
        <f t="array" ref="J1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0" s="20">
        <f>LEN(非皮卡压缩表[[#This Row],[LONG-TYPE]])</f>
        <v/>
      </c>
      <c r="L1150" s="21">
        <f t="array" ref="L1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0" s="22">
        <f>LEN(非皮卡压缩表[[#This Row],[TYPE]])</f>
        <v/>
      </c>
      <c r="N1150" s="22">
        <f t="array" ref="N1150">_xlfn.XLOOKUP(非皮卡压缩表[[#This Row],[MODEL]],MODEL缩写表[长MODEL],MODEL缩写表[短MODEL],非皮卡压缩表[[#This Row],[MODEL]])</f>
        <v/>
      </c>
      <c r="O1150" s="22">
        <f>LEN(非皮卡压缩表[[#This Row],[SHORT-MODEL]])</f>
        <v/>
      </c>
      <c r="P1150" s="11">
        <f t="array" ref="P1150">TRIM(_xlfn.XLOOKUP(非皮卡压缩表[[#This Row],[BACKSIZE]],ALL尺码表[内部尺码],ALL尺码表[通用尺码]))</f>
        <v/>
      </c>
    </row>
    <row r="1151">
      <c r="A1151" s="17" t="inlineStr">
        <is>
          <t>ALL</t>
        </is>
      </c>
      <c r="B1151" s="18" t="inlineStr">
        <is>
          <t>Pontiac Solstice</t>
        </is>
      </c>
      <c r="C1151" s="18" t="inlineStr">
        <is>
          <t>Pontiac</t>
        </is>
      </c>
      <c r="D1151" s="18" t="inlineStr">
        <is>
          <t>Solstice</t>
        </is>
      </c>
      <c r="E1151" s="18" t="inlineStr">
        <is>
          <t>2006-2009</t>
        </is>
      </c>
      <c r="F1151" s="18" t="inlineStr"/>
      <c r="G1151" s="18" t="inlineStr">
        <is>
          <t>Coupe/Roadster</t>
        </is>
      </c>
      <c r="H1151" s="18" t="inlineStr">
        <is>
          <t>3S-0</t>
        </is>
      </c>
      <c r="I1151" s="19">
        <f t="array" ref="I1151">TRIM(_xlfn.XLOOKUP(非皮卡压缩表[[#This Row],[BACKSIZE]],ALL尺码表[内部尺码],ALL尺码表[分类],""))</f>
        <v/>
      </c>
      <c r="J1151" s="19">
        <f t="array" ref="J1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1" s="20">
        <f>LEN(非皮卡压缩表[[#This Row],[LONG-TYPE]])</f>
        <v/>
      </c>
      <c r="L1151" s="21">
        <f t="array" ref="L1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1" s="22">
        <f>LEN(非皮卡压缩表[[#This Row],[TYPE]])</f>
        <v/>
      </c>
      <c r="N1151" s="22">
        <f t="array" ref="N1151">_xlfn.XLOOKUP(非皮卡压缩表[[#This Row],[MODEL]],MODEL缩写表[长MODEL],MODEL缩写表[短MODEL],非皮卡压缩表[[#This Row],[MODEL]])</f>
        <v/>
      </c>
      <c r="O1151" s="22">
        <f>LEN(非皮卡压缩表[[#This Row],[SHORT-MODEL]])</f>
        <v/>
      </c>
      <c r="P1151" s="11">
        <f t="array" ref="P1151">TRIM(_xlfn.XLOOKUP(非皮卡压缩表[[#This Row],[BACKSIZE]],ALL尺码表[内部尺码],ALL尺码表[通用尺码]))</f>
        <v/>
      </c>
    </row>
    <row r="1152">
      <c r="A1152" s="17" t="inlineStr">
        <is>
          <t>ALL</t>
        </is>
      </c>
      <c r="B1152" s="18" t="inlineStr">
        <is>
          <t>Pontiac Sunfire</t>
        </is>
      </c>
      <c r="C1152" s="18" t="inlineStr">
        <is>
          <t>Pontiac</t>
        </is>
      </c>
      <c r="D1152" s="18" t="inlineStr">
        <is>
          <t>Sunfire</t>
        </is>
      </c>
      <c r="E1152" s="18" t="inlineStr">
        <is>
          <t>1995-2005</t>
        </is>
      </c>
      <c r="F1152" s="18" t="inlineStr"/>
      <c r="G1152" s="18" t="inlineStr">
        <is>
          <t>Sedan</t>
        </is>
      </c>
      <c r="H1152" s="18" t="inlineStr">
        <is>
          <t>3L</t>
        </is>
      </c>
      <c r="I1152" s="19">
        <f t="array" ref="I1152">TRIM(_xlfn.XLOOKUP(非皮卡压缩表[[#This Row],[BACKSIZE]],ALL尺码表[内部尺码],ALL尺码表[分类],""))</f>
        <v/>
      </c>
      <c r="J1152" s="19">
        <f t="array" ref="J1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2" s="20">
        <f>LEN(非皮卡压缩表[[#This Row],[LONG-TYPE]])</f>
        <v/>
      </c>
      <c r="L1152" s="21">
        <f t="array" ref="L1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2" s="22">
        <f>LEN(非皮卡压缩表[[#This Row],[TYPE]])</f>
        <v/>
      </c>
      <c r="N1152" s="22">
        <f t="array" ref="N1152">_xlfn.XLOOKUP(非皮卡压缩表[[#This Row],[MODEL]],MODEL缩写表[长MODEL],MODEL缩写表[短MODEL],非皮卡压缩表[[#This Row],[MODEL]])</f>
        <v/>
      </c>
      <c r="O1152" s="22">
        <f>LEN(非皮卡压缩表[[#This Row],[SHORT-MODEL]])</f>
        <v/>
      </c>
      <c r="P1152" s="11">
        <f t="array" ref="P1152">TRIM(_xlfn.XLOOKUP(非皮卡压缩表[[#This Row],[BACKSIZE]],ALL尺码表[内部尺码],ALL尺码表[通用尺码]))</f>
        <v/>
      </c>
    </row>
    <row r="1153">
      <c r="A1153" s="17" t="inlineStr">
        <is>
          <t>ALL</t>
        </is>
      </c>
      <c r="B1153" s="18" t="inlineStr">
        <is>
          <t>Pontiac Sunfire</t>
        </is>
      </c>
      <c r="C1153" s="18" t="inlineStr">
        <is>
          <t>Pontiac</t>
        </is>
      </c>
      <c r="D1153" s="18" t="inlineStr">
        <is>
          <t>Sunfire</t>
        </is>
      </c>
      <c r="E1153" s="18" t="inlineStr">
        <is>
          <t>1995-2005</t>
        </is>
      </c>
      <c r="F1153" s="18" t="inlineStr"/>
      <c r="G1153" s="18" t="inlineStr">
        <is>
          <t>Convertible/Coupe</t>
        </is>
      </c>
      <c r="H1153" s="18" t="inlineStr">
        <is>
          <t>3L-0</t>
        </is>
      </c>
      <c r="I1153" s="19">
        <f t="array" ref="I1153">TRIM(_xlfn.XLOOKUP(非皮卡压缩表[[#This Row],[BACKSIZE]],ALL尺码表[内部尺码],ALL尺码表[分类],""))</f>
        <v/>
      </c>
      <c r="J1153" s="19">
        <f t="array" ref="J1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3" s="20">
        <f>LEN(非皮卡压缩表[[#This Row],[LONG-TYPE]])</f>
        <v/>
      </c>
      <c r="L1153" s="21">
        <f t="array" ref="L1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3" s="22">
        <f>LEN(非皮卡压缩表[[#This Row],[TYPE]])</f>
        <v/>
      </c>
      <c r="N1153" s="22">
        <f t="array" ref="N1153">_xlfn.XLOOKUP(非皮卡压缩表[[#This Row],[MODEL]],MODEL缩写表[长MODEL],MODEL缩写表[短MODEL],非皮卡压缩表[[#This Row],[MODEL]])</f>
        <v/>
      </c>
      <c r="O1153" s="22">
        <f>LEN(非皮卡压缩表[[#This Row],[SHORT-MODEL]])</f>
        <v/>
      </c>
      <c r="P1153" s="11">
        <f t="array" ref="P1153">TRIM(_xlfn.XLOOKUP(非皮卡压缩表[[#This Row],[BACKSIZE]],ALL尺码表[内部尺码],ALL尺码表[通用尺码]))</f>
        <v/>
      </c>
    </row>
    <row r="1154">
      <c r="A1154" s="17" t="inlineStr">
        <is>
          <t>ALL</t>
        </is>
      </c>
      <c r="B1154" s="18" t="inlineStr">
        <is>
          <t>Pontiac Torrent</t>
        </is>
      </c>
      <c r="C1154" s="18" t="inlineStr">
        <is>
          <t>Pontiac</t>
        </is>
      </c>
      <c r="D1154" s="18" t="inlineStr">
        <is>
          <t>Torrent</t>
        </is>
      </c>
      <c r="E1154" s="18" t="inlineStr">
        <is>
          <t>2006-2009</t>
        </is>
      </c>
      <c r="F1154" s="18" t="inlineStr"/>
      <c r="G1154" s="18" t="inlineStr">
        <is>
          <t>SUV</t>
        </is>
      </c>
      <c r="H1154" s="18" t="inlineStr">
        <is>
          <t>YL</t>
        </is>
      </c>
      <c r="I1154" s="19">
        <f t="array" ref="I1154">TRIM(_xlfn.XLOOKUP(非皮卡压缩表[[#This Row],[BACKSIZE]],ALL尺码表[内部尺码],ALL尺码表[分类],""))</f>
        <v/>
      </c>
      <c r="J1154" s="19">
        <f t="array" ref="J1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4" s="20">
        <f>LEN(非皮卡压缩表[[#This Row],[LONG-TYPE]])</f>
        <v/>
      </c>
      <c r="L1154" s="21">
        <f t="array" ref="L1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4" s="22">
        <f>LEN(非皮卡压缩表[[#This Row],[TYPE]])</f>
        <v/>
      </c>
      <c r="N1154" s="22">
        <f t="array" ref="N1154">_xlfn.XLOOKUP(非皮卡压缩表[[#This Row],[MODEL]],MODEL缩写表[长MODEL],MODEL缩写表[短MODEL],非皮卡压缩表[[#This Row],[MODEL]])</f>
        <v/>
      </c>
      <c r="O1154" s="22">
        <f>LEN(非皮卡压缩表[[#This Row],[SHORT-MODEL]])</f>
        <v/>
      </c>
      <c r="P1154" s="11">
        <f t="array" ref="P1154">TRIM(_xlfn.XLOOKUP(非皮卡压缩表[[#This Row],[BACKSIZE]],ALL尺码表[内部尺码],ALL尺码表[通用尺码]))</f>
        <v/>
      </c>
    </row>
    <row r="1155">
      <c r="A1155" s="17" t="inlineStr">
        <is>
          <t>ALL</t>
        </is>
      </c>
      <c r="B1155" s="18" t="inlineStr">
        <is>
          <t>Pontiac Vibe</t>
        </is>
      </c>
      <c r="C1155" s="18" t="inlineStr">
        <is>
          <t>Pontiac</t>
        </is>
      </c>
      <c r="D1155" s="18" t="inlineStr">
        <is>
          <t>Vibe</t>
        </is>
      </c>
      <c r="E1155" s="18" t="inlineStr">
        <is>
          <t>2003-2010</t>
        </is>
      </c>
      <c r="F1155" s="18" t="inlineStr"/>
      <c r="G1155" s="18" t="inlineStr">
        <is>
          <t>Hatchback</t>
        </is>
      </c>
      <c r="H1155" s="18" t="inlineStr">
        <is>
          <t>2L+</t>
        </is>
      </c>
      <c r="I1155" s="19">
        <f t="array" ref="I1155">TRIM(_xlfn.XLOOKUP(非皮卡压缩表[[#This Row],[BACKSIZE]],ALL尺码表[内部尺码],ALL尺码表[分类],""))</f>
        <v/>
      </c>
      <c r="J1155" s="19">
        <f t="array" ref="J1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5" s="20">
        <f>LEN(非皮卡压缩表[[#This Row],[LONG-TYPE]])</f>
        <v/>
      </c>
      <c r="L1155" s="21">
        <f t="array" ref="L1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5" s="22">
        <f>LEN(非皮卡压缩表[[#This Row],[TYPE]])</f>
        <v/>
      </c>
      <c r="N1155" s="22">
        <f t="array" ref="N1155">_xlfn.XLOOKUP(非皮卡压缩表[[#This Row],[MODEL]],MODEL缩写表[长MODEL],MODEL缩写表[短MODEL],非皮卡压缩表[[#This Row],[MODEL]])</f>
        <v/>
      </c>
      <c r="O1155" s="22">
        <f>LEN(非皮卡压缩表[[#This Row],[SHORT-MODEL]])</f>
        <v/>
      </c>
      <c r="P1155" s="11">
        <f t="array" ref="P1155">TRIM(_xlfn.XLOOKUP(非皮卡压缩表[[#This Row],[BACKSIZE]],ALL尺码表[内部尺码],ALL尺码表[通用尺码]))</f>
        <v/>
      </c>
    </row>
    <row r="1156" ht="30" customHeight="1" s="23">
      <c r="A1156" s="17" t="inlineStr">
        <is>
          <t>ALL</t>
        </is>
      </c>
      <c r="B1156" s="18" t="inlineStr">
        <is>
          <t>Porsche 911</t>
        </is>
      </c>
      <c r="C1156" s="18" t="inlineStr">
        <is>
          <t>Porsche</t>
        </is>
      </c>
      <c r="D1156" s="18" t="inlineStr">
        <is>
          <t>911</t>
        </is>
      </c>
      <c r="E1156" s="18" t="inlineStr">
        <is>
          <t>1965-2016</t>
        </is>
      </c>
      <c r="F1156" s="18" t="inlineStr">
        <is>
          <t>Incl: GT2 RS</t>
        </is>
      </c>
      <c r="G1156" s="18" t="inlineStr">
        <is>
          <t>Convertible/Coupe/Targa</t>
        </is>
      </c>
      <c r="H1156" s="18" t="inlineStr">
        <is>
          <t>3M-0</t>
        </is>
      </c>
      <c r="I1156" s="19">
        <f t="array" ref="I1156">TRIM(_xlfn.XLOOKUP(非皮卡压缩表[[#This Row],[BACKSIZE]],ALL尺码表[内部尺码],ALL尺码表[分类],""))</f>
        <v/>
      </c>
      <c r="J1156" s="19">
        <f t="array" ref="J1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6" s="20">
        <f>LEN(非皮卡压缩表[[#This Row],[LONG-TYPE]])</f>
        <v/>
      </c>
      <c r="L1156" s="21">
        <f t="array" ref="L1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6" s="22">
        <f>LEN(非皮卡压缩表[[#This Row],[TYPE]])</f>
        <v/>
      </c>
      <c r="N1156" s="22">
        <f t="array" ref="N1156">_xlfn.XLOOKUP(非皮卡压缩表[[#This Row],[MODEL]],MODEL缩写表[长MODEL],MODEL缩写表[短MODEL],非皮卡压缩表[[#This Row],[MODEL]])</f>
        <v/>
      </c>
      <c r="O1156" s="22">
        <f>LEN(非皮卡压缩表[[#This Row],[SHORT-MODEL]])</f>
        <v/>
      </c>
      <c r="P1156" s="11">
        <f t="array" ref="P1156">TRIM(_xlfn.XLOOKUP(非皮卡压缩表[[#This Row],[BACKSIZE]],ALL尺码表[内部尺码],ALL尺码表[通用尺码]))</f>
        <v/>
      </c>
    </row>
    <row r="1157" ht="30" customHeight="1" s="23">
      <c r="A1157" s="17" t="inlineStr">
        <is>
          <t>ALL</t>
        </is>
      </c>
      <c r="B1157" s="18" t="inlineStr">
        <is>
          <t>Porsche 911</t>
        </is>
      </c>
      <c r="C1157" s="18" t="inlineStr">
        <is>
          <t>Porsche</t>
        </is>
      </c>
      <c r="D1157" s="18" t="inlineStr">
        <is>
          <t>911</t>
        </is>
      </c>
      <c r="E1157" s="18" t="inlineStr">
        <is>
          <t>1976-2005</t>
        </is>
      </c>
      <c r="F1157" s="18" t="inlineStr">
        <is>
          <t>GT2/GT3/GT3 RS/Turbo</t>
        </is>
      </c>
      <c r="G1157" s="18" t="inlineStr">
        <is>
          <t>Coupe</t>
        </is>
      </c>
      <c r="H1157" s="18" t="inlineStr">
        <is>
          <t>3M-0</t>
        </is>
      </c>
      <c r="I1157" s="19">
        <f t="array" ref="I1157">TRIM(_xlfn.XLOOKUP(非皮卡压缩表[[#This Row],[BACKSIZE]],ALL尺码表[内部尺码],ALL尺码表[分类],""))</f>
        <v/>
      </c>
      <c r="J1157" s="19">
        <f t="array" ref="J1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7" s="20">
        <f>LEN(非皮卡压缩表[[#This Row],[LONG-TYPE]])</f>
        <v/>
      </c>
      <c r="L1157" s="21">
        <f t="array" ref="L1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7" s="22">
        <f>LEN(非皮卡压缩表[[#This Row],[TYPE]])</f>
        <v/>
      </c>
      <c r="N1157" s="22">
        <f t="array" ref="N1157">_xlfn.XLOOKUP(非皮卡压缩表[[#This Row],[MODEL]],MODEL缩写表[长MODEL],MODEL缩写表[短MODEL],非皮卡压缩表[[#This Row],[MODEL]])</f>
        <v/>
      </c>
      <c r="O1157" s="22">
        <f>LEN(非皮卡压缩表[[#This Row],[SHORT-MODEL]])</f>
        <v/>
      </c>
      <c r="P1157" s="11">
        <f t="array" ref="P1157">TRIM(_xlfn.XLOOKUP(非皮卡压缩表[[#This Row],[BACKSIZE]],ALL尺码表[内部尺码],ALL尺码表[通用尺码]))</f>
        <v/>
      </c>
    </row>
    <row r="1158">
      <c r="A1158" s="17" t="inlineStr">
        <is>
          <t>ALL</t>
        </is>
      </c>
      <c r="B1158" s="18" t="inlineStr">
        <is>
          <t>Porsche 911</t>
        </is>
      </c>
      <c r="C1158" s="18" t="inlineStr">
        <is>
          <t>Porsche</t>
        </is>
      </c>
      <c r="D1158" s="18" t="inlineStr">
        <is>
          <t>911</t>
        </is>
      </c>
      <c r="E1158" s="18" t="inlineStr">
        <is>
          <t>2007-2011</t>
        </is>
      </c>
      <c r="F1158" s="18" t="inlineStr">
        <is>
          <t>GT2/GT3/GT3 RS</t>
        </is>
      </c>
      <c r="G1158" s="18" t="inlineStr">
        <is>
          <t>Coupe</t>
        </is>
      </c>
      <c r="H1158" s="18" t="inlineStr">
        <is>
          <t>3M-0</t>
        </is>
      </c>
      <c r="I1158" s="19">
        <f t="array" ref="I1158">TRIM(_xlfn.XLOOKUP(非皮卡压缩表[[#This Row],[BACKSIZE]],ALL尺码表[内部尺码],ALL尺码表[分类],""))</f>
        <v/>
      </c>
      <c r="J1158" s="19">
        <f t="array" ref="J1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8" s="20">
        <f>LEN(非皮卡压缩表[[#This Row],[LONG-TYPE]])</f>
        <v/>
      </c>
      <c r="L1158" s="21">
        <f t="array" ref="L1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8" s="22">
        <f>LEN(非皮卡压缩表[[#This Row],[TYPE]])</f>
        <v/>
      </c>
      <c r="N1158" s="22">
        <f t="array" ref="N1158">_xlfn.XLOOKUP(非皮卡压缩表[[#This Row],[MODEL]],MODEL缩写表[长MODEL],MODEL缩写表[短MODEL],非皮卡压缩表[[#This Row],[MODEL]])</f>
        <v/>
      </c>
      <c r="O1158" s="22">
        <f>LEN(非皮卡压缩表[[#This Row],[SHORT-MODEL]])</f>
        <v/>
      </c>
      <c r="P1158" s="11">
        <f t="array" ref="P1158">TRIM(_xlfn.XLOOKUP(非皮卡压缩表[[#This Row],[BACKSIZE]],ALL尺码表[内部尺码],ALL尺码表[通用尺码]))</f>
        <v/>
      </c>
    </row>
    <row r="1159">
      <c r="A1159" s="17" t="inlineStr">
        <is>
          <t>ALL</t>
        </is>
      </c>
      <c r="B1159" s="18" t="inlineStr">
        <is>
          <t>Porsche 911</t>
        </is>
      </c>
      <c r="C1159" s="18" t="inlineStr">
        <is>
          <t>Porsche</t>
        </is>
      </c>
      <c r="D1159" s="18" t="inlineStr">
        <is>
          <t>911</t>
        </is>
      </c>
      <c r="E1159" s="18" t="inlineStr">
        <is>
          <t>2007-2019</t>
        </is>
      </c>
      <c r="F1159" s="18" t="inlineStr">
        <is>
          <t>Turbo</t>
        </is>
      </c>
      <c r="G1159" s="18" t="inlineStr">
        <is>
          <t>Coupe</t>
        </is>
      </c>
      <c r="H1159" s="18" t="inlineStr">
        <is>
          <t>3M-0</t>
        </is>
      </c>
      <c r="I1159" s="19">
        <f t="array" ref="I1159">TRIM(_xlfn.XLOOKUP(非皮卡压缩表[[#This Row],[BACKSIZE]],ALL尺码表[内部尺码],ALL尺码表[分类],""))</f>
        <v/>
      </c>
      <c r="J1159" s="19">
        <f t="array" ref="J1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9" s="20">
        <f>LEN(非皮卡压缩表[[#This Row],[LONG-TYPE]])</f>
        <v/>
      </c>
      <c r="L1159" s="21">
        <f t="array" ref="L1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9" s="22">
        <f>LEN(非皮卡压缩表[[#This Row],[TYPE]])</f>
        <v/>
      </c>
      <c r="N1159" s="22">
        <f t="array" ref="N1159">_xlfn.XLOOKUP(非皮卡压缩表[[#This Row],[MODEL]],MODEL缩写表[长MODEL],MODEL缩写表[短MODEL],非皮卡压缩表[[#This Row],[MODEL]])</f>
        <v/>
      </c>
      <c r="O1159" s="22">
        <f>LEN(非皮卡压缩表[[#This Row],[SHORT-MODEL]])</f>
        <v/>
      </c>
      <c r="P1159" s="11">
        <f t="array" ref="P1159">TRIM(_xlfn.XLOOKUP(非皮卡压缩表[[#This Row],[BACKSIZE]],ALL尺码表[内部尺码],ALL尺码表[通用尺码]))</f>
        <v/>
      </c>
    </row>
    <row r="1160">
      <c r="A1160" s="17" t="inlineStr">
        <is>
          <t>ALL</t>
        </is>
      </c>
      <c r="B1160" s="18" t="inlineStr">
        <is>
          <t>Porsche 911</t>
        </is>
      </c>
      <c r="C1160" s="18" t="inlineStr">
        <is>
          <t>Porsche</t>
        </is>
      </c>
      <c r="D1160" s="18" t="inlineStr">
        <is>
          <t>911</t>
        </is>
      </c>
      <c r="E1160" s="18" t="inlineStr">
        <is>
          <t>2014-2016</t>
        </is>
      </c>
      <c r="F1160" s="18" t="inlineStr">
        <is>
          <t>GT3</t>
        </is>
      </c>
      <c r="G1160" s="18" t="inlineStr">
        <is>
          <t>Coupe</t>
        </is>
      </c>
      <c r="H1160" s="18" t="inlineStr">
        <is>
          <t>3M-0</t>
        </is>
      </c>
      <c r="I1160" s="19">
        <f t="array" ref="I1160">TRIM(_xlfn.XLOOKUP(非皮卡压缩表[[#This Row],[BACKSIZE]],ALL尺码表[内部尺码],ALL尺码表[分类],""))</f>
        <v/>
      </c>
      <c r="J1160" s="19">
        <f t="array" ref="J1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0" s="20">
        <f>LEN(非皮卡压缩表[[#This Row],[LONG-TYPE]])</f>
        <v/>
      </c>
      <c r="L1160" s="21">
        <f t="array" ref="L1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0" s="22">
        <f>LEN(非皮卡压缩表[[#This Row],[TYPE]])</f>
        <v/>
      </c>
      <c r="N1160" s="22">
        <f t="array" ref="N1160">_xlfn.XLOOKUP(非皮卡压缩表[[#This Row],[MODEL]],MODEL缩写表[长MODEL],MODEL缩写表[短MODEL],非皮卡压缩表[[#This Row],[MODEL]])</f>
        <v/>
      </c>
      <c r="O1160" s="22">
        <f>LEN(非皮卡压缩表[[#This Row],[SHORT-MODEL]])</f>
        <v/>
      </c>
      <c r="P1160" s="11">
        <f t="array" ref="P1160">TRIM(_xlfn.XLOOKUP(非皮卡压缩表[[#This Row],[BACKSIZE]],ALL尺码表[内部尺码],ALL尺码表[通用尺码]))</f>
        <v/>
      </c>
    </row>
    <row r="1161" ht="30" customHeight="1" s="23">
      <c r="A1161" s="17" t="inlineStr">
        <is>
          <t>ALL</t>
        </is>
      </c>
      <c r="B1161" s="18" t="inlineStr">
        <is>
          <t>Porsche 911</t>
        </is>
      </c>
      <c r="C1161" s="18" t="inlineStr">
        <is>
          <t>Porsche</t>
        </is>
      </c>
      <c r="D1161" s="18" t="inlineStr">
        <is>
          <t>911</t>
        </is>
      </c>
      <c r="E1161" s="18" t="inlineStr">
        <is>
          <t>2016-2019</t>
        </is>
      </c>
      <c r="F1161" s="18" t="inlineStr">
        <is>
          <t>GT2 RS/GT3 RS/Speedster</t>
        </is>
      </c>
      <c r="G1161" s="18" t="inlineStr">
        <is>
          <t>Coupe/Roadster</t>
        </is>
      </c>
      <c r="H1161" s="18" t="inlineStr">
        <is>
          <t>3L-0</t>
        </is>
      </c>
      <c r="I1161" s="19">
        <f t="array" ref="I1161">TRIM(_xlfn.XLOOKUP(非皮卡压缩表[[#This Row],[BACKSIZE]],ALL尺码表[内部尺码],ALL尺码表[分类],""))</f>
        <v/>
      </c>
      <c r="J1161" s="19">
        <f t="array" ref="J1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1" s="20">
        <f>LEN(非皮卡压缩表[[#This Row],[LONG-TYPE]])</f>
        <v/>
      </c>
      <c r="L1161" s="21">
        <f t="array" ref="L1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1" s="22">
        <f>LEN(非皮卡压缩表[[#This Row],[TYPE]])</f>
        <v/>
      </c>
      <c r="N1161" s="22">
        <f t="array" ref="N1161">_xlfn.XLOOKUP(非皮卡压缩表[[#This Row],[MODEL]],MODEL缩写表[长MODEL],MODEL缩写表[短MODEL],非皮卡压缩表[[#This Row],[MODEL]])</f>
        <v/>
      </c>
      <c r="O1161" s="22">
        <f>LEN(非皮卡压缩表[[#This Row],[SHORT-MODEL]])</f>
        <v/>
      </c>
      <c r="P1161" s="11">
        <f t="array" ref="P1161">TRIM(_xlfn.XLOOKUP(非皮卡压缩表[[#This Row],[BACKSIZE]],ALL尺码表[内部尺码],ALL尺码表[通用尺码]))</f>
        <v/>
      </c>
    </row>
    <row r="1162" ht="30" customHeight="1" s="23">
      <c r="A1162" s="17" t="inlineStr">
        <is>
          <t>ALL</t>
        </is>
      </c>
      <c r="B1162" s="18" t="inlineStr">
        <is>
          <t>Porsche 911</t>
        </is>
      </c>
      <c r="C1162" s="18" t="inlineStr">
        <is>
          <t>Porsche</t>
        </is>
      </c>
      <c r="D1162" s="18" t="inlineStr">
        <is>
          <t>911</t>
        </is>
      </c>
      <c r="E1162" s="18" t="inlineStr">
        <is>
          <t>2017-2019</t>
        </is>
      </c>
      <c r="F1162" s="18" t="inlineStr">
        <is>
          <t>Incl: GT3</t>
        </is>
      </c>
      <c r="G1162" s="18" t="inlineStr">
        <is>
          <t>Convertible/Coupe</t>
        </is>
      </c>
      <c r="H1162" s="18" t="inlineStr">
        <is>
          <t>3L-0</t>
        </is>
      </c>
      <c r="I1162" s="19">
        <f t="array" ref="I1162">TRIM(_xlfn.XLOOKUP(非皮卡压缩表[[#This Row],[BACKSIZE]],ALL尺码表[内部尺码],ALL尺码表[分类],""))</f>
        <v/>
      </c>
      <c r="J1162" s="19">
        <f t="array" ref="J1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2" s="20">
        <f>LEN(非皮卡压缩表[[#This Row],[LONG-TYPE]])</f>
        <v/>
      </c>
      <c r="L1162" s="21">
        <f t="array" ref="L1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2" s="22">
        <f>LEN(非皮卡压缩表[[#This Row],[TYPE]])</f>
        <v/>
      </c>
      <c r="N1162" s="22">
        <f t="array" ref="N1162">_xlfn.XLOOKUP(非皮卡压缩表[[#This Row],[MODEL]],MODEL缩写表[长MODEL],MODEL缩写表[短MODEL],非皮卡压缩表[[#This Row],[MODEL]])</f>
        <v/>
      </c>
      <c r="O1162" s="22">
        <f>LEN(非皮卡压缩表[[#This Row],[SHORT-MODEL]])</f>
        <v/>
      </c>
      <c r="P1162" s="11">
        <f t="array" ref="P1162">TRIM(_xlfn.XLOOKUP(非皮卡压缩表[[#This Row],[BACKSIZE]],ALL尺码表[内部尺码],ALL尺码表[通用尺码]))</f>
        <v/>
      </c>
    </row>
    <row r="1163">
      <c r="A1163" s="17" t="inlineStr">
        <is>
          <t>ALL</t>
        </is>
      </c>
      <c r="B1163" s="18" t="inlineStr">
        <is>
          <t>Porsche 911</t>
        </is>
      </c>
      <c r="C1163" s="18" t="inlineStr">
        <is>
          <t>Porsche</t>
        </is>
      </c>
      <c r="D1163" s="18" t="inlineStr">
        <is>
          <t>911</t>
        </is>
      </c>
      <c r="E1163" s="18" t="inlineStr">
        <is>
          <t>2020-2024</t>
        </is>
      </c>
      <c r="F1163" s="18" t="inlineStr"/>
      <c r="G1163" s="18" t="inlineStr">
        <is>
          <t>Convertible/Coupe/Targa</t>
        </is>
      </c>
      <c r="H1163" s="18" t="inlineStr">
        <is>
          <t>3M-0</t>
        </is>
      </c>
      <c r="I1163" s="19">
        <f t="array" ref="I1163">TRIM(_xlfn.XLOOKUP(非皮卡压缩表[[#This Row],[BACKSIZE]],ALL尺码表[内部尺码],ALL尺码表[分类],""))</f>
        <v/>
      </c>
      <c r="J1163" s="19">
        <f t="array" ref="J1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3" s="20">
        <f>LEN(非皮卡压缩表[[#This Row],[LONG-TYPE]])</f>
        <v/>
      </c>
      <c r="L1163" s="21">
        <f t="array" ref="L1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3" s="22">
        <f>LEN(非皮卡压缩表[[#This Row],[TYPE]])</f>
        <v/>
      </c>
      <c r="N1163" s="22">
        <f t="array" ref="N1163">_xlfn.XLOOKUP(非皮卡压缩表[[#This Row],[MODEL]],MODEL缩写表[长MODEL],MODEL缩写表[短MODEL],非皮卡压缩表[[#This Row],[MODEL]])</f>
        <v/>
      </c>
      <c r="O1163" s="22">
        <f>LEN(非皮卡压缩表[[#This Row],[SHORT-MODEL]])</f>
        <v/>
      </c>
      <c r="P1163" s="11">
        <f t="array" ref="P1163">TRIM(_xlfn.XLOOKUP(非皮卡压缩表[[#This Row],[BACKSIZE]],ALL尺码表[内部尺码],ALL尺码表[通用尺码]))</f>
        <v/>
      </c>
    </row>
    <row r="1164" ht="30" customHeight="1" s="23">
      <c r="A1164" s="17" t="inlineStr">
        <is>
          <t>ALL</t>
        </is>
      </c>
      <c r="B1164" s="18" t="inlineStr">
        <is>
          <t>Porsche 911</t>
        </is>
      </c>
      <c r="C1164" s="18" t="inlineStr">
        <is>
          <t>Porsche</t>
        </is>
      </c>
      <c r="D1164" s="18" t="inlineStr">
        <is>
          <t>911</t>
        </is>
      </c>
      <c r="E1164" s="18" t="inlineStr">
        <is>
          <t>2021-2026</t>
        </is>
      </c>
      <c r="F1164" s="18" t="inlineStr">
        <is>
          <t>Dakar/GT3/GT3 RS/Turbo</t>
        </is>
      </c>
      <c r="G1164" s="18" t="inlineStr">
        <is>
          <t>Coupe</t>
        </is>
      </c>
      <c r="H1164" s="18" t="inlineStr">
        <is>
          <t>3L-0</t>
        </is>
      </c>
      <c r="I1164" s="19">
        <f t="array" ref="I1164">TRIM(_xlfn.XLOOKUP(非皮卡压缩表[[#This Row],[BACKSIZE]],ALL尺码表[内部尺码],ALL尺码表[分类],""))</f>
        <v/>
      </c>
      <c r="J1164" s="19">
        <f t="array" ref="J1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4" s="20">
        <f>LEN(非皮卡压缩表[[#This Row],[LONG-TYPE]])</f>
        <v/>
      </c>
      <c r="L1164" s="21">
        <f t="array" ref="L1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4" s="22">
        <f>LEN(非皮卡压缩表[[#This Row],[TYPE]])</f>
        <v/>
      </c>
      <c r="N1164" s="22">
        <f t="array" ref="N1164">_xlfn.XLOOKUP(非皮卡压缩表[[#This Row],[MODEL]],MODEL缩写表[长MODEL],MODEL缩写表[短MODEL],非皮卡压缩表[[#This Row],[MODEL]])</f>
        <v/>
      </c>
      <c r="O1164" s="22">
        <f>LEN(非皮卡压缩表[[#This Row],[SHORT-MODEL]])</f>
        <v/>
      </c>
      <c r="P1164" s="11">
        <f t="array" ref="P1164">TRIM(_xlfn.XLOOKUP(非皮卡压缩表[[#This Row],[BACKSIZE]],ALL尺码表[内部尺码],ALL尺码表[通用尺码]))</f>
        <v/>
      </c>
    </row>
    <row r="1165">
      <c r="A1165" s="17" t="inlineStr">
        <is>
          <t>ALL</t>
        </is>
      </c>
      <c r="B1165" s="18" t="inlineStr">
        <is>
          <t>Porsche 911</t>
        </is>
      </c>
      <c r="C1165" s="18" t="inlineStr">
        <is>
          <t>Porsche</t>
        </is>
      </c>
      <c r="D1165" s="18" t="inlineStr">
        <is>
          <t>911</t>
        </is>
      </c>
      <c r="E1165" s="18" t="inlineStr">
        <is>
          <t>2025-2026</t>
        </is>
      </c>
      <c r="F1165" s="18" t="inlineStr"/>
      <c r="G1165" s="18" t="inlineStr">
        <is>
          <t>Coupe</t>
        </is>
      </c>
      <c r="H1165" s="18" t="inlineStr">
        <is>
          <t>3L-0</t>
        </is>
      </c>
      <c r="I1165" s="19">
        <f t="array" ref="I1165">TRIM(_xlfn.XLOOKUP(非皮卡压缩表[[#This Row],[BACKSIZE]],ALL尺码表[内部尺码],ALL尺码表[分类],""))</f>
        <v/>
      </c>
      <c r="J1165" s="19">
        <f t="array" ref="J1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5" s="20">
        <f>LEN(非皮卡压缩表[[#This Row],[LONG-TYPE]])</f>
        <v/>
      </c>
      <c r="L1165" s="21">
        <f t="array" ref="L1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5" s="22">
        <f>LEN(非皮卡压缩表[[#This Row],[TYPE]])</f>
        <v/>
      </c>
      <c r="N1165" s="22">
        <f t="array" ref="N1165">_xlfn.XLOOKUP(非皮卡压缩表[[#This Row],[MODEL]],MODEL缩写表[长MODEL],MODEL缩写表[短MODEL],非皮卡压缩表[[#This Row],[MODEL]])</f>
        <v/>
      </c>
      <c r="O1165" s="22">
        <f>LEN(非皮卡压缩表[[#This Row],[SHORT-MODEL]])</f>
        <v/>
      </c>
      <c r="P1165" s="11">
        <f t="array" ref="P1165">TRIM(_xlfn.XLOOKUP(非皮卡压缩表[[#This Row],[BACKSIZE]],ALL尺码表[内部尺码],ALL尺码表[通用尺码]))</f>
        <v/>
      </c>
    </row>
    <row r="1166">
      <c r="A1166" s="17" t="inlineStr">
        <is>
          <t>ALL</t>
        </is>
      </c>
      <c r="B1166" s="18" t="inlineStr">
        <is>
          <t>Porsche 912</t>
        </is>
      </c>
      <c r="C1166" s="18" t="inlineStr">
        <is>
          <t>Porsche</t>
        </is>
      </c>
      <c r="D1166" s="18" t="inlineStr">
        <is>
          <t>912</t>
        </is>
      </c>
      <c r="E1166" s="18" t="inlineStr">
        <is>
          <t>1965-1969</t>
        </is>
      </c>
      <c r="F1166" s="18" t="inlineStr"/>
      <c r="G1166" s="18" t="inlineStr">
        <is>
          <t>Coupe</t>
        </is>
      </c>
      <c r="H1166" s="18" t="inlineStr">
        <is>
          <t>3S-0</t>
        </is>
      </c>
      <c r="I1166" s="19">
        <f t="array" ref="I1166">TRIM(_xlfn.XLOOKUP(非皮卡压缩表[[#This Row],[BACKSIZE]],ALL尺码表[内部尺码],ALL尺码表[分类],""))</f>
        <v/>
      </c>
      <c r="J1166" s="19">
        <f t="array" ref="J1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6" s="20">
        <f>LEN(非皮卡压缩表[[#This Row],[LONG-TYPE]])</f>
        <v/>
      </c>
      <c r="L1166" s="21">
        <f t="array" ref="L1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6" s="22">
        <f>LEN(非皮卡压缩表[[#This Row],[TYPE]])</f>
        <v/>
      </c>
      <c r="N1166" s="22">
        <f t="array" ref="N1166">_xlfn.XLOOKUP(非皮卡压缩表[[#This Row],[MODEL]],MODEL缩写表[长MODEL],MODEL缩写表[短MODEL],非皮卡压缩表[[#This Row],[MODEL]])</f>
        <v/>
      </c>
      <c r="O1166" s="22">
        <f>LEN(非皮卡压缩表[[#This Row],[SHORT-MODEL]])</f>
        <v/>
      </c>
      <c r="P1166" s="11">
        <f t="array" ref="P1166">TRIM(_xlfn.XLOOKUP(非皮卡压缩表[[#This Row],[BACKSIZE]],ALL尺码表[内部尺码],ALL尺码表[通用尺码]))</f>
        <v/>
      </c>
    </row>
    <row r="1167">
      <c r="A1167" s="17" t="inlineStr">
        <is>
          <t>ALL</t>
        </is>
      </c>
      <c r="B1167" s="18" t="inlineStr">
        <is>
          <t>Porsche 912</t>
        </is>
      </c>
      <c r="C1167" s="18" t="inlineStr">
        <is>
          <t>Porsche</t>
        </is>
      </c>
      <c r="D1167" s="18" t="inlineStr">
        <is>
          <t>912</t>
        </is>
      </c>
      <c r="E1167" s="18" t="inlineStr">
        <is>
          <t>1976</t>
        </is>
      </c>
      <c r="F1167" s="18" t="inlineStr">
        <is>
          <t>912E</t>
        </is>
      </c>
      <c r="G1167" s="18" t="inlineStr">
        <is>
          <t>Coupe</t>
        </is>
      </c>
      <c r="H1167" s="18" t="inlineStr">
        <is>
          <t>3M-0</t>
        </is>
      </c>
      <c r="I1167" s="19">
        <f t="array" ref="I1167">TRIM(_xlfn.XLOOKUP(非皮卡压缩表[[#This Row],[BACKSIZE]],ALL尺码表[内部尺码],ALL尺码表[分类],""))</f>
        <v/>
      </c>
      <c r="J1167" s="19">
        <f t="array" ref="J1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7" s="20">
        <f>LEN(非皮卡压缩表[[#This Row],[LONG-TYPE]])</f>
        <v/>
      </c>
      <c r="L1167" s="21">
        <f t="array" ref="L1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7" s="22">
        <f>LEN(非皮卡压缩表[[#This Row],[TYPE]])</f>
        <v/>
      </c>
      <c r="N1167" s="22">
        <f t="array" ref="N1167">_xlfn.XLOOKUP(非皮卡压缩表[[#This Row],[MODEL]],MODEL缩写表[长MODEL],MODEL缩写表[短MODEL],非皮卡压缩表[[#This Row],[MODEL]])</f>
        <v/>
      </c>
      <c r="O1167" s="22">
        <f>LEN(非皮卡压缩表[[#This Row],[SHORT-MODEL]])</f>
        <v/>
      </c>
      <c r="P1167" s="11">
        <f t="array" ref="P1167">TRIM(_xlfn.XLOOKUP(非皮卡压缩表[[#This Row],[BACKSIZE]],ALL尺码表[内部尺码],ALL尺码表[通用尺码]))</f>
        <v/>
      </c>
    </row>
    <row r="1168">
      <c r="A1168" s="17" t="inlineStr">
        <is>
          <t>ALL</t>
        </is>
      </c>
      <c r="B1168" s="18" t="inlineStr">
        <is>
          <t>Porsche Boxster</t>
        </is>
      </c>
      <c r="C1168" s="18" t="inlineStr">
        <is>
          <t>Porsche</t>
        </is>
      </c>
      <c r="D1168" s="18" t="inlineStr">
        <is>
          <t>Boxster</t>
        </is>
      </c>
      <c r="E1168" s="18" t="inlineStr">
        <is>
          <t>1997-2025</t>
        </is>
      </c>
      <c r="F1168" s="18" t="inlineStr"/>
      <c r="G1168" s="18" t="inlineStr">
        <is>
          <t>Convertible/Coupe/Roadster</t>
        </is>
      </c>
      <c r="H1168" s="18" t="inlineStr">
        <is>
          <t>3M-0</t>
        </is>
      </c>
      <c r="I1168" s="19">
        <f t="array" ref="I1168">TRIM(_xlfn.XLOOKUP(非皮卡压缩表[[#This Row],[BACKSIZE]],ALL尺码表[内部尺码],ALL尺码表[分类],""))</f>
        <v/>
      </c>
      <c r="J1168" s="19">
        <f t="array" ref="J1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8" s="20">
        <f>LEN(非皮卡压缩表[[#This Row],[LONG-TYPE]])</f>
        <v/>
      </c>
      <c r="L1168" s="21">
        <f t="array" ref="L1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8" s="22">
        <f>LEN(非皮卡压缩表[[#This Row],[TYPE]])</f>
        <v/>
      </c>
      <c r="N1168" s="22">
        <f t="array" ref="N1168">_xlfn.XLOOKUP(非皮卡压缩表[[#This Row],[MODEL]],MODEL缩写表[长MODEL],MODEL缩写表[短MODEL],非皮卡压缩表[[#This Row],[MODEL]])</f>
        <v/>
      </c>
      <c r="O1168" s="22">
        <f>LEN(非皮卡压缩表[[#This Row],[SHORT-MODEL]])</f>
        <v/>
      </c>
      <c r="P1168" s="11">
        <f t="array" ref="P1168">TRIM(_xlfn.XLOOKUP(非皮卡压缩表[[#This Row],[BACKSIZE]],ALL尺码表[内部尺码],ALL尺码表[通用尺码]))</f>
        <v/>
      </c>
    </row>
    <row r="1169">
      <c r="A1169" s="17" t="inlineStr">
        <is>
          <t>ALL</t>
        </is>
      </c>
      <c r="B1169" s="18" t="inlineStr">
        <is>
          <t>Porsche Cayenne</t>
        </is>
      </c>
      <c r="C1169" s="18" t="inlineStr">
        <is>
          <t>Porsche</t>
        </is>
      </c>
      <c r="D1169" s="18" t="inlineStr">
        <is>
          <t>Cayenne</t>
        </is>
      </c>
      <c r="E1169" s="18" t="inlineStr">
        <is>
          <t>2003-2010</t>
        </is>
      </c>
      <c r="F1169" s="18" t="inlineStr"/>
      <c r="G1169" s="18" t="inlineStr">
        <is>
          <t>SUV</t>
        </is>
      </c>
      <c r="H1169" s="18" t="inlineStr">
        <is>
          <t>YL</t>
        </is>
      </c>
      <c r="I1169" s="19">
        <f t="array" ref="I1169">TRIM(_xlfn.XLOOKUP(非皮卡压缩表[[#This Row],[BACKSIZE]],ALL尺码表[内部尺码],ALL尺码表[分类],""))</f>
        <v/>
      </c>
      <c r="J1169" s="19">
        <f t="array" ref="J1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9" s="20">
        <f>LEN(非皮卡压缩表[[#This Row],[LONG-TYPE]])</f>
        <v/>
      </c>
      <c r="L1169" s="21">
        <f t="array" ref="L1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9" s="22">
        <f>LEN(非皮卡压缩表[[#This Row],[TYPE]])</f>
        <v/>
      </c>
      <c r="N1169" s="22">
        <f t="array" ref="N1169">_xlfn.XLOOKUP(非皮卡压缩表[[#This Row],[MODEL]],MODEL缩写表[长MODEL],MODEL缩写表[短MODEL],非皮卡压缩表[[#This Row],[MODEL]])</f>
        <v/>
      </c>
      <c r="O1169" s="22">
        <f>LEN(非皮卡压缩表[[#This Row],[SHORT-MODEL]])</f>
        <v/>
      </c>
      <c r="P1169" s="11">
        <f t="array" ref="P1169">TRIM(_xlfn.XLOOKUP(非皮卡压缩表[[#This Row],[BACKSIZE]],ALL尺码表[内部尺码],ALL尺码表[通用尺码]))</f>
        <v/>
      </c>
    </row>
    <row r="1170">
      <c r="A1170" s="17" t="inlineStr">
        <is>
          <t>ALL</t>
        </is>
      </c>
      <c r="B1170" s="18" t="inlineStr">
        <is>
          <t>Porsche Cayenne</t>
        </is>
      </c>
      <c r="C1170" s="18" t="inlineStr">
        <is>
          <t>Porsche</t>
        </is>
      </c>
      <c r="D1170" s="18" t="inlineStr">
        <is>
          <t>Cayenne</t>
        </is>
      </c>
      <c r="E1170" s="18" t="inlineStr">
        <is>
          <t>2011-2026</t>
        </is>
      </c>
      <c r="F1170" s="18" t="inlineStr"/>
      <c r="G1170" s="18" t="inlineStr">
        <is>
          <t>SUV</t>
        </is>
      </c>
      <c r="H1170" s="18" t="inlineStr">
        <is>
          <t>YXL</t>
        </is>
      </c>
      <c r="I1170" s="19">
        <f t="array" ref="I1170">TRIM(_xlfn.XLOOKUP(非皮卡压缩表[[#This Row],[BACKSIZE]],ALL尺码表[内部尺码],ALL尺码表[分类],""))</f>
        <v/>
      </c>
      <c r="J1170" s="19">
        <f t="array" ref="J1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0" s="20">
        <f>LEN(非皮卡压缩表[[#This Row],[LONG-TYPE]])</f>
        <v/>
      </c>
      <c r="L1170" s="21">
        <f t="array" ref="L1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0" s="22">
        <f>LEN(非皮卡压缩表[[#This Row],[TYPE]])</f>
        <v/>
      </c>
      <c r="N1170" s="22">
        <f t="array" ref="N1170">_xlfn.XLOOKUP(非皮卡压缩表[[#This Row],[MODEL]],MODEL缩写表[长MODEL],MODEL缩写表[短MODEL],非皮卡压缩表[[#This Row],[MODEL]])</f>
        <v/>
      </c>
      <c r="O1170" s="22">
        <f>LEN(非皮卡压缩表[[#This Row],[SHORT-MODEL]])</f>
        <v/>
      </c>
      <c r="P1170" s="11">
        <f t="array" ref="P1170">TRIM(_xlfn.XLOOKUP(非皮卡压缩表[[#This Row],[BACKSIZE]],ALL尺码表[内部尺码],ALL尺码表[通用尺码]))</f>
        <v/>
      </c>
    </row>
    <row r="1171">
      <c r="A1171" s="17" t="inlineStr">
        <is>
          <t>ALL</t>
        </is>
      </c>
      <c r="B1171" s="18" t="inlineStr">
        <is>
          <t>Porsche Cayenne</t>
        </is>
      </c>
      <c r="C1171" s="18" t="inlineStr">
        <is>
          <t>Porsche</t>
        </is>
      </c>
      <c r="D1171" s="18" t="inlineStr">
        <is>
          <t>Cayenne</t>
        </is>
      </c>
      <c r="E1171" s="18" t="inlineStr">
        <is>
          <t>2019-2026</t>
        </is>
      </c>
      <c r="F1171" s="18" t="inlineStr"/>
      <c r="G1171" s="18" t="inlineStr">
        <is>
          <t>Coupe</t>
        </is>
      </c>
      <c r="H1171" s="18" t="inlineStr">
        <is>
          <t>3XL+0</t>
        </is>
      </c>
      <c r="I1171" s="19">
        <f t="array" ref="I1171">TRIM(_xlfn.XLOOKUP(非皮卡压缩表[[#This Row],[BACKSIZE]],ALL尺码表[内部尺码],ALL尺码表[分类],""))</f>
        <v/>
      </c>
      <c r="J1171" s="19">
        <f t="array" ref="J1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1" s="20">
        <f>LEN(非皮卡压缩表[[#This Row],[LONG-TYPE]])</f>
        <v/>
      </c>
      <c r="L1171" s="21">
        <f t="array" ref="L1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1" s="22">
        <f>LEN(非皮卡压缩表[[#This Row],[TYPE]])</f>
        <v/>
      </c>
      <c r="N1171" s="22">
        <f t="array" ref="N1171">_xlfn.XLOOKUP(非皮卡压缩表[[#This Row],[MODEL]],MODEL缩写表[长MODEL],MODEL缩写表[短MODEL],非皮卡压缩表[[#This Row],[MODEL]])</f>
        <v/>
      </c>
      <c r="O1171" s="22">
        <f>LEN(非皮卡压缩表[[#This Row],[SHORT-MODEL]])</f>
        <v/>
      </c>
      <c r="P1171" s="11">
        <f t="array" ref="P1171">TRIM(_xlfn.XLOOKUP(非皮卡压缩表[[#This Row],[BACKSIZE]],ALL尺码表[内部尺码],ALL尺码表[通用尺码]))</f>
        <v/>
      </c>
    </row>
    <row r="1172">
      <c r="A1172" s="17" t="inlineStr">
        <is>
          <t>ALL</t>
        </is>
      </c>
      <c r="B1172" s="18" t="inlineStr">
        <is>
          <t>Porsche Cayman</t>
        </is>
      </c>
      <c r="C1172" s="18" t="inlineStr">
        <is>
          <t>Porsche</t>
        </is>
      </c>
      <c r="D1172" s="18" t="inlineStr">
        <is>
          <t>Cayman</t>
        </is>
      </c>
      <c r="E1172" s="18" t="inlineStr">
        <is>
          <t>2009-2025</t>
        </is>
      </c>
      <c r="F1172" s="18" t="inlineStr"/>
      <c r="G1172" s="18" t="inlineStr">
        <is>
          <t>Coupe</t>
        </is>
      </c>
      <c r="H1172" s="18" t="inlineStr">
        <is>
          <t>3M-0</t>
        </is>
      </c>
      <c r="I1172" s="19">
        <f t="array" ref="I1172">TRIM(_xlfn.XLOOKUP(非皮卡压缩表[[#This Row],[BACKSIZE]],ALL尺码表[内部尺码],ALL尺码表[分类],""))</f>
        <v/>
      </c>
      <c r="J1172" s="19">
        <f t="array" ref="J1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2" s="20">
        <f>LEN(非皮卡压缩表[[#This Row],[LONG-TYPE]])</f>
        <v/>
      </c>
      <c r="L1172" s="21">
        <f t="array" ref="L1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2" s="22">
        <f>LEN(非皮卡压缩表[[#This Row],[TYPE]])</f>
        <v/>
      </c>
      <c r="N1172" s="22">
        <f t="array" ref="N1172">_xlfn.XLOOKUP(非皮卡压缩表[[#This Row],[MODEL]],MODEL缩写表[长MODEL],MODEL缩写表[短MODEL],非皮卡压缩表[[#This Row],[MODEL]])</f>
        <v/>
      </c>
      <c r="O1172" s="22">
        <f>LEN(非皮卡压缩表[[#This Row],[SHORT-MODEL]])</f>
        <v/>
      </c>
      <c r="P1172" s="11">
        <f t="array" ref="P1172">TRIM(_xlfn.XLOOKUP(非皮卡压缩表[[#This Row],[BACKSIZE]],ALL尺码表[内部尺码],ALL尺码表[通用尺码]))</f>
        <v/>
      </c>
    </row>
    <row r="1173">
      <c r="A1173" s="17" t="inlineStr">
        <is>
          <t>ALL</t>
        </is>
      </c>
      <c r="B1173" s="18" t="inlineStr">
        <is>
          <t>Porsche Macan</t>
        </is>
      </c>
      <c r="C1173" s="18" t="inlineStr">
        <is>
          <t>Porsche</t>
        </is>
      </c>
      <c r="D1173" s="18" t="inlineStr">
        <is>
          <t>Macan</t>
        </is>
      </c>
      <c r="E1173" s="18" t="inlineStr">
        <is>
          <t>2015-2026</t>
        </is>
      </c>
      <c r="F1173" s="18" t="inlineStr"/>
      <c r="G1173" s="18" t="inlineStr">
        <is>
          <t>SUV</t>
        </is>
      </c>
      <c r="H1173" s="18" t="inlineStr">
        <is>
          <t>YL</t>
        </is>
      </c>
      <c r="I1173" s="19">
        <f t="array" ref="I1173">TRIM(_xlfn.XLOOKUP(非皮卡压缩表[[#This Row],[BACKSIZE]],ALL尺码表[内部尺码],ALL尺码表[分类],""))</f>
        <v/>
      </c>
      <c r="J1173" s="19">
        <f t="array" ref="J1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3" s="20">
        <f>LEN(非皮卡压缩表[[#This Row],[LONG-TYPE]])</f>
        <v/>
      </c>
      <c r="L1173" s="21">
        <f t="array" ref="L1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3" s="22">
        <f>LEN(非皮卡压缩表[[#This Row],[TYPE]])</f>
        <v/>
      </c>
      <c r="N1173" s="22">
        <f t="array" ref="N1173">_xlfn.XLOOKUP(非皮卡压缩表[[#This Row],[MODEL]],MODEL缩写表[长MODEL],MODEL缩写表[短MODEL],非皮卡压缩表[[#This Row],[MODEL]])</f>
        <v/>
      </c>
      <c r="O1173" s="22">
        <f>LEN(非皮卡压缩表[[#This Row],[SHORT-MODEL]])</f>
        <v/>
      </c>
      <c r="P1173" s="11">
        <f t="array" ref="P1173">TRIM(_xlfn.XLOOKUP(非皮卡压缩表[[#This Row],[BACKSIZE]],ALL尺码表[内部尺码],ALL尺码表[通用尺码]))</f>
        <v/>
      </c>
    </row>
    <row r="1174" ht="30" customHeight="1" s="23">
      <c r="A1174" s="17" t="inlineStr">
        <is>
          <t>ALL</t>
        </is>
      </c>
      <c r="B1174" s="18" t="inlineStr">
        <is>
          <t>Porsche Panamera</t>
        </is>
      </c>
      <c r="C1174" s="18" t="inlineStr">
        <is>
          <t>Porsche</t>
        </is>
      </c>
      <c r="D1174" s="18" t="inlineStr">
        <is>
          <t>Panamera</t>
        </is>
      </c>
      <c r="E1174" s="18" t="inlineStr">
        <is>
          <t>2010-2023</t>
        </is>
      </c>
      <c r="F1174" s="18" t="inlineStr">
        <is>
          <t>Incl: Sport Turismo</t>
        </is>
      </c>
      <c r="G1174" s="18" t="inlineStr">
        <is>
          <t>Hatchback/Wagon</t>
        </is>
      </c>
      <c r="H1174" s="18" t="inlineStr">
        <is>
          <t>2XL+</t>
        </is>
      </c>
      <c r="I1174" s="19">
        <f t="array" ref="I1174">TRIM(_xlfn.XLOOKUP(非皮卡压缩表[[#This Row],[BACKSIZE]],ALL尺码表[内部尺码],ALL尺码表[分类],""))</f>
        <v/>
      </c>
      <c r="J1174" s="19">
        <f t="array" ref="J1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4" s="20">
        <f>LEN(非皮卡压缩表[[#This Row],[LONG-TYPE]])</f>
        <v/>
      </c>
      <c r="L1174" s="21">
        <f t="array" ref="L1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4" s="22">
        <f>LEN(非皮卡压缩表[[#This Row],[TYPE]])</f>
        <v/>
      </c>
      <c r="N1174" s="22">
        <f t="array" ref="N1174">_xlfn.XLOOKUP(非皮卡压缩表[[#This Row],[MODEL]],MODEL缩写表[长MODEL],MODEL缩写表[短MODEL],非皮卡压缩表[[#This Row],[MODEL]])</f>
        <v/>
      </c>
      <c r="O1174" s="22">
        <f>LEN(非皮卡压缩表[[#This Row],[SHORT-MODEL]])</f>
        <v/>
      </c>
      <c r="P1174" s="11">
        <f t="array" ref="P1174">TRIM(_xlfn.XLOOKUP(非皮卡压缩表[[#This Row],[BACKSIZE]],ALL尺码表[内部尺码],ALL尺码表[通用尺码]))</f>
        <v/>
      </c>
    </row>
    <row r="1175" ht="30" customHeight="1" s="23">
      <c r="A1175" s="17" t="inlineStr">
        <is>
          <t>ALL</t>
        </is>
      </c>
      <c r="B1175" s="18" t="inlineStr">
        <is>
          <t>Porsche Panamera</t>
        </is>
      </c>
      <c r="C1175" s="18" t="inlineStr">
        <is>
          <t>Porsche</t>
        </is>
      </c>
      <c r="D1175" s="18" t="inlineStr">
        <is>
          <t>Panamera</t>
        </is>
      </c>
      <c r="E1175" s="18" t="inlineStr">
        <is>
          <t>2014-2016</t>
        </is>
      </c>
      <c r="F1175" s="18" t="inlineStr">
        <is>
          <t>Executive LWB</t>
        </is>
      </c>
      <c r="G1175" s="18" t="inlineStr">
        <is>
          <t>Liftback</t>
        </is>
      </c>
      <c r="H1175" s="18" t="inlineStr">
        <is>
          <t>2XXL</t>
        </is>
      </c>
      <c r="I1175" s="19">
        <f t="array" ref="I1175">TRIM(_xlfn.XLOOKUP(非皮卡压缩表[[#This Row],[BACKSIZE]],ALL尺码表[内部尺码],ALL尺码表[分类],""))</f>
        <v/>
      </c>
      <c r="J1175" s="19">
        <f t="array" ref="J1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5" s="20">
        <f>LEN(非皮卡压缩表[[#This Row],[LONG-TYPE]])</f>
        <v/>
      </c>
      <c r="L1175" s="21">
        <f t="array" ref="L1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5" s="22">
        <f>LEN(非皮卡压缩表[[#This Row],[TYPE]])</f>
        <v/>
      </c>
      <c r="N1175" s="22">
        <f t="array" ref="N1175">_xlfn.XLOOKUP(非皮卡压缩表[[#This Row],[MODEL]],MODEL缩写表[长MODEL],MODEL缩写表[短MODEL],非皮卡压缩表[[#This Row],[MODEL]])</f>
        <v/>
      </c>
      <c r="O1175" s="22">
        <f>LEN(非皮卡压缩表[[#This Row],[SHORT-MODEL]])</f>
        <v/>
      </c>
      <c r="P1175" s="11">
        <f t="array" ref="P1175">TRIM(_xlfn.XLOOKUP(非皮卡压缩表[[#This Row],[BACKSIZE]],ALL尺码表[内部尺码],ALL尺码表[通用尺码]))</f>
        <v/>
      </c>
    </row>
    <row r="1176">
      <c r="A1176" s="17" t="inlineStr">
        <is>
          <t>ALL</t>
        </is>
      </c>
      <c r="B1176" s="18" t="inlineStr">
        <is>
          <t>Porsche Panamera</t>
        </is>
      </c>
      <c r="C1176" s="18" t="inlineStr">
        <is>
          <t>Porsche</t>
        </is>
      </c>
      <c r="D1176" s="18" t="inlineStr">
        <is>
          <t>Panamera</t>
        </is>
      </c>
      <c r="E1176" s="18" t="inlineStr">
        <is>
          <t>2017-2026</t>
        </is>
      </c>
      <c r="F1176" s="18" t="inlineStr">
        <is>
          <t>Incl: Executive LWB</t>
        </is>
      </c>
      <c r="G1176" s="18" t="inlineStr">
        <is>
          <t>Liftback/Sportback</t>
        </is>
      </c>
      <c r="H1176" s="18" t="inlineStr">
        <is>
          <t>3XXL</t>
        </is>
      </c>
      <c r="I1176" s="19">
        <f t="array" ref="I1176">TRIM(_xlfn.XLOOKUP(非皮卡压缩表[[#This Row],[BACKSIZE]],ALL尺码表[内部尺码],ALL尺码表[分类],""))</f>
        <v/>
      </c>
      <c r="J1176" s="19">
        <f t="array" ref="J1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6" s="20">
        <f>LEN(非皮卡压缩表[[#This Row],[LONG-TYPE]])</f>
        <v/>
      </c>
      <c r="L1176" s="21">
        <f t="array" ref="L1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6" s="22">
        <f>LEN(非皮卡压缩表[[#This Row],[TYPE]])</f>
        <v/>
      </c>
      <c r="N1176" s="22">
        <f t="array" ref="N1176">_xlfn.XLOOKUP(非皮卡压缩表[[#This Row],[MODEL]],MODEL缩写表[长MODEL],MODEL缩写表[短MODEL],非皮卡压缩表[[#This Row],[MODEL]])</f>
        <v/>
      </c>
      <c r="O1176" s="22">
        <f>LEN(非皮卡压缩表[[#This Row],[SHORT-MODEL]])</f>
        <v/>
      </c>
      <c r="P1176" s="11">
        <f t="array" ref="P1176">TRIM(_xlfn.XLOOKUP(非皮卡压缩表[[#This Row],[BACKSIZE]],ALL尺码表[内部尺码],ALL尺码表[通用尺码]))</f>
        <v/>
      </c>
    </row>
    <row r="1177">
      <c r="A1177" s="17" t="inlineStr">
        <is>
          <t>ALL</t>
        </is>
      </c>
      <c r="B1177" s="18" t="inlineStr">
        <is>
          <t>Porsche Taycan</t>
        </is>
      </c>
      <c r="C1177" s="18" t="inlineStr">
        <is>
          <t>Porsche</t>
        </is>
      </c>
      <c r="D1177" s="18" t="inlineStr">
        <is>
          <t>Taycan</t>
        </is>
      </c>
      <c r="E1177" s="18" t="inlineStr">
        <is>
          <t>2020-2026</t>
        </is>
      </c>
      <c r="F1177" s="18" t="inlineStr">
        <is>
          <t>Incl: Turbo GT</t>
        </is>
      </c>
      <c r="G1177" s="18" t="inlineStr">
        <is>
          <t>Sedan</t>
        </is>
      </c>
      <c r="H1177" s="18" t="inlineStr">
        <is>
          <t>3XXL</t>
        </is>
      </c>
      <c r="I1177" s="19">
        <f t="array" ref="I1177">TRIM(_xlfn.XLOOKUP(非皮卡压缩表[[#This Row],[BACKSIZE]],ALL尺码表[内部尺码],ALL尺码表[分类],""))</f>
        <v/>
      </c>
      <c r="J1177" s="19">
        <f t="array" ref="J1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7" s="20">
        <f>LEN(非皮卡压缩表[[#This Row],[LONG-TYPE]])</f>
        <v/>
      </c>
      <c r="L1177" s="21">
        <f t="array" ref="L1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7" s="22">
        <f>LEN(非皮卡压缩表[[#This Row],[TYPE]])</f>
        <v/>
      </c>
      <c r="N1177" s="22">
        <f t="array" ref="N1177">_xlfn.XLOOKUP(非皮卡压缩表[[#This Row],[MODEL]],MODEL缩写表[长MODEL],MODEL缩写表[短MODEL],非皮卡压缩表[[#This Row],[MODEL]])</f>
        <v/>
      </c>
      <c r="O1177" s="22">
        <f>LEN(非皮卡压缩表[[#This Row],[SHORT-MODEL]])</f>
        <v/>
      </c>
      <c r="P1177" s="11">
        <f t="array" ref="P1177">TRIM(_xlfn.XLOOKUP(非皮卡压缩表[[#This Row],[BACKSIZE]],ALL尺码表[内部尺码],ALL尺码表[通用尺码]))</f>
        <v/>
      </c>
    </row>
    <row r="1178" ht="30" customHeight="1" s="23">
      <c r="A1178" s="17" t="inlineStr">
        <is>
          <t>ALL</t>
        </is>
      </c>
      <c r="B1178" s="18" t="inlineStr">
        <is>
          <t>Porsche Taycan</t>
        </is>
      </c>
      <c r="C1178" s="18" t="inlineStr">
        <is>
          <t>Porsche</t>
        </is>
      </c>
      <c r="D1178" s="18" t="inlineStr">
        <is>
          <t>Taycan</t>
        </is>
      </c>
      <c r="E1178" s="18" t="inlineStr">
        <is>
          <t>2021-2026</t>
        </is>
      </c>
      <c r="F1178" s="18" t="inlineStr">
        <is>
          <t>Incl: Cross Turismo/Sport Turismo</t>
        </is>
      </c>
      <c r="G1178" s="18" t="inlineStr">
        <is>
          <t>Wagon</t>
        </is>
      </c>
      <c r="H1178" s="18" t="inlineStr">
        <is>
          <t>2XL+</t>
        </is>
      </c>
      <c r="I1178" s="19">
        <f t="array" ref="I1178">TRIM(_xlfn.XLOOKUP(非皮卡压缩表[[#This Row],[BACKSIZE]],ALL尺码表[内部尺码],ALL尺码表[分类],""))</f>
        <v/>
      </c>
      <c r="J1178" s="19">
        <f t="array" ref="J1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8" s="20">
        <f>LEN(非皮卡压缩表[[#This Row],[LONG-TYPE]])</f>
        <v/>
      </c>
      <c r="L1178" s="21">
        <f t="array" ref="L1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8" s="22">
        <f>LEN(非皮卡压缩表[[#This Row],[TYPE]])</f>
        <v/>
      </c>
      <c r="N1178" s="22">
        <f t="array" ref="N1178">_xlfn.XLOOKUP(非皮卡压缩表[[#This Row],[MODEL]],MODEL缩写表[长MODEL],MODEL缩写表[短MODEL],非皮卡压缩表[[#This Row],[MODEL]])</f>
        <v/>
      </c>
      <c r="O1178" s="22">
        <f>LEN(非皮卡压缩表[[#This Row],[SHORT-MODEL]])</f>
        <v/>
      </c>
      <c r="P1178" s="11">
        <f t="array" ref="P1178">TRIM(_xlfn.XLOOKUP(非皮卡压缩表[[#This Row],[BACKSIZE]],ALL尺码表[内部尺码],ALL尺码表[通用尺码]))</f>
        <v/>
      </c>
    </row>
    <row r="1179">
      <c r="A1179" s="17" t="inlineStr">
        <is>
          <t>ALL</t>
        </is>
      </c>
      <c r="B1179" s="18" t="inlineStr">
        <is>
          <t>Rivian R1S</t>
        </is>
      </c>
      <c r="C1179" s="18" t="inlineStr">
        <is>
          <t>Rivian</t>
        </is>
      </c>
      <c r="D1179" s="18" t="inlineStr">
        <is>
          <t>R1S</t>
        </is>
      </c>
      <c r="E1179" s="18" t="inlineStr">
        <is>
          <t>2022-2026</t>
        </is>
      </c>
      <c r="F1179" s="18" t="inlineStr"/>
      <c r="G1179" s="18" t="inlineStr">
        <is>
          <t>SUV</t>
        </is>
      </c>
      <c r="H1179" s="18" t="inlineStr">
        <is>
          <t>YXL</t>
        </is>
      </c>
      <c r="I1179" s="19">
        <f t="array" ref="I1179">TRIM(_xlfn.XLOOKUP(非皮卡压缩表[[#This Row],[BACKSIZE]],ALL尺码表[内部尺码],ALL尺码表[分类],""))</f>
        <v/>
      </c>
      <c r="J1179" s="19">
        <f t="array" ref="J1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9" s="20">
        <f>LEN(非皮卡压缩表[[#This Row],[LONG-TYPE]])</f>
        <v/>
      </c>
      <c r="L1179" s="21">
        <f t="array" ref="L1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9" s="22">
        <f>LEN(非皮卡压缩表[[#This Row],[TYPE]])</f>
        <v/>
      </c>
      <c r="N1179" s="22">
        <f t="array" ref="N1179">_xlfn.XLOOKUP(非皮卡压缩表[[#This Row],[MODEL]],MODEL缩写表[长MODEL],MODEL缩写表[短MODEL],非皮卡压缩表[[#This Row],[MODEL]])</f>
        <v/>
      </c>
      <c r="O1179" s="22">
        <f>LEN(非皮卡压缩表[[#This Row],[SHORT-MODEL]])</f>
        <v/>
      </c>
      <c r="P1179" s="11">
        <f t="array" ref="P1179">TRIM(_xlfn.XLOOKUP(非皮卡压缩表[[#This Row],[BACKSIZE]],ALL尺码表[内部尺码],ALL尺码表[通用尺码]))</f>
        <v/>
      </c>
    </row>
    <row r="1180">
      <c r="A1180" s="17" t="inlineStr">
        <is>
          <t>ALL</t>
        </is>
      </c>
      <c r="B1180" s="18" t="inlineStr">
        <is>
          <t>Saab 9-3</t>
        </is>
      </c>
      <c r="C1180" s="18" t="inlineStr">
        <is>
          <t>Saab</t>
        </is>
      </c>
      <c r="D1180" s="18" t="inlineStr">
        <is>
          <t>9-3</t>
        </is>
      </c>
      <c r="E1180" s="18" t="inlineStr">
        <is>
          <t>1999-2011</t>
        </is>
      </c>
      <c r="F1180" s="18" t="inlineStr"/>
      <c r="G1180" s="18" t="inlineStr">
        <is>
          <t>Sedan</t>
        </is>
      </c>
      <c r="H1180" s="18" t="inlineStr">
        <is>
          <t>3L</t>
        </is>
      </c>
      <c r="I1180" s="19">
        <f t="array" ref="I1180">TRIM(_xlfn.XLOOKUP(非皮卡压缩表[[#This Row],[BACKSIZE]],ALL尺码表[内部尺码],ALL尺码表[分类],""))</f>
        <v/>
      </c>
      <c r="J1180" s="19">
        <f t="array" ref="J1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0" s="20">
        <f>LEN(非皮卡压缩表[[#This Row],[LONG-TYPE]])</f>
        <v/>
      </c>
      <c r="L1180" s="21">
        <f t="array" ref="L1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0" s="22">
        <f>LEN(非皮卡压缩表[[#This Row],[TYPE]])</f>
        <v/>
      </c>
      <c r="N1180" s="22">
        <f t="array" ref="N1180">_xlfn.XLOOKUP(非皮卡压缩表[[#This Row],[MODEL]],MODEL缩写表[长MODEL],MODEL缩写表[短MODEL],非皮卡压缩表[[#This Row],[MODEL]])</f>
        <v/>
      </c>
      <c r="O1180" s="22">
        <f>LEN(非皮卡压缩表[[#This Row],[SHORT-MODEL]])</f>
        <v/>
      </c>
      <c r="P1180" s="11">
        <f t="array" ref="P1180">TRIM(_xlfn.XLOOKUP(非皮卡压缩表[[#This Row],[BACKSIZE]],ALL尺码表[内部尺码],ALL尺码表[通用尺码]))</f>
        <v/>
      </c>
    </row>
    <row r="1181">
      <c r="A1181" s="17" t="inlineStr">
        <is>
          <t>ALL</t>
        </is>
      </c>
      <c r="B1181" s="18" t="inlineStr">
        <is>
          <t>Saab 9-3</t>
        </is>
      </c>
      <c r="C1181" s="18" t="inlineStr">
        <is>
          <t>Saab</t>
        </is>
      </c>
      <c r="D1181" s="18" t="inlineStr">
        <is>
          <t>9-3</t>
        </is>
      </c>
      <c r="E1181" s="18" t="inlineStr">
        <is>
          <t>1999-2011</t>
        </is>
      </c>
      <c r="F1181" s="18" t="inlineStr"/>
      <c r="G1181" s="18" t="inlineStr">
        <is>
          <t>Convertible</t>
        </is>
      </c>
      <c r="H1181" s="18" t="inlineStr">
        <is>
          <t>3L-0</t>
        </is>
      </c>
      <c r="I1181" s="19">
        <f t="array" ref="I1181">TRIM(_xlfn.XLOOKUP(非皮卡压缩表[[#This Row],[BACKSIZE]],ALL尺码表[内部尺码],ALL尺码表[分类],""))</f>
        <v/>
      </c>
      <c r="J1181" s="19">
        <f t="array" ref="J1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1" s="20">
        <f>LEN(非皮卡压缩表[[#This Row],[LONG-TYPE]])</f>
        <v/>
      </c>
      <c r="L1181" s="21">
        <f t="array" ref="L1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1" s="22">
        <f>LEN(非皮卡压缩表[[#This Row],[TYPE]])</f>
        <v/>
      </c>
      <c r="N1181" s="22">
        <f t="array" ref="N1181">_xlfn.XLOOKUP(非皮卡压缩表[[#This Row],[MODEL]],MODEL缩写表[长MODEL],MODEL缩写表[短MODEL],非皮卡压缩表[[#This Row],[MODEL]])</f>
        <v/>
      </c>
      <c r="O1181" s="22">
        <f>LEN(非皮卡压缩表[[#This Row],[SHORT-MODEL]])</f>
        <v/>
      </c>
      <c r="P1181" s="11">
        <f t="array" ref="P1181">TRIM(_xlfn.XLOOKUP(非皮卡压缩表[[#This Row],[BACKSIZE]],ALL尺码表[内部尺码],ALL尺码表[通用尺码]))</f>
        <v/>
      </c>
    </row>
    <row r="1182">
      <c r="A1182" s="17" t="inlineStr">
        <is>
          <t>ALL</t>
        </is>
      </c>
      <c r="B1182" s="18" t="inlineStr">
        <is>
          <t>Saab 9-3</t>
        </is>
      </c>
      <c r="C1182" s="18" t="inlineStr">
        <is>
          <t>Saab</t>
        </is>
      </c>
      <c r="D1182" s="18" t="inlineStr">
        <is>
          <t>9-3</t>
        </is>
      </c>
      <c r="E1182" s="18" t="inlineStr">
        <is>
          <t>2006-2011</t>
        </is>
      </c>
      <c r="F1182" s="18" t="inlineStr"/>
      <c r="G1182" s="18" t="inlineStr">
        <is>
          <t>Wagon</t>
        </is>
      </c>
      <c r="H1182" s="18" t="inlineStr">
        <is>
          <t>2XL</t>
        </is>
      </c>
      <c r="I1182" s="19">
        <f t="array" ref="I1182">TRIM(_xlfn.XLOOKUP(非皮卡压缩表[[#This Row],[BACKSIZE]],ALL尺码表[内部尺码],ALL尺码表[分类],""))</f>
        <v/>
      </c>
      <c r="J1182" s="19">
        <f t="array" ref="J1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2" s="20">
        <f>LEN(非皮卡压缩表[[#This Row],[LONG-TYPE]])</f>
        <v/>
      </c>
      <c r="L1182" s="21">
        <f t="array" ref="L1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2" s="22">
        <f>LEN(非皮卡压缩表[[#This Row],[TYPE]])</f>
        <v/>
      </c>
      <c r="N1182" s="22">
        <f t="array" ref="N1182">_xlfn.XLOOKUP(非皮卡压缩表[[#This Row],[MODEL]],MODEL缩写表[长MODEL],MODEL缩写表[短MODEL],非皮卡压缩表[[#This Row],[MODEL]])</f>
        <v/>
      </c>
      <c r="O1182" s="22">
        <f>LEN(非皮卡压缩表[[#This Row],[SHORT-MODEL]])</f>
        <v/>
      </c>
      <c r="P1182" s="11">
        <f t="array" ref="P1182">TRIM(_xlfn.XLOOKUP(非皮卡压缩表[[#This Row],[BACKSIZE]],ALL尺码表[内部尺码],ALL尺码表[通用尺码]))</f>
        <v/>
      </c>
    </row>
    <row r="1183">
      <c r="A1183" s="17" t="inlineStr">
        <is>
          <t>ALL</t>
        </is>
      </c>
      <c r="B1183" s="18" t="inlineStr">
        <is>
          <t>Saab 9-5</t>
        </is>
      </c>
      <c r="C1183" s="18" t="inlineStr">
        <is>
          <t>Saab</t>
        </is>
      </c>
      <c r="D1183" s="18" t="inlineStr">
        <is>
          <t>9-5</t>
        </is>
      </c>
      <c r="E1183" s="18" t="inlineStr">
        <is>
          <t>1999-2009</t>
        </is>
      </c>
      <c r="F1183" s="18" t="inlineStr"/>
      <c r="G1183" s="18" t="inlineStr">
        <is>
          <t>Wagon</t>
        </is>
      </c>
      <c r="H1183" s="18" t="inlineStr">
        <is>
          <t>2XL+</t>
        </is>
      </c>
      <c r="I1183" s="19">
        <f t="array" ref="I1183">TRIM(_xlfn.XLOOKUP(非皮卡压缩表[[#This Row],[BACKSIZE]],ALL尺码表[内部尺码],ALL尺码表[分类],""))</f>
        <v/>
      </c>
      <c r="J1183" s="19">
        <f t="array" ref="J1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3" s="20">
        <f>LEN(非皮卡压缩表[[#This Row],[LONG-TYPE]])</f>
        <v/>
      </c>
      <c r="L1183" s="21">
        <f t="array" ref="L1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3" s="22">
        <f>LEN(非皮卡压缩表[[#This Row],[TYPE]])</f>
        <v/>
      </c>
      <c r="N1183" s="22">
        <f t="array" ref="N1183">_xlfn.XLOOKUP(非皮卡压缩表[[#This Row],[MODEL]],MODEL缩写表[长MODEL],MODEL缩写表[短MODEL],非皮卡压缩表[[#This Row],[MODEL]])</f>
        <v/>
      </c>
      <c r="O1183" s="22">
        <f>LEN(非皮卡压缩表[[#This Row],[SHORT-MODEL]])</f>
        <v/>
      </c>
      <c r="P1183" s="11">
        <f t="array" ref="P1183">TRIM(_xlfn.XLOOKUP(非皮卡压缩表[[#This Row],[BACKSIZE]],ALL尺码表[内部尺码],ALL尺码表[通用尺码]))</f>
        <v/>
      </c>
    </row>
    <row r="1184">
      <c r="A1184" s="17" t="inlineStr">
        <is>
          <t>ALL</t>
        </is>
      </c>
      <c r="B1184" s="18" t="inlineStr">
        <is>
          <t>Saab 9-5</t>
        </is>
      </c>
      <c r="C1184" s="18" t="inlineStr">
        <is>
          <t>Saab</t>
        </is>
      </c>
      <c r="D1184" s="18" t="inlineStr">
        <is>
          <t>9-5</t>
        </is>
      </c>
      <c r="E1184" s="18" t="inlineStr">
        <is>
          <t>1999-2009</t>
        </is>
      </c>
      <c r="F1184" s="18" t="inlineStr"/>
      <c r="G1184" s="18" t="inlineStr">
        <is>
          <t>Sedan</t>
        </is>
      </c>
      <c r="H1184" s="18" t="inlineStr">
        <is>
          <t>3XL</t>
        </is>
      </c>
      <c r="I1184" s="19">
        <f t="array" ref="I1184">TRIM(_xlfn.XLOOKUP(非皮卡压缩表[[#This Row],[BACKSIZE]],ALL尺码表[内部尺码],ALL尺码表[分类],""))</f>
        <v/>
      </c>
      <c r="J1184" s="19">
        <f t="array" ref="J1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4" s="20">
        <f>LEN(非皮卡压缩表[[#This Row],[LONG-TYPE]])</f>
        <v/>
      </c>
      <c r="L1184" s="21">
        <f t="array" ref="L1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4" s="22">
        <f>LEN(非皮卡压缩表[[#This Row],[TYPE]])</f>
        <v/>
      </c>
      <c r="N1184" s="22">
        <f t="array" ref="N1184">_xlfn.XLOOKUP(非皮卡压缩表[[#This Row],[MODEL]],MODEL缩写表[长MODEL],MODEL缩写表[短MODEL],非皮卡压缩表[[#This Row],[MODEL]])</f>
        <v/>
      </c>
      <c r="O1184" s="22">
        <f>LEN(非皮卡压缩表[[#This Row],[SHORT-MODEL]])</f>
        <v/>
      </c>
      <c r="P1184" s="11">
        <f t="array" ref="P1184">TRIM(_xlfn.XLOOKUP(非皮卡压缩表[[#This Row],[BACKSIZE]],ALL尺码表[内部尺码],ALL尺码表[通用尺码]))</f>
        <v/>
      </c>
    </row>
    <row r="1185">
      <c r="A1185" s="17" t="inlineStr">
        <is>
          <t>ALL</t>
        </is>
      </c>
      <c r="B1185" s="18" t="inlineStr">
        <is>
          <t>Saab 9-5</t>
        </is>
      </c>
      <c r="C1185" s="18" t="inlineStr">
        <is>
          <t>Saab</t>
        </is>
      </c>
      <c r="D1185" s="18" t="inlineStr">
        <is>
          <t>9-5</t>
        </is>
      </c>
      <c r="E1185" s="18" t="inlineStr">
        <is>
          <t>2010-2011</t>
        </is>
      </c>
      <c r="F1185" s="18" t="inlineStr"/>
      <c r="G1185" s="18" t="inlineStr">
        <is>
          <t>Sedan</t>
        </is>
      </c>
      <c r="H1185" s="18" t="inlineStr">
        <is>
          <t>3XXL</t>
        </is>
      </c>
      <c r="I1185" s="19">
        <f t="array" ref="I1185">TRIM(_xlfn.XLOOKUP(非皮卡压缩表[[#This Row],[BACKSIZE]],ALL尺码表[内部尺码],ALL尺码表[分类],""))</f>
        <v/>
      </c>
      <c r="J1185" s="19">
        <f t="array" ref="J1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5" s="20">
        <f>LEN(非皮卡压缩表[[#This Row],[LONG-TYPE]])</f>
        <v/>
      </c>
      <c r="L1185" s="21">
        <f t="array" ref="L1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5" s="22">
        <f>LEN(非皮卡压缩表[[#This Row],[TYPE]])</f>
        <v/>
      </c>
      <c r="N1185" s="22">
        <f t="array" ref="N1185">_xlfn.XLOOKUP(非皮卡压缩表[[#This Row],[MODEL]],MODEL缩写表[长MODEL],MODEL缩写表[短MODEL],非皮卡压缩表[[#This Row],[MODEL]])</f>
        <v/>
      </c>
      <c r="O1185" s="22">
        <f>LEN(非皮卡压缩表[[#This Row],[SHORT-MODEL]])</f>
        <v/>
      </c>
      <c r="P1185" s="11">
        <f t="array" ref="P1185">TRIM(_xlfn.XLOOKUP(非皮卡压缩表[[#This Row],[BACKSIZE]],ALL尺码表[内部尺码],ALL尺码表[通用尺码]))</f>
        <v/>
      </c>
    </row>
    <row r="1186">
      <c r="A1186" s="17" t="inlineStr">
        <is>
          <t>ALL</t>
        </is>
      </c>
      <c r="B1186" s="18" t="inlineStr">
        <is>
          <t>Saab 900</t>
        </is>
      </c>
      <c r="C1186" s="18" t="inlineStr">
        <is>
          <t>Saab</t>
        </is>
      </c>
      <c r="D1186" s="18" t="inlineStr">
        <is>
          <t>900</t>
        </is>
      </c>
      <c r="E1186" s="18" t="inlineStr">
        <is>
          <t>1979-1998</t>
        </is>
      </c>
      <c r="F1186" s="18" t="inlineStr"/>
      <c r="G1186" s="18" t="inlineStr">
        <is>
          <t>Hatchback</t>
        </is>
      </c>
      <c r="H1186" s="18" t="inlineStr">
        <is>
          <t>2XL</t>
        </is>
      </c>
      <c r="I1186" s="19">
        <f t="array" ref="I1186">TRIM(_xlfn.XLOOKUP(非皮卡压缩表[[#This Row],[BACKSIZE]],ALL尺码表[内部尺码],ALL尺码表[分类],""))</f>
        <v/>
      </c>
      <c r="J1186" s="19">
        <f t="array" ref="J1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6" s="20">
        <f>LEN(非皮卡压缩表[[#This Row],[LONG-TYPE]])</f>
        <v/>
      </c>
      <c r="L1186" s="21">
        <f t="array" ref="L1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6" s="22">
        <f>LEN(非皮卡压缩表[[#This Row],[TYPE]])</f>
        <v/>
      </c>
      <c r="N1186" s="22">
        <f t="array" ref="N1186">_xlfn.XLOOKUP(非皮卡压缩表[[#This Row],[MODEL]],MODEL缩写表[长MODEL],MODEL缩写表[短MODEL],非皮卡压缩表[[#This Row],[MODEL]])</f>
        <v/>
      </c>
      <c r="O1186" s="22">
        <f>LEN(非皮卡压缩表[[#This Row],[SHORT-MODEL]])</f>
        <v/>
      </c>
      <c r="P1186" s="11">
        <f t="array" ref="P1186">TRIM(_xlfn.XLOOKUP(非皮卡压缩表[[#This Row],[BACKSIZE]],ALL尺码表[内部尺码],ALL尺码表[通用尺码]))</f>
        <v/>
      </c>
    </row>
    <row r="1187">
      <c r="A1187" s="17" t="inlineStr">
        <is>
          <t>ALL</t>
        </is>
      </c>
      <c r="B1187" s="18" t="inlineStr">
        <is>
          <t>Saab 900</t>
        </is>
      </c>
      <c r="C1187" s="18" t="inlineStr">
        <is>
          <t>Saab</t>
        </is>
      </c>
      <c r="D1187" s="18" t="inlineStr">
        <is>
          <t>900</t>
        </is>
      </c>
      <c r="E1187" s="18" t="inlineStr">
        <is>
          <t>1986-1998</t>
        </is>
      </c>
      <c r="F1187" s="18" t="inlineStr"/>
      <c r="G1187" s="18" t="inlineStr">
        <is>
          <t>Convertible</t>
        </is>
      </c>
      <c r="H1187" s="18" t="inlineStr">
        <is>
          <t>3L-0</t>
        </is>
      </c>
      <c r="I1187" s="19">
        <f t="array" ref="I1187">TRIM(_xlfn.XLOOKUP(非皮卡压缩表[[#This Row],[BACKSIZE]],ALL尺码表[内部尺码],ALL尺码表[分类],""))</f>
        <v/>
      </c>
      <c r="J1187" s="19">
        <f t="array" ref="J1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7" s="20">
        <f>LEN(非皮卡压缩表[[#This Row],[LONG-TYPE]])</f>
        <v/>
      </c>
      <c r="L1187" s="21">
        <f t="array" ref="L1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7" s="22">
        <f>LEN(非皮卡压缩表[[#This Row],[TYPE]])</f>
        <v/>
      </c>
      <c r="N1187" s="22">
        <f t="array" ref="N1187">_xlfn.XLOOKUP(非皮卡压缩表[[#This Row],[MODEL]],MODEL缩写表[长MODEL],MODEL缩写表[短MODEL],非皮卡压缩表[[#This Row],[MODEL]])</f>
        <v/>
      </c>
      <c r="O1187" s="22">
        <f>LEN(非皮卡压缩表[[#This Row],[SHORT-MODEL]])</f>
        <v/>
      </c>
      <c r="P1187" s="11">
        <f t="array" ref="P1187">TRIM(_xlfn.XLOOKUP(非皮卡压缩表[[#This Row],[BACKSIZE]],ALL尺码表[内部尺码],ALL尺码表[通用尺码]))</f>
        <v/>
      </c>
    </row>
    <row r="1188">
      <c r="A1188" s="17" t="inlineStr">
        <is>
          <t>ALL</t>
        </is>
      </c>
      <c r="B1188" s="18" t="inlineStr">
        <is>
          <t>Saturn Astra</t>
        </is>
      </c>
      <c r="C1188" s="18" t="inlineStr">
        <is>
          <t>Saturn</t>
        </is>
      </c>
      <c r="D1188" s="18" t="inlineStr">
        <is>
          <t>Astra</t>
        </is>
      </c>
      <c r="E1188" s="18" t="inlineStr">
        <is>
          <t>2008-2009</t>
        </is>
      </c>
      <c r="F1188" s="18" t="inlineStr"/>
      <c r="G1188" s="18" t="inlineStr">
        <is>
          <t>Hatchback</t>
        </is>
      </c>
      <c r="H1188" s="18" t="inlineStr">
        <is>
          <t>2L+</t>
        </is>
      </c>
      <c r="I1188" s="19">
        <f t="array" ref="I1188">TRIM(_xlfn.XLOOKUP(非皮卡压缩表[[#This Row],[BACKSIZE]],ALL尺码表[内部尺码],ALL尺码表[分类],""))</f>
        <v/>
      </c>
      <c r="J1188" s="19">
        <f t="array" ref="J1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8" s="20">
        <f>LEN(非皮卡压缩表[[#This Row],[LONG-TYPE]])</f>
        <v/>
      </c>
      <c r="L1188" s="21">
        <f t="array" ref="L1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8" s="22">
        <f>LEN(非皮卡压缩表[[#This Row],[TYPE]])</f>
        <v/>
      </c>
      <c r="N1188" s="22">
        <f t="array" ref="N1188">_xlfn.XLOOKUP(非皮卡压缩表[[#This Row],[MODEL]],MODEL缩写表[长MODEL],MODEL缩写表[短MODEL],非皮卡压缩表[[#This Row],[MODEL]])</f>
        <v/>
      </c>
      <c r="O1188" s="22">
        <f>LEN(非皮卡压缩表[[#This Row],[SHORT-MODEL]])</f>
        <v/>
      </c>
      <c r="P1188" s="11">
        <f t="array" ref="P1188">TRIM(_xlfn.XLOOKUP(非皮卡压缩表[[#This Row],[BACKSIZE]],ALL尺码表[内部尺码],ALL尺码表[通用尺码]))</f>
        <v/>
      </c>
    </row>
    <row r="1189">
      <c r="A1189" s="17" t="inlineStr">
        <is>
          <t>ALL</t>
        </is>
      </c>
      <c r="B1189" s="18" t="inlineStr">
        <is>
          <t>Saturn Aura</t>
        </is>
      </c>
      <c r="C1189" s="18" t="inlineStr">
        <is>
          <t>Saturn</t>
        </is>
      </c>
      <c r="D1189" s="18" t="inlineStr">
        <is>
          <t>Aura</t>
        </is>
      </c>
      <c r="E1189" s="18" t="inlineStr">
        <is>
          <t>2007-2009</t>
        </is>
      </c>
      <c r="F1189" s="18" t="inlineStr"/>
      <c r="G1189" s="18" t="inlineStr">
        <is>
          <t>Sedan</t>
        </is>
      </c>
      <c r="H1189" s="18" t="inlineStr">
        <is>
          <t>3XL</t>
        </is>
      </c>
      <c r="I1189" s="19">
        <f t="array" ref="I1189">TRIM(_xlfn.XLOOKUP(非皮卡压缩表[[#This Row],[BACKSIZE]],ALL尺码表[内部尺码],ALL尺码表[分类],""))</f>
        <v/>
      </c>
      <c r="J1189" s="19">
        <f t="array" ref="J1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9" s="20">
        <f>LEN(非皮卡压缩表[[#This Row],[LONG-TYPE]])</f>
        <v/>
      </c>
      <c r="L1189" s="21">
        <f t="array" ref="L1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9" s="22">
        <f>LEN(非皮卡压缩表[[#This Row],[TYPE]])</f>
        <v/>
      </c>
      <c r="N1189" s="22">
        <f t="array" ref="N1189">_xlfn.XLOOKUP(非皮卡压缩表[[#This Row],[MODEL]],MODEL缩写表[长MODEL],MODEL缩写表[短MODEL],非皮卡压缩表[[#This Row],[MODEL]])</f>
        <v/>
      </c>
      <c r="O1189" s="22">
        <f>LEN(非皮卡压缩表[[#This Row],[SHORT-MODEL]])</f>
        <v/>
      </c>
      <c r="P1189" s="11">
        <f t="array" ref="P1189">TRIM(_xlfn.XLOOKUP(非皮卡压缩表[[#This Row],[BACKSIZE]],ALL尺码表[内部尺码],ALL尺码表[通用尺码]))</f>
        <v/>
      </c>
    </row>
    <row r="1190">
      <c r="A1190" s="17" t="inlineStr">
        <is>
          <t>ALL</t>
        </is>
      </c>
      <c r="B1190" s="18" t="inlineStr">
        <is>
          <t>Saturn Ion</t>
        </is>
      </c>
      <c r="C1190" s="18" t="inlineStr">
        <is>
          <t>Saturn</t>
        </is>
      </c>
      <c r="D1190" s="18" t="inlineStr">
        <is>
          <t>Ion</t>
        </is>
      </c>
      <c r="E1190" s="18" t="inlineStr">
        <is>
          <t>2003-2007</t>
        </is>
      </c>
      <c r="F1190" s="18" t="inlineStr"/>
      <c r="G1190" s="18" t="inlineStr">
        <is>
          <t>Sedan</t>
        </is>
      </c>
      <c r="H1190" s="18" t="inlineStr">
        <is>
          <t>3L</t>
        </is>
      </c>
      <c r="I1190" s="19">
        <f t="array" ref="I1190">TRIM(_xlfn.XLOOKUP(非皮卡压缩表[[#This Row],[BACKSIZE]],ALL尺码表[内部尺码],ALL尺码表[分类],""))</f>
        <v/>
      </c>
      <c r="J1190" s="19">
        <f t="array" ref="J1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0" s="20">
        <f>LEN(非皮卡压缩表[[#This Row],[LONG-TYPE]])</f>
        <v/>
      </c>
      <c r="L1190" s="21">
        <f t="array" ref="L1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0" s="22">
        <f>LEN(非皮卡压缩表[[#This Row],[TYPE]])</f>
        <v/>
      </c>
      <c r="N1190" s="22">
        <f t="array" ref="N1190">_xlfn.XLOOKUP(非皮卡压缩表[[#This Row],[MODEL]],MODEL缩写表[长MODEL],MODEL缩写表[短MODEL],非皮卡压缩表[[#This Row],[MODEL]])</f>
        <v/>
      </c>
      <c r="O1190" s="22">
        <f>LEN(非皮卡压缩表[[#This Row],[SHORT-MODEL]])</f>
        <v/>
      </c>
      <c r="P1190" s="11">
        <f t="array" ref="P1190">TRIM(_xlfn.XLOOKUP(非皮卡压缩表[[#This Row],[BACKSIZE]],ALL尺码表[内部尺码],ALL尺码表[通用尺码]))</f>
        <v/>
      </c>
    </row>
    <row r="1191">
      <c r="A1191" s="17" t="inlineStr">
        <is>
          <t>ALL</t>
        </is>
      </c>
      <c r="B1191" s="18" t="inlineStr">
        <is>
          <t>Saturn Ion</t>
        </is>
      </c>
      <c r="C1191" s="18" t="inlineStr">
        <is>
          <t>Saturn</t>
        </is>
      </c>
      <c r="D1191" s="18" t="inlineStr">
        <is>
          <t>Ion</t>
        </is>
      </c>
      <c r="E1191" s="18" t="inlineStr">
        <is>
          <t>2003-2007</t>
        </is>
      </c>
      <c r="F1191" s="18" t="inlineStr"/>
      <c r="G1191" s="18" t="inlineStr">
        <is>
          <t>Coupe</t>
        </is>
      </c>
      <c r="H1191" s="18" t="inlineStr">
        <is>
          <t>3L-0</t>
        </is>
      </c>
      <c r="I1191" s="19">
        <f t="array" ref="I1191">TRIM(_xlfn.XLOOKUP(非皮卡压缩表[[#This Row],[BACKSIZE]],ALL尺码表[内部尺码],ALL尺码表[分类],""))</f>
        <v/>
      </c>
      <c r="J1191" s="19">
        <f t="array" ref="J1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1" s="20">
        <f>LEN(非皮卡压缩表[[#This Row],[LONG-TYPE]])</f>
        <v/>
      </c>
      <c r="L1191" s="21">
        <f t="array" ref="L1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1" s="22">
        <f>LEN(非皮卡压缩表[[#This Row],[TYPE]])</f>
        <v/>
      </c>
      <c r="N1191" s="22">
        <f t="array" ref="N1191">_xlfn.XLOOKUP(非皮卡压缩表[[#This Row],[MODEL]],MODEL缩写表[长MODEL],MODEL缩写表[短MODEL],非皮卡压缩表[[#This Row],[MODEL]])</f>
        <v/>
      </c>
      <c r="O1191" s="22">
        <f>LEN(非皮卡压缩表[[#This Row],[SHORT-MODEL]])</f>
        <v/>
      </c>
      <c r="P1191" s="11">
        <f t="array" ref="P1191">TRIM(_xlfn.XLOOKUP(非皮卡压缩表[[#This Row],[BACKSIZE]],ALL尺码表[内部尺码],ALL尺码表[通用尺码]))</f>
        <v/>
      </c>
    </row>
    <row r="1192">
      <c r="A1192" s="17" t="inlineStr">
        <is>
          <t>ALL</t>
        </is>
      </c>
      <c r="B1192" s="18" t="inlineStr">
        <is>
          <t>Saturn L-Series</t>
        </is>
      </c>
      <c r="C1192" s="18" t="inlineStr">
        <is>
          <t>Saturn</t>
        </is>
      </c>
      <c r="D1192" s="18" t="inlineStr">
        <is>
          <t>L-Series</t>
        </is>
      </c>
      <c r="E1192" s="18" t="inlineStr">
        <is>
          <t>2000-2004</t>
        </is>
      </c>
      <c r="F1192" s="18" t="inlineStr"/>
      <c r="G1192" s="18" t="inlineStr">
        <is>
          <t>Wagon</t>
        </is>
      </c>
      <c r="H1192" s="18" t="inlineStr">
        <is>
          <t>2XL+</t>
        </is>
      </c>
      <c r="I1192" s="19">
        <f t="array" ref="I1192">TRIM(_xlfn.XLOOKUP(非皮卡压缩表[[#This Row],[BACKSIZE]],ALL尺码表[内部尺码],ALL尺码表[分类],""))</f>
        <v/>
      </c>
      <c r="J1192" s="19">
        <f t="array" ref="J1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2" s="20">
        <f>LEN(非皮卡压缩表[[#This Row],[LONG-TYPE]])</f>
        <v/>
      </c>
      <c r="L1192" s="21">
        <f t="array" ref="L1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2" s="22">
        <f>LEN(非皮卡压缩表[[#This Row],[TYPE]])</f>
        <v/>
      </c>
      <c r="N1192" s="22">
        <f t="array" ref="N1192">_xlfn.XLOOKUP(非皮卡压缩表[[#This Row],[MODEL]],MODEL缩写表[长MODEL],MODEL缩写表[短MODEL],非皮卡压缩表[[#This Row],[MODEL]])</f>
        <v/>
      </c>
      <c r="O1192" s="22">
        <f>LEN(非皮卡压缩表[[#This Row],[SHORT-MODEL]])</f>
        <v/>
      </c>
      <c r="P1192" s="11">
        <f t="array" ref="P1192">TRIM(_xlfn.XLOOKUP(非皮卡压缩表[[#This Row],[BACKSIZE]],ALL尺码表[内部尺码],ALL尺码表[通用尺码]))</f>
        <v/>
      </c>
    </row>
    <row r="1193">
      <c r="A1193" s="17" t="inlineStr">
        <is>
          <t>ALL</t>
        </is>
      </c>
      <c r="B1193" s="18" t="inlineStr">
        <is>
          <t>Saturn L-Series</t>
        </is>
      </c>
      <c r="C1193" s="18" t="inlineStr">
        <is>
          <t>Saturn</t>
        </is>
      </c>
      <c r="D1193" s="18" t="inlineStr">
        <is>
          <t>L-Series</t>
        </is>
      </c>
      <c r="E1193" s="18" t="inlineStr">
        <is>
          <t>2000-2005</t>
        </is>
      </c>
      <c r="F1193" s="18" t="inlineStr"/>
      <c r="G1193" s="18" t="inlineStr">
        <is>
          <t>Sedan</t>
        </is>
      </c>
      <c r="H1193" s="18" t="inlineStr">
        <is>
          <t>3XL</t>
        </is>
      </c>
      <c r="I1193" s="19">
        <f t="array" ref="I1193">TRIM(_xlfn.XLOOKUP(非皮卡压缩表[[#This Row],[BACKSIZE]],ALL尺码表[内部尺码],ALL尺码表[分类],""))</f>
        <v/>
      </c>
      <c r="J1193" s="19">
        <f t="array" ref="J1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3" s="20">
        <f>LEN(非皮卡压缩表[[#This Row],[LONG-TYPE]])</f>
        <v/>
      </c>
      <c r="L1193" s="21">
        <f t="array" ref="L1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3" s="22">
        <f>LEN(非皮卡压缩表[[#This Row],[TYPE]])</f>
        <v/>
      </c>
      <c r="N1193" s="22">
        <f t="array" ref="N1193">_xlfn.XLOOKUP(非皮卡压缩表[[#This Row],[MODEL]],MODEL缩写表[长MODEL],MODEL缩写表[短MODEL],非皮卡压缩表[[#This Row],[MODEL]])</f>
        <v/>
      </c>
      <c r="O1193" s="22">
        <f>LEN(非皮卡压缩表[[#This Row],[SHORT-MODEL]])</f>
        <v/>
      </c>
      <c r="P1193" s="11">
        <f t="array" ref="P1193">TRIM(_xlfn.XLOOKUP(非皮卡压缩表[[#This Row],[BACKSIZE]],ALL尺码表[内部尺码],ALL尺码表[通用尺码]))</f>
        <v/>
      </c>
    </row>
    <row r="1194">
      <c r="A1194" s="17" t="inlineStr">
        <is>
          <t>ALL</t>
        </is>
      </c>
      <c r="B1194" s="18" t="inlineStr">
        <is>
          <t>Saturn Outlook</t>
        </is>
      </c>
      <c r="C1194" s="18" t="inlineStr">
        <is>
          <t>Saturn</t>
        </is>
      </c>
      <c r="D1194" s="18" t="inlineStr">
        <is>
          <t>Outlook</t>
        </is>
      </c>
      <c r="E1194" s="18" t="inlineStr">
        <is>
          <t>2007-2010</t>
        </is>
      </c>
      <c r="F1194" s="18" t="inlineStr"/>
      <c r="G1194" s="18" t="inlineStr">
        <is>
          <t>SUV</t>
        </is>
      </c>
      <c r="H1194" s="18" t="inlineStr">
        <is>
          <t>YXL</t>
        </is>
      </c>
      <c r="I1194" s="19">
        <f t="array" ref="I1194">TRIM(_xlfn.XLOOKUP(非皮卡压缩表[[#This Row],[BACKSIZE]],ALL尺码表[内部尺码],ALL尺码表[分类],""))</f>
        <v/>
      </c>
      <c r="J1194" s="19">
        <f t="array" ref="J1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4" s="20">
        <f>LEN(非皮卡压缩表[[#This Row],[LONG-TYPE]])</f>
        <v/>
      </c>
      <c r="L1194" s="21">
        <f t="array" ref="L1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4" s="22">
        <f>LEN(非皮卡压缩表[[#This Row],[TYPE]])</f>
        <v/>
      </c>
      <c r="N1194" s="22">
        <f t="array" ref="N1194">_xlfn.XLOOKUP(非皮卡压缩表[[#This Row],[MODEL]],MODEL缩写表[长MODEL],MODEL缩写表[短MODEL],非皮卡压缩表[[#This Row],[MODEL]])</f>
        <v/>
      </c>
      <c r="O1194" s="22">
        <f>LEN(非皮卡压缩表[[#This Row],[SHORT-MODEL]])</f>
        <v/>
      </c>
      <c r="P1194" s="11">
        <f t="array" ref="P1194">TRIM(_xlfn.XLOOKUP(非皮卡压缩表[[#This Row],[BACKSIZE]],ALL尺码表[内部尺码],ALL尺码表[通用尺码]))</f>
        <v/>
      </c>
    </row>
    <row r="1195">
      <c r="A1195" s="17" t="inlineStr">
        <is>
          <t>ALL</t>
        </is>
      </c>
      <c r="B1195" s="18" t="inlineStr">
        <is>
          <t>Saturn S-Series</t>
        </is>
      </c>
      <c r="C1195" s="18" t="inlineStr">
        <is>
          <t>Saturn</t>
        </is>
      </c>
      <c r="D1195" s="18" t="inlineStr">
        <is>
          <t>S-Series</t>
        </is>
      </c>
      <c r="E1195" s="18" t="inlineStr">
        <is>
          <t>1991-2002</t>
        </is>
      </c>
      <c r="F1195" s="18" t="inlineStr"/>
      <c r="G1195" s="18" t="inlineStr">
        <is>
          <t>Sedan</t>
        </is>
      </c>
      <c r="H1195" s="18" t="inlineStr">
        <is>
          <t>3L</t>
        </is>
      </c>
      <c r="I1195" s="19">
        <f t="array" ref="I1195">TRIM(_xlfn.XLOOKUP(非皮卡压缩表[[#This Row],[BACKSIZE]],ALL尺码表[内部尺码],ALL尺码表[分类],""))</f>
        <v/>
      </c>
      <c r="J1195" s="19">
        <f t="array" ref="J1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5" s="20">
        <f>LEN(非皮卡压缩表[[#This Row],[LONG-TYPE]])</f>
        <v/>
      </c>
      <c r="L1195" s="21">
        <f t="array" ref="L1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5" s="22">
        <f>LEN(非皮卡压缩表[[#This Row],[TYPE]])</f>
        <v/>
      </c>
      <c r="N1195" s="22">
        <f t="array" ref="N1195">_xlfn.XLOOKUP(非皮卡压缩表[[#This Row],[MODEL]],MODEL缩写表[长MODEL],MODEL缩写表[短MODEL],非皮卡压缩表[[#This Row],[MODEL]])</f>
        <v/>
      </c>
      <c r="O1195" s="22">
        <f>LEN(非皮卡压缩表[[#This Row],[SHORT-MODEL]])</f>
        <v/>
      </c>
      <c r="P1195" s="11">
        <f t="array" ref="P1195">TRIM(_xlfn.XLOOKUP(非皮卡压缩表[[#This Row],[BACKSIZE]],ALL尺码表[内部尺码],ALL尺码表[通用尺码]))</f>
        <v/>
      </c>
    </row>
    <row r="1196">
      <c r="A1196" s="17" t="inlineStr">
        <is>
          <t>ALL</t>
        </is>
      </c>
      <c r="B1196" s="18" t="inlineStr">
        <is>
          <t>Saturn S-Series</t>
        </is>
      </c>
      <c r="C1196" s="18" t="inlineStr">
        <is>
          <t>Saturn</t>
        </is>
      </c>
      <c r="D1196" s="18" t="inlineStr">
        <is>
          <t>S-Series</t>
        </is>
      </c>
      <c r="E1196" s="18" t="inlineStr">
        <is>
          <t>1991-1996</t>
        </is>
      </c>
      <c r="F1196" s="18" t="inlineStr"/>
      <c r="G1196" s="18" t="inlineStr">
        <is>
          <t>Coupe</t>
        </is>
      </c>
      <c r="H1196" s="18" t="inlineStr">
        <is>
          <t>3M-0</t>
        </is>
      </c>
      <c r="I1196" s="19">
        <f t="array" ref="I1196">TRIM(_xlfn.XLOOKUP(非皮卡压缩表[[#This Row],[BACKSIZE]],ALL尺码表[内部尺码],ALL尺码表[分类],""))</f>
        <v/>
      </c>
      <c r="J1196" s="19">
        <f t="array" ref="J1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6" s="20">
        <f>LEN(非皮卡压缩表[[#This Row],[LONG-TYPE]])</f>
        <v/>
      </c>
      <c r="L1196" s="21">
        <f t="array" ref="L1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6" s="22">
        <f>LEN(非皮卡压缩表[[#This Row],[TYPE]])</f>
        <v/>
      </c>
      <c r="N1196" s="22">
        <f t="array" ref="N1196">_xlfn.XLOOKUP(非皮卡压缩表[[#This Row],[MODEL]],MODEL缩写表[长MODEL],MODEL缩写表[短MODEL],非皮卡压缩表[[#This Row],[MODEL]])</f>
        <v/>
      </c>
      <c r="O1196" s="22">
        <f>LEN(非皮卡压缩表[[#This Row],[SHORT-MODEL]])</f>
        <v/>
      </c>
      <c r="P1196" s="11">
        <f t="array" ref="P1196">TRIM(_xlfn.XLOOKUP(非皮卡压缩表[[#This Row],[BACKSIZE]],ALL尺码表[内部尺码],ALL尺码表[通用尺码]))</f>
        <v/>
      </c>
    </row>
    <row r="1197">
      <c r="A1197" s="17" t="inlineStr">
        <is>
          <t>ALL</t>
        </is>
      </c>
      <c r="B1197" s="18" t="inlineStr">
        <is>
          <t>Saturn S-Series</t>
        </is>
      </c>
      <c r="C1197" s="18" t="inlineStr">
        <is>
          <t>Saturn</t>
        </is>
      </c>
      <c r="D1197" s="18" t="inlineStr">
        <is>
          <t>S-Series</t>
        </is>
      </c>
      <c r="E1197" s="18" t="inlineStr">
        <is>
          <t>1993-1997</t>
        </is>
      </c>
      <c r="F1197" s="18" t="inlineStr"/>
      <c r="G1197" s="18" t="inlineStr">
        <is>
          <t>Wagon</t>
        </is>
      </c>
      <c r="H1197" s="18" t="inlineStr">
        <is>
          <t>2L+</t>
        </is>
      </c>
      <c r="I1197" s="19">
        <f t="array" ref="I1197">TRIM(_xlfn.XLOOKUP(非皮卡压缩表[[#This Row],[BACKSIZE]],ALL尺码表[内部尺码],ALL尺码表[分类],""))</f>
        <v/>
      </c>
      <c r="J1197" s="19">
        <f t="array" ref="J1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7" s="20">
        <f>LEN(非皮卡压缩表[[#This Row],[LONG-TYPE]])</f>
        <v/>
      </c>
      <c r="L1197" s="21">
        <f t="array" ref="L1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7" s="22">
        <f>LEN(非皮卡压缩表[[#This Row],[TYPE]])</f>
        <v/>
      </c>
      <c r="N1197" s="22">
        <f t="array" ref="N1197">_xlfn.XLOOKUP(非皮卡压缩表[[#This Row],[MODEL]],MODEL缩写表[长MODEL],MODEL缩写表[短MODEL],非皮卡压缩表[[#This Row],[MODEL]])</f>
        <v/>
      </c>
      <c r="O1197" s="22">
        <f>LEN(非皮卡压缩表[[#This Row],[SHORT-MODEL]])</f>
        <v/>
      </c>
      <c r="P1197" s="11">
        <f t="array" ref="P1197">TRIM(_xlfn.XLOOKUP(非皮卡压缩表[[#This Row],[BACKSIZE]],ALL尺码表[内部尺码],ALL尺码表[通用尺码]))</f>
        <v/>
      </c>
    </row>
    <row r="1198">
      <c r="A1198" s="17" t="inlineStr">
        <is>
          <t>ALL</t>
        </is>
      </c>
      <c r="B1198" s="18" t="inlineStr">
        <is>
          <t>Saturn S-Series</t>
        </is>
      </c>
      <c r="C1198" s="18" t="inlineStr">
        <is>
          <t>Saturn</t>
        </is>
      </c>
      <c r="D1198" s="18" t="inlineStr">
        <is>
          <t>S-Series</t>
        </is>
      </c>
      <c r="E1198" s="18" t="inlineStr">
        <is>
          <t>1997-2002</t>
        </is>
      </c>
      <c r="F1198" s="18" t="inlineStr"/>
      <c r="G1198" s="18" t="inlineStr">
        <is>
          <t>Coupe</t>
        </is>
      </c>
      <c r="H1198" s="18" t="inlineStr">
        <is>
          <t>3L-0</t>
        </is>
      </c>
      <c r="I1198" s="19">
        <f t="array" ref="I1198">TRIM(_xlfn.XLOOKUP(非皮卡压缩表[[#This Row],[BACKSIZE]],ALL尺码表[内部尺码],ALL尺码表[分类],""))</f>
        <v/>
      </c>
      <c r="J1198" s="19">
        <f t="array" ref="J1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8" s="20">
        <f>LEN(非皮卡压缩表[[#This Row],[LONG-TYPE]])</f>
        <v/>
      </c>
      <c r="L1198" s="21">
        <f t="array" ref="L1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8" s="22">
        <f>LEN(非皮卡压缩表[[#This Row],[TYPE]])</f>
        <v/>
      </c>
      <c r="N1198" s="22">
        <f t="array" ref="N1198">_xlfn.XLOOKUP(非皮卡压缩表[[#This Row],[MODEL]],MODEL缩写表[长MODEL],MODEL缩写表[短MODEL],非皮卡压缩表[[#This Row],[MODEL]])</f>
        <v/>
      </c>
      <c r="O1198" s="22">
        <f>LEN(非皮卡压缩表[[#This Row],[SHORT-MODEL]])</f>
        <v/>
      </c>
      <c r="P1198" s="11">
        <f t="array" ref="P1198">TRIM(_xlfn.XLOOKUP(非皮卡压缩表[[#This Row],[BACKSIZE]],ALL尺码表[内部尺码],ALL尺码表[通用尺码]))</f>
        <v/>
      </c>
    </row>
    <row r="1199">
      <c r="A1199" s="17" t="inlineStr">
        <is>
          <t>ALL</t>
        </is>
      </c>
      <c r="B1199" s="18" t="inlineStr">
        <is>
          <t>Saturn S-Series</t>
        </is>
      </c>
      <c r="C1199" s="18" t="inlineStr">
        <is>
          <t>Saturn</t>
        </is>
      </c>
      <c r="D1199" s="18" t="inlineStr">
        <is>
          <t>S-Series</t>
        </is>
      </c>
      <c r="E1199" s="18" t="inlineStr">
        <is>
          <t>1998-2001</t>
        </is>
      </c>
      <c r="F1199" s="18" t="inlineStr"/>
      <c r="G1199" s="18" t="inlineStr">
        <is>
          <t>Wagon</t>
        </is>
      </c>
      <c r="H1199" s="18" t="inlineStr">
        <is>
          <t>2XL</t>
        </is>
      </c>
      <c r="I1199" s="19">
        <f t="array" ref="I1199">TRIM(_xlfn.XLOOKUP(非皮卡压缩表[[#This Row],[BACKSIZE]],ALL尺码表[内部尺码],ALL尺码表[分类],""))</f>
        <v/>
      </c>
      <c r="J1199" s="19">
        <f t="array" ref="J1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9" s="20">
        <f>LEN(非皮卡压缩表[[#This Row],[LONG-TYPE]])</f>
        <v/>
      </c>
      <c r="L1199" s="21">
        <f t="array" ref="L1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9" s="22">
        <f>LEN(非皮卡压缩表[[#This Row],[TYPE]])</f>
        <v/>
      </c>
      <c r="N1199" s="22">
        <f t="array" ref="N1199">_xlfn.XLOOKUP(非皮卡压缩表[[#This Row],[MODEL]],MODEL缩写表[长MODEL],MODEL缩写表[短MODEL],非皮卡压缩表[[#This Row],[MODEL]])</f>
        <v/>
      </c>
      <c r="O1199" s="22">
        <f>LEN(非皮卡压缩表[[#This Row],[SHORT-MODEL]])</f>
        <v/>
      </c>
      <c r="P1199" s="11">
        <f t="array" ref="P1199">TRIM(_xlfn.XLOOKUP(非皮卡压缩表[[#This Row],[BACKSIZE]],ALL尺码表[内部尺码],ALL尺码表[通用尺码]))</f>
        <v/>
      </c>
    </row>
    <row r="1200">
      <c r="A1200" s="17" t="inlineStr">
        <is>
          <t>ALL</t>
        </is>
      </c>
      <c r="B1200" s="18" t="inlineStr">
        <is>
          <t>Saturn Sky</t>
        </is>
      </c>
      <c r="C1200" s="18" t="inlineStr">
        <is>
          <t>Saturn</t>
        </is>
      </c>
      <c r="D1200" s="18" t="inlineStr">
        <is>
          <t>Sky</t>
        </is>
      </c>
      <c r="E1200" s="18" t="inlineStr">
        <is>
          <t>2007-2010</t>
        </is>
      </c>
      <c r="F1200" s="18" t="inlineStr"/>
      <c r="G1200" s="18" t="inlineStr">
        <is>
          <t>Roadster</t>
        </is>
      </c>
      <c r="H1200" s="18" t="inlineStr">
        <is>
          <t>3S-0</t>
        </is>
      </c>
      <c r="I1200" s="19">
        <f t="array" ref="I1200">TRIM(_xlfn.XLOOKUP(非皮卡压缩表[[#This Row],[BACKSIZE]],ALL尺码表[内部尺码],ALL尺码表[分类],""))</f>
        <v/>
      </c>
      <c r="J1200" s="19">
        <f t="array" ref="J1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0" s="20">
        <f>LEN(非皮卡压缩表[[#This Row],[LONG-TYPE]])</f>
        <v/>
      </c>
      <c r="L1200" s="21">
        <f t="array" ref="L1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0" s="22">
        <f>LEN(非皮卡压缩表[[#This Row],[TYPE]])</f>
        <v/>
      </c>
      <c r="N1200" s="22">
        <f t="array" ref="N1200">_xlfn.XLOOKUP(非皮卡压缩表[[#This Row],[MODEL]],MODEL缩写表[长MODEL],MODEL缩写表[短MODEL],非皮卡压缩表[[#This Row],[MODEL]])</f>
        <v/>
      </c>
      <c r="O1200" s="22">
        <f>LEN(非皮卡压缩表[[#This Row],[SHORT-MODEL]])</f>
        <v/>
      </c>
      <c r="P1200" s="11">
        <f t="array" ref="P1200">TRIM(_xlfn.XLOOKUP(非皮卡压缩表[[#This Row],[BACKSIZE]],ALL尺码表[内部尺码],ALL尺码表[通用尺码]))</f>
        <v/>
      </c>
    </row>
    <row r="1201">
      <c r="A1201" s="17" t="inlineStr">
        <is>
          <t>ALL</t>
        </is>
      </c>
      <c r="B1201" s="18" t="inlineStr">
        <is>
          <t>Saturn Vue</t>
        </is>
      </c>
      <c r="C1201" s="18" t="inlineStr">
        <is>
          <t>Saturn</t>
        </is>
      </c>
      <c r="D1201" s="18" t="inlineStr">
        <is>
          <t>Vue</t>
        </is>
      </c>
      <c r="E1201" s="18" t="inlineStr">
        <is>
          <t>2002-2007</t>
        </is>
      </c>
      <c r="F1201" s="18" t="inlineStr"/>
      <c r="G1201" s="18" t="inlineStr">
        <is>
          <t>SUV</t>
        </is>
      </c>
      <c r="H1201" s="18" t="inlineStr">
        <is>
          <t>YL</t>
        </is>
      </c>
      <c r="I1201" s="19">
        <f t="array" ref="I1201">TRIM(_xlfn.XLOOKUP(非皮卡压缩表[[#This Row],[BACKSIZE]],ALL尺码表[内部尺码],ALL尺码表[分类],""))</f>
        <v/>
      </c>
      <c r="J1201" s="19">
        <f t="array" ref="J1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1" s="20">
        <f>LEN(非皮卡压缩表[[#This Row],[LONG-TYPE]])</f>
        <v/>
      </c>
      <c r="L1201" s="21">
        <f t="array" ref="L1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1" s="22">
        <f>LEN(非皮卡压缩表[[#This Row],[TYPE]])</f>
        <v/>
      </c>
      <c r="N1201" s="22">
        <f t="array" ref="N1201">_xlfn.XLOOKUP(非皮卡压缩表[[#This Row],[MODEL]],MODEL缩写表[长MODEL],MODEL缩写表[短MODEL],非皮卡压缩表[[#This Row],[MODEL]])</f>
        <v/>
      </c>
      <c r="O1201" s="22">
        <f>LEN(非皮卡压缩表[[#This Row],[SHORT-MODEL]])</f>
        <v/>
      </c>
      <c r="P1201" s="11">
        <f t="array" ref="P1201">TRIM(_xlfn.XLOOKUP(非皮卡压缩表[[#This Row],[BACKSIZE]],ALL尺码表[内部尺码],ALL尺码表[通用尺码]))</f>
        <v/>
      </c>
    </row>
    <row r="1202">
      <c r="A1202" s="17" t="inlineStr">
        <is>
          <t>ALL</t>
        </is>
      </c>
      <c r="B1202" s="18" t="inlineStr">
        <is>
          <t>Saturn Vue</t>
        </is>
      </c>
      <c r="C1202" s="18" t="inlineStr">
        <is>
          <t>Saturn</t>
        </is>
      </c>
      <c r="D1202" s="18" t="inlineStr">
        <is>
          <t>Vue</t>
        </is>
      </c>
      <c r="E1202" s="18" t="inlineStr">
        <is>
          <t>2008-2010</t>
        </is>
      </c>
      <c r="F1202" s="18" t="inlineStr"/>
      <c r="G1202" s="18" t="inlineStr">
        <is>
          <t>SUV</t>
        </is>
      </c>
      <c r="H1202" s="18" t="inlineStr">
        <is>
          <t>YM+</t>
        </is>
      </c>
      <c r="I1202" s="19">
        <f t="array" ref="I1202">TRIM(_xlfn.XLOOKUP(非皮卡压缩表[[#This Row],[BACKSIZE]],ALL尺码表[内部尺码],ALL尺码表[分类],""))</f>
        <v/>
      </c>
      <c r="J1202" s="19">
        <f t="array" ref="J1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2" s="20">
        <f>LEN(非皮卡压缩表[[#This Row],[LONG-TYPE]])</f>
        <v/>
      </c>
      <c r="L1202" s="21">
        <f t="array" ref="L1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2" s="22">
        <f>LEN(非皮卡压缩表[[#This Row],[TYPE]])</f>
        <v/>
      </c>
      <c r="N1202" s="22">
        <f t="array" ref="N1202">_xlfn.XLOOKUP(非皮卡压缩表[[#This Row],[MODEL]],MODEL缩写表[长MODEL],MODEL缩写表[短MODEL],非皮卡压缩表[[#This Row],[MODEL]])</f>
        <v/>
      </c>
      <c r="O1202" s="22">
        <f>LEN(非皮卡压缩表[[#This Row],[SHORT-MODEL]])</f>
        <v/>
      </c>
      <c r="P1202" s="11">
        <f t="array" ref="P1202">TRIM(_xlfn.XLOOKUP(非皮卡压缩表[[#This Row],[BACKSIZE]],ALL尺码表[内部尺码],ALL尺码表[通用尺码]))</f>
        <v/>
      </c>
    </row>
    <row r="1203">
      <c r="A1203" s="17" t="inlineStr">
        <is>
          <t>ALL</t>
        </is>
      </c>
      <c r="B1203" s="18" t="inlineStr">
        <is>
          <t>Scion FR-S</t>
        </is>
      </c>
      <c r="C1203" s="18" t="inlineStr">
        <is>
          <t>Scion</t>
        </is>
      </c>
      <c r="D1203" s="18" t="inlineStr">
        <is>
          <t>FR-S</t>
        </is>
      </c>
      <c r="E1203" s="18" t="inlineStr">
        <is>
          <t>2013-2016</t>
        </is>
      </c>
      <c r="F1203" s="18" t="inlineStr"/>
      <c r="G1203" s="18" t="inlineStr">
        <is>
          <t>Coupe</t>
        </is>
      </c>
      <c r="H1203" s="18" t="inlineStr">
        <is>
          <t>3M-0</t>
        </is>
      </c>
      <c r="I1203" s="19">
        <f t="array" ref="I1203">TRIM(_xlfn.XLOOKUP(非皮卡压缩表[[#This Row],[BACKSIZE]],ALL尺码表[内部尺码],ALL尺码表[分类],""))</f>
        <v/>
      </c>
      <c r="J1203" s="19">
        <f t="array" ref="J1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3" s="20">
        <f>LEN(非皮卡压缩表[[#This Row],[LONG-TYPE]])</f>
        <v/>
      </c>
      <c r="L1203" s="21">
        <f t="array" ref="L1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3" s="22">
        <f>LEN(非皮卡压缩表[[#This Row],[TYPE]])</f>
        <v/>
      </c>
      <c r="N1203" s="22">
        <f t="array" ref="N1203">_xlfn.XLOOKUP(非皮卡压缩表[[#This Row],[MODEL]],MODEL缩写表[长MODEL],MODEL缩写表[短MODEL],非皮卡压缩表[[#This Row],[MODEL]])</f>
        <v/>
      </c>
      <c r="O1203" s="22">
        <f>LEN(非皮卡压缩表[[#This Row],[SHORT-MODEL]])</f>
        <v/>
      </c>
      <c r="P1203" s="11">
        <f t="array" ref="P1203">TRIM(_xlfn.XLOOKUP(非皮卡压缩表[[#This Row],[BACKSIZE]],ALL尺码表[内部尺码],ALL尺码表[通用尺码]))</f>
        <v/>
      </c>
    </row>
    <row r="1204">
      <c r="A1204" s="17" t="inlineStr">
        <is>
          <t>ALL</t>
        </is>
      </c>
      <c r="B1204" s="18" t="inlineStr">
        <is>
          <t>Scion XA</t>
        </is>
      </c>
      <c r="C1204" s="18" t="inlineStr">
        <is>
          <t>Scion</t>
        </is>
      </c>
      <c r="D1204" s="18" t="inlineStr">
        <is>
          <t>XA</t>
        </is>
      </c>
      <c r="E1204" s="18" t="inlineStr">
        <is>
          <t>2004-2006</t>
        </is>
      </c>
      <c r="F1204" s="18" t="inlineStr"/>
      <c r="G1204" s="18" t="inlineStr">
        <is>
          <t>Hatchback</t>
        </is>
      </c>
      <c r="H1204" s="18" t="inlineStr">
        <is>
          <t>2M</t>
        </is>
      </c>
      <c r="I1204" s="19">
        <f t="array" ref="I1204">TRIM(_xlfn.XLOOKUP(非皮卡压缩表[[#This Row],[BACKSIZE]],ALL尺码表[内部尺码],ALL尺码表[分类],""))</f>
        <v/>
      </c>
      <c r="J1204" s="19">
        <f t="array" ref="J1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4" s="20">
        <f>LEN(非皮卡压缩表[[#This Row],[LONG-TYPE]])</f>
        <v/>
      </c>
      <c r="L1204" s="21">
        <f t="array" ref="L1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4" s="22">
        <f>LEN(非皮卡压缩表[[#This Row],[TYPE]])</f>
        <v/>
      </c>
      <c r="N1204" s="22">
        <f t="array" ref="N1204">_xlfn.XLOOKUP(非皮卡压缩表[[#This Row],[MODEL]],MODEL缩写表[长MODEL],MODEL缩写表[短MODEL],非皮卡压缩表[[#This Row],[MODEL]])</f>
        <v/>
      </c>
      <c r="O1204" s="22">
        <f>LEN(非皮卡压缩表[[#This Row],[SHORT-MODEL]])</f>
        <v/>
      </c>
      <c r="P1204" s="11">
        <f t="array" ref="P1204">TRIM(_xlfn.XLOOKUP(非皮卡压缩表[[#This Row],[BACKSIZE]],ALL尺码表[内部尺码],ALL尺码表[通用尺码]))</f>
        <v/>
      </c>
    </row>
    <row r="1205">
      <c r="A1205" s="17" t="inlineStr">
        <is>
          <t>ALL</t>
        </is>
      </c>
      <c r="B1205" s="18" t="inlineStr">
        <is>
          <t>Scion iA</t>
        </is>
      </c>
      <c r="C1205" s="18" t="inlineStr">
        <is>
          <t>Scion</t>
        </is>
      </c>
      <c r="D1205" s="18" t="inlineStr">
        <is>
          <t>iA</t>
        </is>
      </c>
      <c r="E1205" s="18" t="inlineStr">
        <is>
          <t>2016</t>
        </is>
      </c>
      <c r="F1205" s="18" t="inlineStr"/>
      <c r="G1205" s="18" t="inlineStr">
        <is>
          <t>Sedan</t>
        </is>
      </c>
      <c r="H1205" s="18" t="inlineStr">
        <is>
          <t>3L</t>
        </is>
      </c>
      <c r="I1205" s="19">
        <f t="array" ref="I1205">TRIM(_xlfn.XLOOKUP(非皮卡压缩表[[#This Row],[BACKSIZE]],ALL尺码表[内部尺码],ALL尺码表[分类],""))</f>
        <v/>
      </c>
      <c r="J1205" s="19">
        <f t="array" ref="J1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5" s="20">
        <f>LEN(非皮卡压缩表[[#This Row],[LONG-TYPE]])</f>
        <v/>
      </c>
      <c r="L1205" s="21">
        <f t="array" ref="L1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5" s="22">
        <f>LEN(非皮卡压缩表[[#This Row],[TYPE]])</f>
        <v/>
      </c>
      <c r="N1205" s="22">
        <f t="array" ref="N1205">_xlfn.XLOOKUP(非皮卡压缩表[[#This Row],[MODEL]],MODEL缩写表[长MODEL],MODEL缩写表[短MODEL],非皮卡压缩表[[#This Row],[MODEL]])</f>
        <v/>
      </c>
      <c r="O1205" s="22">
        <f>LEN(非皮卡压缩表[[#This Row],[SHORT-MODEL]])</f>
        <v/>
      </c>
      <c r="P1205" s="11">
        <f t="array" ref="P1205">TRIM(_xlfn.XLOOKUP(非皮卡压缩表[[#This Row],[BACKSIZE]],ALL尺码表[内部尺码],ALL尺码表[通用尺码]))</f>
        <v/>
      </c>
    </row>
    <row r="1206">
      <c r="A1206" s="17" t="inlineStr">
        <is>
          <t>ALL</t>
        </is>
      </c>
      <c r="B1206" s="18" t="inlineStr">
        <is>
          <t>Scion iM</t>
        </is>
      </c>
      <c r="C1206" s="18" t="inlineStr">
        <is>
          <t>Scion</t>
        </is>
      </c>
      <c r="D1206" s="18" t="inlineStr">
        <is>
          <t>iM</t>
        </is>
      </c>
      <c r="E1206" s="18" t="inlineStr">
        <is>
          <t>2016</t>
        </is>
      </c>
      <c r="F1206" s="18" t="inlineStr"/>
      <c r="G1206" s="18" t="inlineStr">
        <is>
          <t>Hatchback</t>
        </is>
      </c>
      <c r="H1206" s="18" t="inlineStr">
        <is>
          <t>2L+</t>
        </is>
      </c>
      <c r="I1206" s="19">
        <f t="array" ref="I1206">TRIM(_xlfn.XLOOKUP(非皮卡压缩表[[#This Row],[BACKSIZE]],ALL尺码表[内部尺码],ALL尺码表[分类],""))</f>
        <v/>
      </c>
      <c r="J1206" s="19">
        <f t="array" ref="J1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6" s="20">
        <f>LEN(非皮卡压缩表[[#This Row],[LONG-TYPE]])</f>
        <v/>
      </c>
      <c r="L1206" s="21">
        <f t="array" ref="L1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6" s="22">
        <f>LEN(非皮卡压缩表[[#This Row],[TYPE]])</f>
        <v/>
      </c>
      <c r="N1206" s="22">
        <f t="array" ref="N1206">_xlfn.XLOOKUP(非皮卡压缩表[[#This Row],[MODEL]],MODEL缩写表[长MODEL],MODEL缩写表[短MODEL],非皮卡压缩表[[#This Row],[MODEL]])</f>
        <v/>
      </c>
      <c r="O1206" s="22">
        <f>LEN(非皮卡压缩表[[#This Row],[SHORT-MODEL]])</f>
        <v/>
      </c>
      <c r="P1206" s="11">
        <f t="array" ref="P1206">TRIM(_xlfn.XLOOKUP(非皮卡压缩表[[#This Row],[BACKSIZE]],ALL尺码表[内部尺码],ALL尺码表[通用尺码]))</f>
        <v/>
      </c>
    </row>
    <row r="1207">
      <c r="A1207" s="17" t="inlineStr">
        <is>
          <t>ALL</t>
        </is>
      </c>
      <c r="B1207" s="18" t="inlineStr">
        <is>
          <t>Scion iQ</t>
        </is>
      </c>
      <c r="C1207" s="18" t="inlineStr">
        <is>
          <t>Scion</t>
        </is>
      </c>
      <c r="D1207" s="18" t="inlineStr">
        <is>
          <t>iQ</t>
        </is>
      </c>
      <c r="E1207" s="18" t="inlineStr">
        <is>
          <t>2012-2015</t>
        </is>
      </c>
      <c r="F1207" s="18" t="inlineStr"/>
      <c r="G1207" s="18" t="inlineStr">
        <is>
          <t>Hatchback</t>
        </is>
      </c>
      <c r="H1207" s="18" t="inlineStr">
        <is>
          <t>2S</t>
        </is>
      </c>
      <c r="I1207" s="19">
        <f t="array" ref="I1207">TRIM(_xlfn.XLOOKUP(非皮卡压缩表[[#This Row],[BACKSIZE]],ALL尺码表[内部尺码],ALL尺码表[分类],""))</f>
        <v/>
      </c>
      <c r="J1207" s="19">
        <f t="array" ref="J1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7" s="20">
        <f>LEN(非皮卡压缩表[[#This Row],[LONG-TYPE]])</f>
        <v/>
      </c>
      <c r="L1207" s="21">
        <f t="array" ref="L1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7" s="22">
        <f>LEN(非皮卡压缩表[[#This Row],[TYPE]])</f>
        <v/>
      </c>
      <c r="N1207" s="22">
        <f t="array" ref="N1207">_xlfn.XLOOKUP(非皮卡压缩表[[#This Row],[MODEL]],MODEL缩写表[长MODEL],MODEL缩写表[短MODEL],非皮卡压缩表[[#This Row],[MODEL]])</f>
        <v/>
      </c>
      <c r="O1207" s="22">
        <f>LEN(非皮卡压缩表[[#This Row],[SHORT-MODEL]])</f>
        <v/>
      </c>
      <c r="P1207" s="11">
        <f t="array" ref="P1207">TRIM(_xlfn.XLOOKUP(非皮卡压缩表[[#This Row],[BACKSIZE]],ALL尺码表[内部尺码],ALL尺码表[通用尺码]))</f>
        <v/>
      </c>
    </row>
    <row r="1208">
      <c r="A1208" s="17" t="inlineStr">
        <is>
          <t>ALL</t>
        </is>
      </c>
      <c r="B1208" s="18" t="inlineStr">
        <is>
          <t>Scion tC</t>
        </is>
      </c>
      <c r="C1208" s="18" t="inlineStr">
        <is>
          <t>Scion</t>
        </is>
      </c>
      <c r="D1208" s="18" t="inlineStr">
        <is>
          <t>tC</t>
        </is>
      </c>
      <c r="E1208" s="18" t="inlineStr">
        <is>
          <t>2005-2016</t>
        </is>
      </c>
      <c r="F1208" s="18" t="inlineStr"/>
      <c r="G1208" s="18" t="inlineStr">
        <is>
          <t>Coupe</t>
        </is>
      </c>
      <c r="H1208" s="18" t="inlineStr">
        <is>
          <t>3M-0</t>
        </is>
      </c>
      <c r="I1208" s="19">
        <f t="array" ref="I1208">TRIM(_xlfn.XLOOKUP(非皮卡压缩表[[#This Row],[BACKSIZE]],ALL尺码表[内部尺码],ALL尺码表[分类],""))</f>
        <v/>
      </c>
      <c r="J1208" s="19">
        <f t="array" ref="J1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8" s="20">
        <f>LEN(非皮卡压缩表[[#This Row],[LONG-TYPE]])</f>
        <v/>
      </c>
      <c r="L1208" s="21">
        <f t="array" ref="L1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8" s="22">
        <f>LEN(非皮卡压缩表[[#This Row],[TYPE]])</f>
        <v/>
      </c>
      <c r="N1208" s="22">
        <f t="array" ref="N1208">_xlfn.XLOOKUP(非皮卡压缩表[[#This Row],[MODEL]],MODEL缩写表[长MODEL],MODEL缩写表[短MODEL],非皮卡压缩表[[#This Row],[MODEL]])</f>
        <v/>
      </c>
      <c r="O1208" s="22">
        <f>LEN(非皮卡压缩表[[#This Row],[SHORT-MODEL]])</f>
        <v/>
      </c>
      <c r="P1208" s="11">
        <f t="array" ref="P1208">TRIM(_xlfn.XLOOKUP(非皮卡压缩表[[#This Row],[BACKSIZE]],ALL尺码表[内部尺码],ALL尺码表[通用尺码]))</f>
        <v/>
      </c>
    </row>
    <row r="1209">
      <c r="A1209" s="17" t="inlineStr">
        <is>
          <t>ALL</t>
        </is>
      </c>
      <c r="B1209" s="18" t="inlineStr">
        <is>
          <t>Scion xB</t>
        </is>
      </c>
      <c r="C1209" s="18" t="inlineStr">
        <is>
          <t>Scion</t>
        </is>
      </c>
      <c r="D1209" s="18" t="inlineStr">
        <is>
          <t>xB</t>
        </is>
      </c>
      <c r="E1209" s="18" t="inlineStr">
        <is>
          <t>2004-2006</t>
        </is>
      </c>
      <c r="F1209" s="18" t="inlineStr"/>
      <c r="G1209" s="18" t="inlineStr">
        <is>
          <t>Hatchback</t>
        </is>
      </c>
      <c r="H1209" s="18" t="inlineStr">
        <is>
          <t>2M</t>
        </is>
      </c>
      <c r="I1209" s="19">
        <f t="array" ref="I1209">TRIM(_xlfn.XLOOKUP(非皮卡压缩表[[#This Row],[BACKSIZE]],ALL尺码表[内部尺码],ALL尺码表[分类],""))</f>
        <v/>
      </c>
      <c r="J1209" s="19">
        <f t="array" ref="J1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9" s="20">
        <f>LEN(非皮卡压缩表[[#This Row],[LONG-TYPE]])</f>
        <v/>
      </c>
      <c r="L1209" s="21">
        <f t="array" ref="L1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9" s="22">
        <f>LEN(非皮卡压缩表[[#This Row],[TYPE]])</f>
        <v/>
      </c>
      <c r="N1209" s="22">
        <f t="array" ref="N1209">_xlfn.XLOOKUP(非皮卡压缩表[[#This Row],[MODEL]],MODEL缩写表[长MODEL],MODEL缩写表[短MODEL],非皮卡压缩表[[#This Row],[MODEL]])</f>
        <v/>
      </c>
      <c r="O1209" s="22">
        <f>LEN(非皮卡压缩表[[#This Row],[SHORT-MODEL]])</f>
        <v/>
      </c>
      <c r="P1209" s="11">
        <f t="array" ref="P1209">TRIM(_xlfn.XLOOKUP(非皮卡压缩表[[#This Row],[BACKSIZE]],ALL尺码表[内部尺码],ALL尺码表[通用尺码]))</f>
        <v/>
      </c>
    </row>
    <row r="1210">
      <c r="A1210" s="17" t="inlineStr">
        <is>
          <t>ALL</t>
        </is>
      </c>
      <c r="B1210" s="18" t="inlineStr">
        <is>
          <t>Scion xB</t>
        </is>
      </c>
      <c r="C1210" s="18" t="inlineStr">
        <is>
          <t>Scion</t>
        </is>
      </c>
      <c r="D1210" s="18" t="inlineStr">
        <is>
          <t>xB</t>
        </is>
      </c>
      <c r="E1210" s="18" t="inlineStr">
        <is>
          <t>2008-2015</t>
        </is>
      </c>
      <c r="F1210" s="18" t="inlineStr"/>
      <c r="G1210" s="18" t="inlineStr">
        <is>
          <t>Hatchback/Wagon</t>
        </is>
      </c>
      <c r="H1210" s="18" t="inlineStr">
        <is>
          <t>2L+</t>
        </is>
      </c>
      <c r="I1210" s="19">
        <f t="array" ref="I1210">TRIM(_xlfn.XLOOKUP(非皮卡压缩表[[#This Row],[BACKSIZE]],ALL尺码表[内部尺码],ALL尺码表[分类],""))</f>
        <v/>
      </c>
      <c r="J1210" s="19">
        <f t="array" ref="J1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0" s="20">
        <f>LEN(非皮卡压缩表[[#This Row],[LONG-TYPE]])</f>
        <v/>
      </c>
      <c r="L1210" s="21">
        <f t="array" ref="L1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0" s="22">
        <f>LEN(非皮卡压缩表[[#This Row],[TYPE]])</f>
        <v/>
      </c>
      <c r="N1210" s="22">
        <f t="array" ref="N1210">_xlfn.XLOOKUP(非皮卡压缩表[[#This Row],[MODEL]],MODEL缩写表[长MODEL],MODEL缩写表[短MODEL],非皮卡压缩表[[#This Row],[MODEL]])</f>
        <v/>
      </c>
      <c r="O1210" s="22">
        <f>LEN(非皮卡压缩表[[#This Row],[SHORT-MODEL]])</f>
        <v/>
      </c>
      <c r="P1210" s="11">
        <f t="array" ref="P1210">TRIM(_xlfn.XLOOKUP(非皮卡压缩表[[#This Row],[BACKSIZE]],ALL尺码表[内部尺码],ALL尺码表[通用尺码]))</f>
        <v/>
      </c>
    </row>
    <row r="1211">
      <c r="A1211" s="17" t="inlineStr">
        <is>
          <t>ALL</t>
        </is>
      </c>
      <c r="B1211" s="18" t="inlineStr">
        <is>
          <t>Scion xD</t>
        </is>
      </c>
      <c r="C1211" s="18" t="inlineStr">
        <is>
          <t>Scion</t>
        </is>
      </c>
      <c r="D1211" s="18" t="inlineStr">
        <is>
          <t>xD</t>
        </is>
      </c>
      <c r="E1211" s="18" t="inlineStr">
        <is>
          <t>2008-2014</t>
        </is>
      </c>
      <c r="F1211" s="18" t="inlineStr"/>
      <c r="G1211" s="18" t="inlineStr">
        <is>
          <t>Hatchback</t>
        </is>
      </c>
      <c r="H1211" s="18" t="inlineStr">
        <is>
          <t>2M</t>
        </is>
      </c>
      <c r="I1211" s="19">
        <f t="array" ref="I1211">TRIM(_xlfn.XLOOKUP(非皮卡压缩表[[#This Row],[BACKSIZE]],ALL尺码表[内部尺码],ALL尺码表[分类],""))</f>
        <v/>
      </c>
      <c r="J1211" s="19">
        <f t="array" ref="J1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1" s="20">
        <f>LEN(非皮卡压缩表[[#This Row],[LONG-TYPE]])</f>
        <v/>
      </c>
      <c r="L1211" s="21">
        <f t="array" ref="L1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1" s="22">
        <f>LEN(非皮卡压缩表[[#This Row],[TYPE]])</f>
        <v/>
      </c>
      <c r="N1211" s="22">
        <f t="array" ref="N1211">_xlfn.XLOOKUP(非皮卡压缩表[[#This Row],[MODEL]],MODEL缩写表[长MODEL],MODEL缩写表[短MODEL],非皮卡压缩表[[#This Row],[MODEL]])</f>
        <v/>
      </c>
      <c r="O1211" s="22">
        <f>LEN(非皮卡压缩表[[#This Row],[SHORT-MODEL]])</f>
        <v/>
      </c>
      <c r="P1211" s="11">
        <f t="array" ref="P1211">TRIM(_xlfn.XLOOKUP(非皮卡压缩表[[#This Row],[BACKSIZE]],ALL尺码表[内部尺码],ALL尺码表[通用尺码]))</f>
        <v/>
      </c>
    </row>
    <row r="1212">
      <c r="A1212" s="17" t="inlineStr">
        <is>
          <t>ALL</t>
        </is>
      </c>
      <c r="B1212" s="18" t="inlineStr">
        <is>
          <t>Subaru Ascent</t>
        </is>
      </c>
      <c r="C1212" s="18" t="inlineStr">
        <is>
          <t>Subaru</t>
        </is>
      </c>
      <c r="D1212" s="18" t="inlineStr">
        <is>
          <t>Ascent</t>
        </is>
      </c>
      <c r="E1212" s="18" t="inlineStr">
        <is>
          <t>2019-2026</t>
        </is>
      </c>
      <c r="F1212" s="18" t="inlineStr"/>
      <c r="G1212" s="18" t="inlineStr">
        <is>
          <t>SUV</t>
        </is>
      </c>
      <c r="H1212" s="18" t="inlineStr">
        <is>
          <t>YXL</t>
        </is>
      </c>
      <c r="I1212" s="19">
        <f t="array" ref="I1212">TRIM(_xlfn.XLOOKUP(非皮卡压缩表[[#This Row],[BACKSIZE]],ALL尺码表[内部尺码],ALL尺码表[分类],""))</f>
        <v/>
      </c>
      <c r="J1212" s="19">
        <f t="array" ref="J1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2" s="20">
        <f>LEN(非皮卡压缩表[[#This Row],[LONG-TYPE]])</f>
        <v/>
      </c>
      <c r="L1212" s="21">
        <f t="array" ref="L1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2" s="22">
        <f>LEN(非皮卡压缩表[[#This Row],[TYPE]])</f>
        <v/>
      </c>
      <c r="N1212" s="22">
        <f t="array" ref="N1212">_xlfn.XLOOKUP(非皮卡压缩表[[#This Row],[MODEL]],MODEL缩写表[长MODEL],MODEL缩写表[短MODEL],非皮卡压缩表[[#This Row],[MODEL]])</f>
        <v/>
      </c>
      <c r="O1212" s="22">
        <f>LEN(非皮卡压缩表[[#This Row],[SHORT-MODEL]])</f>
        <v/>
      </c>
      <c r="P1212" s="11">
        <f t="array" ref="P1212">TRIM(_xlfn.XLOOKUP(非皮卡压缩表[[#This Row],[BACKSIZE]],ALL尺码表[内部尺码],ALL尺码表[通用尺码]))</f>
        <v/>
      </c>
    </row>
    <row r="1213">
      <c r="A1213" s="17" t="inlineStr">
        <is>
          <t>ALL</t>
        </is>
      </c>
      <c r="B1213" s="18" t="inlineStr">
        <is>
          <t>Subaru BRZ</t>
        </is>
      </c>
      <c r="C1213" s="18" t="inlineStr">
        <is>
          <t>Subaru</t>
        </is>
      </c>
      <c r="D1213" s="18" t="inlineStr">
        <is>
          <t>BRZ</t>
        </is>
      </c>
      <c r="E1213" s="18" t="inlineStr">
        <is>
          <t>2013-2020</t>
        </is>
      </c>
      <c r="F1213" s="18" t="inlineStr"/>
      <c r="G1213" s="18" t="inlineStr">
        <is>
          <t>Coupe</t>
        </is>
      </c>
      <c r="H1213" s="18" t="inlineStr">
        <is>
          <t>3M-0</t>
        </is>
      </c>
      <c r="I1213" s="19">
        <f t="array" ref="I1213">TRIM(_xlfn.XLOOKUP(非皮卡压缩表[[#This Row],[BACKSIZE]],ALL尺码表[内部尺码],ALL尺码表[分类],""))</f>
        <v/>
      </c>
      <c r="J1213" s="19">
        <f t="array" ref="J1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3" s="20">
        <f>LEN(非皮卡压缩表[[#This Row],[LONG-TYPE]])</f>
        <v/>
      </c>
      <c r="L1213" s="21">
        <f t="array" ref="L1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3" s="22">
        <f>LEN(非皮卡压缩表[[#This Row],[TYPE]])</f>
        <v/>
      </c>
      <c r="N1213" s="22">
        <f t="array" ref="N1213">_xlfn.XLOOKUP(非皮卡压缩表[[#This Row],[MODEL]],MODEL缩写表[长MODEL],MODEL缩写表[短MODEL],非皮卡压缩表[[#This Row],[MODEL]])</f>
        <v/>
      </c>
      <c r="O1213" s="22">
        <f>LEN(非皮卡压缩表[[#This Row],[SHORT-MODEL]])</f>
        <v/>
      </c>
      <c r="P1213" s="11">
        <f t="array" ref="P1213">TRIM(_xlfn.XLOOKUP(非皮卡压缩表[[#This Row],[BACKSIZE]],ALL尺码表[内部尺码],ALL尺码表[通用尺码]))</f>
        <v/>
      </c>
    </row>
    <row r="1214">
      <c r="A1214" s="17" t="inlineStr">
        <is>
          <t>ALL</t>
        </is>
      </c>
      <c r="B1214" s="18" t="inlineStr">
        <is>
          <t>Subaru Crosstrek</t>
        </is>
      </c>
      <c r="C1214" s="18" t="inlineStr">
        <is>
          <t>Subaru</t>
        </is>
      </c>
      <c r="D1214" s="18" t="inlineStr">
        <is>
          <t>Crosstrek</t>
        </is>
      </c>
      <c r="E1214" s="18" t="inlineStr">
        <is>
          <t>2013-2026</t>
        </is>
      </c>
      <c r="F1214" s="18" t="inlineStr">
        <is>
          <t>Incl: Wilderness</t>
        </is>
      </c>
      <c r="G1214" s="18" t="inlineStr">
        <is>
          <t>CUV</t>
        </is>
      </c>
      <c r="H1214" s="18" t="inlineStr">
        <is>
          <t>YM+</t>
        </is>
      </c>
      <c r="I1214" s="19">
        <f t="array" ref="I1214">TRIM(_xlfn.XLOOKUP(非皮卡压缩表[[#This Row],[BACKSIZE]],ALL尺码表[内部尺码],ALL尺码表[分类],""))</f>
        <v/>
      </c>
      <c r="J1214" s="19">
        <f t="array" ref="J1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4" s="20">
        <f>LEN(非皮卡压缩表[[#This Row],[LONG-TYPE]])</f>
        <v/>
      </c>
      <c r="L1214" s="21">
        <f t="array" ref="L1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4" s="22">
        <f>LEN(非皮卡压缩表[[#This Row],[TYPE]])</f>
        <v/>
      </c>
      <c r="N1214" s="22">
        <f t="array" ref="N1214">_xlfn.XLOOKUP(非皮卡压缩表[[#This Row],[MODEL]],MODEL缩写表[长MODEL],MODEL缩写表[短MODEL],非皮卡压缩表[[#This Row],[MODEL]])</f>
        <v/>
      </c>
      <c r="O1214" s="22">
        <f>LEN(非皮卡压缩表[[#This Row],[SHORT-MODEL]])</f>
        <v/>
      </c>
      <c r="P1214" s="11">
        <f t="array" ref="P1214">TRIM(_xlfn.XLOOKUP(非皮卡压缩表[[#This Row],[BACKSIZE]],ALL尺码表[内部尺码],ALL尺码表[通用尺码]))</f>
        <v/>
      </c>
    </row>
    <row r="1215">
      <c r="A1215" s="17" t="inlineStr">
        <is>
          <t>ALL</t>
        </is>
      </c>
      <c r="B1215" s="18" t="inlineStr">
        <is>
          <t>Subaru Forester</t>
        </is>
      </c>
      <c r="C1215" s="18" t="inlineStr">
        <is>
          <t>Subaru</t>
        </is>
      </c>
      <c r="D1215" s="18" t="inlineStr">
        <is>
          <t>Forester</t>
        </is>
      </c>
      <c r="E1215" s="18" t="inlineStr">
        <is>
          <t>1998-2013</t>
        </is>
      </c>
      <c r="F1215" s="18" t="inlineStr"/>
      <c r="G1215" s="18" t="inlineStr">
        <is>
          <t>SUV</t>
        </is>
      </c>
      <c r="H1215" s="18" t="inlineStr">
        <is>
          <t>YM+</t>
        </is>
      </c>
      <c r="I1215" s="19">
        <f t="array" ref="I1215">TRIM(_xlfn.XLOOKUP(非皮卡压缩表[[#This Row],[BACKSIZE]],ALL尺码表[内部尺码],ALL尺码表[分类],""))</f>
        <v/>
      </c>
      <c r="J1215" s="19">
        <f t="array" ref="J1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5" s="20">
        <f>LEN(非皮卡压缩表[[#This Row],[LONG-TYPE]])</f>
        <v/>
      </c>
      <c r="L1215" s="21">
        <f t="array" ref="L1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5" s="22">
        <f>LEN(非皮卡压缩表[[#This Row],[TYPE]])</f>
        <v/>
      </c>
      <c r="N1215" s="22">
        <f t="array" ref="N1215">_xlfn.XLOOKUP(非皮卡压缩表[[#This Row],[MODEL]],MODEL缩写表[长MODEL],MODEL缩写表[短MODEL],非皮卡压缩表[[#This Row],[MODEL]])</f>
        <v/>
      </c>
      <c r="O1215" s="22">
        <f>LEN(非皮卡压缩表[[#This Row],[SHORT-MODEL]])</f>
        <v/>
      </c>
      <c r="P1215" s="11">
        <f t="array" ref="P1215">TRIM(_xlfn.XLOOKUP(非皮卡压缩表[[#This Row],[BACKSIZE]],ALL尺码表[内部尺码],ALL尺码表[通用尺码]))</f>
        <v/>
      </c>
    </row>
    <row r="1216">
      <c r="A1216" s="17" t="inlineStr">
        <is>
          <t>ALL</t>
        </is>
      </c>
      <c r="B1216" s="18" t="inlineStr">
        <is>
          <t>Subaru Forester</t>
        </is>
      </c>
      <c r="C1216" s="18" t="inlineStr">
        <is>
          <t>Subaru</t>
        </is>
      </c>
      <c r="D1216" s="18" t="inlineStr">
        <is>
          <t>Forester</t>
        </is>
      </c>
      <c r="E1216" s="18" t="inlineStr">
        <is>
          <t>2014-2026</t>
        </is>
      </c>
      <c r="F1216" s="18" t="inlineStr">
        <is>
          <t>Incl: Wilderness</t>
        </is>
      </c>
      <c r="G1216" s="18" t="inlineStr">
        <is>
          <t>SUV</t>
        </is>
      </c>
      <c r="H1216" s="18" t="inlineStr">
        <is>
          <t>YL</t>
        </is>
      </c>
      <c r="I1216" s="19">
        <f t="array" ref="I1216">TRIM(_xlfn.XLOOKUP(非皮卡压缩表[[#This Row],[BACKSIZE]],ALL尺码表[内部尺码],ALL尺码表[分类],""))</f>
        <v/>
      </c>
      <c r="J1216" s="19">
        <f t="array" ref="J1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6" s="20">
        <f>LEN(非皮卡压缩表[[#This Row],[LONG-TYPE]])</f>
        <v/>
      </c>
      <c r="L1216" s="21">
        <f t="array" ref="L1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6" s="22">
        <f>LEN(非皮卡压缩表[[#This Row],[TYPE]])</f>
        <v/>
      </c>
      <c r="N1216" s="22">
        <f t="array" ref="N1216">_xlfn.XLOOKUP(非皮卡压缩表[[#This Row],[MODEL]],MODEL缩写表[长MODEL],MODEL缩写表[短MODEL],非皮卡压缩表[[#This Row],[MODEL]])</f>
        <v/>
      </c>
      <c r="O1216" s="22">
        <f>LEN(非皮卡压缩表[[#This Row],[SHORT-MODEL]])</f>
        <v/>
      </c>
      <c r="P1216" s="11">
        <f t="array" ref="P1216">TRIM(_xlfn.XLOOKUP(非皮卡压缩表[[#This Row],[BACKSIZE]],ALL尺码表[内部尺码],ALL尺码表[通用尺码]))</f>
        <v/>
      </c>
    </row>
    <row r="1217">
      <c r="A1217" s="17" t="inlineStr">
        <is>
          <t>ALL</t>
        </is>
      </c>
      <c r="B1217" s="18" t="inlineStr">
        <is>
          <t>Subaru Impreza</t>
        </is>
      </c>
      <c r="C1217" s="18" t="inlineStr">
        <is>
          <t>Subaru</t>
        </is>
      </c>
      <c r="D1217" s="18" t="inlineStr">
        <is>
          <t>Impreza</t>
        </is>
      </c>
      <c r="E1217" s="18" t="inlineStr">
        <is>
          <t>1993-2026</t>
        </is>
      </c>
      <c r="F1217" s="18" t="inlineStr">
        <is>
          <t>Incl: Outback Sport</t>
        </is>
      </c>
      <c r="G1217" s="18" t="inlineStr">
        <is>
          <t>Hatchback/Wagon</t>
        </is>
      </c>
      <c r="H1217" s="18" t="inlineStr">
        <is>
          <t>2L+</t>
        </is>
      </c>
      <c r="I1217" s="19">
        <f t="array" ref="I1217">TRIM(_xlfn.XLOOKUP(非皮卡压缩表[[#This Row],[BACKSIZE]],ALL尺码表[内部尺码],ALL尺码表[分类],""))</f>
        <v/>
      </c>
      <c r="J1217" s="19">
        <f t="array" ref="J1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7" s="20">
        <f>LEN(非皮卡压缩表[[#This Row],[LONG-TYPE]])</f>
        <v/>
      </c>
      <c r="L1217" s="21">
        <f t="array" ref="L1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7" s="22">
        <f>LEN(非皮卡压缩表[[#This Row],[TYPE]])</f>
        <v/>
      </c>
      <c r="N1217" s="22">
        <f t="array" ref="N1217">_xlfn.XLOOKUP(非皮卡压缩表[[#This Row],[MODEL]],MODEL缩写表[长MODEL],MODEL缩写表[短MODEL],非皮卡压缩表[[#This Row],[MODEL]])</f>
        <v/>
      </c>
      <c r="O1217" s="22">
        <f>LEN(非皮卡压缩表[[#This Row],[SHORT-MODEL]])</f>
        <v/>
      </c>
      <c r="P1217" s="11">
        <f t="array" ref="P1217">TRIM(_xlfn.XLOOKUP(非皮卡压缩表[[#This Row],[BACKSIZE]],ALL尺码表[内部尺码],ALL尺码表[通用尺码]))</f>
        <v/>
      </c>
    </row>
    <row r="1218">
      <c r="A1218" s="17" t="inlineStr">
        <is>
          <t>ALL</t>
        </is>
      </c>
      <c r="B1218" s="18" t="inlineStr">
        <is>
          <t>Subaru Impreza</t>
        </is>
      </c>
      <c r="C1218" s="18" t="inlineStr">
        <is>
          <t>Subaru</t>
        </is>
      </c>
      <c r="D1218" s="18" t="inlineStr">
        <is>
          <t>Impreza</t>
        </is>
      </c>
      <c r="E1218" s="18" t="inlineStr">
        <is>
          <t>1993-2023</t>
        </is>
      </c>
      <c r="F1218" s="18" t="inlineStr"/>
      <c r="G1218" s="18" t="inlineStr">
        <is>
          <t>Sedan</t>
        </is>
      </c>
      <c r="H1218" s="18" t="inlineStr">
        <is>
          <t>3L</t>
        </is>
      </c>
      <c r="I1218" s="19">
        <f t="array" ref="I1218">TRIM(_xlfn.XLOOKUP(非皮卡压缩表[[#This Row],[BACKSIZE]],ALL尺码表[内部尺码],ALL尺码表[分类],""))</f>
        <v/>
      </c>
      <c r="J1218" s="19">
        <f t="array" ref="J1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8" s="20">
        <f>LEN(非皮卡压缩表[[#This Row],[LONG-TYPE]])</f>
        <v/>
      </c>
      <c r="L1218" s="21">
        <f t="array" ref="L1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8" s="22">
        <f>LEN(非皮卡压缩表[[#This Row],[TYPE]])</f>
        <v/>
      </c>
      <c r="N1218" s="22">
        <f t="array" ref="N1218">_xlfn.XLOOKUP(非皮卡压缩表[[#This Row],[MODEL]],MODEL缩写表[长MODEL],MODEL缩写表[短MODEL],非皮卡压缩表[[#This Row],[MODEL]])</f>
        <v/>
      </c>
      <c r="O1218" s="22">
        <f>LEN(非皮卡压缩表[[#This Row],[SHORT-MODEL]])</f>
        <v/>
      </c>
      <c r="P1218" s="11">
        <f t="array" ref="P1218">TRIM(_xlfn.XLOOKUP(非皮卡压缩表[[#This Row],[BACKSIZE]],ALL尺码表[内部尺码],ALL尺码表[通用尺码]))</f>
        <v/>
      </c>
    </row>
    <row r="1219" ht="30" customHeight="1" s="23">
      <c r="A1219" s="17" t="inlineStr">
        <is>
          <t>ALL</t>
        </is>
      </c>
      <c r="B1219" s="18" t="inlineStr">
        <is>
          <t>Subaru Impreza</t>
        </is>
      </c>
      <c r="C1219" s="18" t="inlineStr">
        <is>
          <t>Subaru</t>
        </is>
      </c>
      <c r="D1219" s="18" t="inlineStr">
        <is>
          <t>Impreza</t>
        </is>
      </c>
      <c r="E1219" s="18" t="inlineStr">
        <is>
          <t>1995-2001</t>
        </is>
      </c>
      <c r="F1219" s="18" t="inlineStr"/>
      <c r="G1219" s="18" t="inlineStr">
        <is>
          <t>Coupe</t>
        </is>
      </c>
      <c r="H1219" s="18" t="inlineStr">
        <is>
          <t>3M-0</t>
        </is>
      </c>
      <c r="I1219" s="19">
        <f t="array" ref="I1219">TRIM(_xlfn.XLOOKUP(非皮卡压缩表[[#This Row],[BACKSIZE]],ALL尺码表[内部尺码],ALL尺码表[分类],""))</f>
        <v/>
      </c>
      <c r="J1219" s="19">
        <f t="array" ref="J1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9" s="20">
        <f>LEN(非皮卡压缩表[[#This Row],[LONG-TYPE]])</f>
        <v/>
      </c>
      <c r="L1219" s="21">
        <f t="array" ref="L1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9" s="22">
        <f>LEN(非皮卡压缩表[[#This Row],[TYPE]])</f>
        <v/>
      </c>
      <c r="N1219" s="22">
        <f t="array" ref="N1219">_xlfn.XLOOKUP(非皮卡压缩表[[#This Row],[MODEL]],MODEL缩写表[长MODEL],MODEL缩写表[短MODEL],非皮卡压缩表[[#This Row],[MODEL]])</f>
        <v/>
      </c>
      <c r="O1219" s="22">
        <f>LEN(非皮卡压缩表[[#This Row],[SHORT-MODEL]])</f>
        <v/>
      </c>
      <c r="P1219" s="11">
        <f t="array" ref="P1219">TRIM(_xlfn.XLOOKUP(非皮卡压缩表[[#This Row],[BACKSIZE]],ALL尺码表[内部尺码],ALL尺码表[通用尺码]))</f>
        <v/>
      </c>
    </row>
    <row r="1220">
      <c r="A1220" s="17" t="inlineStr">
        <is>
          <t>ALL</t>
        </is>
      </c>
      <c r="B1220" s="18" t="inlineStr">
        <is>
          <t>Subaru Legacy</t>
        </is>
      </c>
      <c r="C1220" s="18" t="inlineStr">
        <is>
          <t>Subaru</t>
        </is>
      </c>
      <c r="D1220" s="18" t="inlineStr">
        <is>
          <t>Legacy</t>
        </is>
      </c>
      <c r="E1220" s="18" t="inlineStr">
        <is>
          <t>1990-2007</t>
        </is>
      </c>
      <c r="F1220" s="18" t="inlineStr"/>
      <c r="G1220" s="18" t="inlineStr">
        <is>
          <t>Wagon</t>
        </is>
      </c>
      <c r="H1220" s="18" t="inlineStr">
        <is>
          <t>2XL</t>
        </is>
      </c>
      <c r="I1220" s="19">
        <f t="array" ref="I1220">TRIM(_xlfn.XLOOKUP(非皮卡压缩表[[#This Row],[BACKSIZE]],ALL尺码表[内部尺码],ALL尺码表[分类],""))</f>
        <v/>
      </c>
      <c r="J1220" s="19">
        <f t="array" ref="J1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0" s="20">
        <f>LEN(非皮卡压缩表[[#This Row],[LONG-TYPE]])</f>
        <v/>
      </c>
      <c r="L1220" s="21">
        <f t="array" ref="L1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0" s="22">
        <f>LEN(非皮卡压缩表[[#This Row],[TYPE]])</f>
        <v/>
      </c>
      <c r="N1220" s="22">
        <f t="array" ref="N1220">_xlfn.XLOOKUP(非皮卡压缩表[[#This Row],[MODEL]],MODEL缩写表[长MODEL],MODEL缩写表[短MODEL],非皮卡压缩表[[#This Row],[MODEL]])</f>
        <v/>
      </c>
      <c r="O1220" s="22">
        <f>LEN(非皮卡压缩表[[#This Row],[SHORT-MODEL]])</f>
        <v/>
      </c>
      <c r="P1220" s="11">
        <f t="array" ref="P1220">TRIM(_xlfn.XLOOKUP(非皮卡压缩表[[#This Row],[BACKSIZE]],ALL尺码表[内部尺码],ALL尺码表[通用尺码]))</f>
        <v/>
      </c>
    </row>
    <row r="1221">
      <c r="A1221" s="17" t="inlineStr">
        <is>
          <t>ALL</t>
        </is>
      </c>
      <c r="B1221" s="18" t="inlineStr">
        <is>
          <t>Subaru Legacy</t>
        </is>
      </c>
      <c r="C1221" s="18" t="inlineStr">
        <is>
          <t>Subaru</t>
        </is>
      </c>
      <c r="D1221" s="18" t="inlineStr">
        <is>
          <t>Legacy</t>
        </is>
      </c>
      <c r="E1221" s="18" t="inlineStr">
        <is>
          <t>1990-2009</t>
        </is>
      </c>
      <c r="F1221" s="18" t="inlineStr"/>
      <c r="G1221" s="18" t="inlineStr">
        <is>
          <t>Sedan</t>
        </is>
      </c>
      <c r="H1221" s="18" t="inlineStr">
        <is>
          <t>3L</t>
        </is>
      </c>
      <c r="I1221" s="19">
        <f t="array" ref="I1221">TRIM(_xlfn.XLOOKUP(非皮卡压缩表[[#This Row],[BACKSIZE]],ALL尺码表[内部尺码],ALL尺码表[分类],""))</f>
        <v/>
      </c>
      <c r="J1221" s="19">
        <f t="array" ref="J1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1" s="20">
        <f>LEN(非皮卡压缩表[[#This Row],[LONG-TYPE]])</f>
        <v/>
      </c>
      <c r="L1221" s="21">
        <f t="array" ref="L1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1" s="22">
        <f>LEN(非皮卡压缩表[[#This Row],[TYPE]])</f>
        <v/>
      </c>
      <c r="N1221" s="22">
        <f t="array" ref="N1221">_xlfn.XLOOKUP(非皮卡压缩表[[#This Row],[MODEL]],MODEL缩写表[长MODEL],MODEL缩写表[短MODEL],非皮卡压缩表[[#This Row],[MODEL]])</f>
        <v/>
      </c>
      <c r="O1221" s="22">
        <f>LEN(非皮卡压缩表[[#This Row],[SHORT-MODEL]])</f>
        <v/>
      </c>
      <c r="P1221" s="11">
        <f t="array" ref="P1221">TRIM(_xlfn.XLOOKUP(非皮卡压缩表[[#This Row],[BACKSIZE]],ALL尺码表[内部尺码],ALL尺码表[通用尺码]))</f>
        <v/>
      </c>
    </row>
    <row r="1222">
      <c r="A1222" s="17" t="inlineStr">
        <is>
          <t>ALL</t>
        </is>
      </c>
      <c r="B1222" s="18" t="inlineStr">
        <is>
          <t>Subaru Legacy</t>
        </is>
      </c>
      <c r="C1222" s="18" t="inlineStr">
        <is>
          <t>Subaru</t>
        </is>
      </c>
      <c r="D1222" s="18" t="inlineStr">
        <is>
          <t>Legacy</t>
        </is>
      </c>
      <c r="E1222" s="18" t="inlineStr">
        <is>
          <t>2010-2025</t>
        </is>
      </c>
      <c r="F1222" s="18" t="inlineStr"/>
      <c r="G1222" s="18" t="inlineStr">
        <is>
          <t>Sedan</t>
        </is>
      </c>
      <c r="H1222" s="18" t="inlineStr">
        <is>
          <t>3XL</t>
        </is>
      </c>
      <c r="I1222" s="19">
        <f t="array" ref="I1222">TRIM(_xlfn.XLOOKUP(非皮卡压缩表[[#This Row],[BACKSIZE]],ALL尺码表[内部尺码],ALL尺码表[分类],""))</f>
        <v/>
      </c>
      <c r="J1222" s="19">
        <f t="array" ref="J1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2" s="20">
        <f>LEN(非皮卡压缩表[[#This Row],[LONG-TYPE]])</f>
        <v/>
      </c>
      <c r="L1222" s="21">
        <f t="array" ref="L1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2" s="22">
        <f>LEN(非皮卡压缩表[[#This Row],[TYPE]])</f>
        <v/>
      </c>
      <c r="N1222" s="22">
        <f t="array" ref="N1222">_xlfn.XLOOKUP(非皮卡压缩表[[#This Row],[MODEL]],MODEL缩写表[长MODEL],MODEL缩写表[短MODEL],非皮卡压缩表[[#This Row],[MODEL]])</f>
        <v/>
      </c>
      <c r="O1222" s="22">
        <f>LEN(非皮卡压缩表[[#This Row],[SHORT-MODEL]])</f>
        <v/>
      </c>
      <c r="P1222" s="11">
        <f t="array" ref="P1222">TRIM(_xlfn.XLOOKUP(非皮卡压缩表[[#This Row],[BACKSIZE]],ALL尺码表[内部尺码],ALL尺码表[通用尺码]))</f>
        <v/>
      </c>
    </row>
    <row r="1223">
      <c r="A1223" s="17" t="inlineStr">
        <is>
          <t>ALL</t>
        </is>
      </c>
      <c r="B1223" s="18" t="inlineStr">
        <is>
          <t>Subaru Outback</t>
        </is>
      </c>
      <c r="C1223" s="18" t="inlineStr">
        <is>
          <t>Subaru</t>
        </is>
      </c>
      <c r="D1223" s="18" t="inlineStr">
        <is>
          <t>Outback</t>
        </is>
      </c>
      <c r="E1223" s="18" t="inlineStr">
        <is>
          <t>1995-2019</t>
        </is>
      </c>
      <c r="F1223" s="18" t="inlineStr"/>
      <c r="G1223" s="18" t="inlineStr">
        <is>
          <t>Hatchback/Wagon</t>
        </is>
      </c>
      <c r="H1223" s="18" t="inlineStr">
        <is>
          <t>2XL</t>
        </is>
      </c>
      <c r="I1223" s="19">
        <f t="array" ref="I1223">TRIM(_xlfn.XLOOKUP(非皮卡压缩表[[#This Row],[BACKSIZE]],ALL尺码表[内部尺码],ALL尺码表[分类],""))</f>
        <v/>
      </c>
      <c r="J1223" s="19">
        <f t="array" ref="J1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3" s="20">
        <f>LEN(非皮卡压缩表[[#This Row],[LONG-TYPE]])</f>
        <v/>
      </c>
      <c r="L1223" s="21">
        <f t="array" ref="L1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3" s="22">
        <f>LEN(非皮卡压缩表[[#This Row],[TYPE]])</f>
        <v/>
      </c>
      <c r="N1223" s="22">
        <f t="array" ref="N1223">_xlfn.XLOOKUP(非皮卡压缩表[[#This Row],[MODEL]],MODEL缩写表[长MODEL],MODEL缩写表[短MODEL],非皮卡压缩表[[#This Row],[MODEL]])</f>
        <v/>
      </c>
      <c r="O1223" s="22">
        <f>LEN(非皮卡压缩表[[#This Row],[SHORT-MODEL]])</f>
        <v/>
      </c>
      <c r="P1223" s="11">
        <f t="array" ref="P1223">TRIM(_xlfn.XLOOKUP(非皮卡压缩表[[#This Row],[BACKSIZE]],ALL尺码表[内部尺码],ALL尺码表[通用尺码]))</f>
        <v/>
      </c>
    </row>
    <row r="1224">
      <c r="A1224" s="17" t="inlineStr">
        <is>
          <t>ALL</t>
        </is>
      </c>
      <c r="B1224" s="18" t="inlineStr">
        <is>
          <t>Subaru Outback</t>
        </is>
      </c>
      <c r="C1224" s="18" t="inlineStr">
        <is>
          <t>Subaru</t>
        </is>
      </c>
      <c r="D1224" s="18" t="inlineStr">
        <is>
          <t>Outback</t>
        </is>
      </c>
      <c r="E1224" s="18" t="inlineStr">
        <is>
          <t>2020-2026</t>
        </is>
      </c>
      <c r="F1224" s="18" t="inlineStr">
        <is>
          <t>Incl: Wilderness</t>
        </is>
      </c>
      <c r="G1224" s="18" t="inlineStr">
        <is>
          <t>Hatchback/Wagon</t>
        </is>
      </c>
      <c r="H1224" s="18" t="inlineStr">
        <is>
          <t>2XL+</t>
        </is>
      </c>
      <c r="I1224" s="19">
        <f t="array" ref="I1224">TRIM(_xlfn.XLOOKUP(非皮卡压缩表[[#This Row],[BACKSIZE]],ALL尺码表[内部尺码],ALL尺码表[分类],""))</f>
        <v/>
      </c>
      <c r="J1224" s="19">
        <f t="array" ref="J1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4" s="20">
        <f>LEN(非皮卡压缩表[[#This Row],[LONG-TYPE]])</f>
        <v/>
      </c>
      <c r="L1224" s="21">
        <f t="array" ref="L1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4" s="22">
        <f>LEN(非皮卡压缩表[[#This Row],[TYPE]])</f>
        <v/>
      </c>
      <c r="N1224" s="22">
        <f t="array" ref="N1224">_xlfn.XLOOKUP(非皮卡压缩表[[#This Row],[MODEL]],MODEL缩写表[长MODEL],MODEL缩写表[短MODEL],非皮卡压缩表[[#This Row],[MODEL]])</f>
        <v/>
      </c>
      <c r="O1224" s="22">
        <f>LEN(非皮卡压缩表[[#This Row],[SHORT-MODEL]])</f>
        <v/>
      </c>
      <c r="P1224" s="11">
        <f t="array" ref="P1224">TRIM(_xlfn.XLOOKUP(非皮卡压缩表[[#This Row],[BACKSIZE]],ALL尺码表[内部尺码],ALL尺码表[通用尺码]))</f>
        <v/>
      </c>
    </row>
    <row r="1225">
      <c r="A1225" s="17" t="inlineStr">
        <is>
          <t>ALL</t>
        </is>
      </c>
      <c r="B1225" s="18" t="inlineStr">
        <is>
          <t>Subaru Outback Sport</t>
        </is>
      </c>
      <c r="C1225" s="18" t="inlineStr">
        <is>
          <t>Subaru</t>
        </is>
      </c>
      <c r="D1225" s="18" t="inlineStr">
        <is>
          <t>Outback Sport</t>
        </is>
      </c>
      <c r="E1225" s="18" t="inlineStr">
        <is>
          <t>1995-2011</t>
        </is>
      </c>
      <c r="F1225" s="18" t="inlineStr">
        <is>
          <t>Incl: Outback Sport</t>
        </is>
      </c>
      <c r="G1225" s="18" t="inlineStr">
        <is>
          <t>Hatchback/Wagon</t>
        </is>
      </c>
      <c r="H1225" s="18" t="inlineStr">
        <is>
          <t>2L+</t>
        </is>
      </c>
      <c r="I1225" s="19">
        <f t="array" ref="I1225">TRIM(_xlfn.XLOOKUP(非皮卡压缩表[[#This Row],[BACKSIZE]],ALL尺码表[内部尺码],ALL尺码表[分类],""))</f>
        <v/>
      </c>
      <c r="J1225" s="19">
        <f t="array" ref="J1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5" s="20">
        <f>LEN(非皮卡压缩表[[#This Row],[LONG-TYPE]])</f>
        <v/>
      </c>
      <c r="L1225" s="21">
        <f t="array" ref="L1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5" s="22">
        <f>LEN(非皮卡压缩表[[#This Row],[TYPE]])</f>
        <v/>
      </c>
      <c r="N1225" s="22">
        <f t="array" ref="N1225">_xlfn.XLOOKUP(非皮卡压缩表[[#This Row],[MODEL]],MODEL缩写表[长MODEL],MODEL缩写表[短MODEL],非皮卡压缩表[[#This Row],[MODEL]])</f>
        <v/>
      </c>
      <c r="O1225" s="22">
        <f>LEN(非皮卡压缩表[[#This Row],[SHORT-MODEL]])</f>
        <v/>
      </c>
      <c r="P1225" s="11">
        <f t="array" ref="P1225">TRIM(_xlfn.XLOOKUP(非皮卡压缩表[[#This Row],[BACKSIZE]],ALL尺码表[内部尺码],ALL尺码表[通用尺码]))</f>
        <v/>
      </c>
    </row>
    <row r="1226">
      <c r="A1226" s="17" t="inlineStr">
        <is>
          <t>ALL</t>
        </is>
      </c>
      <c r="B1226" s="18" t="inlineStr">
        <is>
          <t>Subaru Solterra</t>
        </is>
      </c>
      <c r="C1226" s="18" t="inlineStr">
        <is>
          <t>Subaru</t>
        </is>
      </c>
      <c r="D1226" s="18" t="inlineStr">
        <is>
          <t>Solterra</t>
        </is>
      </c>
      <c r="E1226" s="18" t="inlineStr">
        <is>
          <t>2023-2026</t>
        </is>
      </c>
      <c r="F1226" s="18" t="inlineStr"/>
      <c r="G1226" s="18" t="inlineStr">
        <is>
          <t>SUV</t>
        </is>
      </c>
      <c r="H1226" s="18" t="inlineStr">
        <is>
          <t>YL</t>
        </is>
      </c>
      <c r="I1226" s="19">
        <f t="array" ref="I1226">TRIM(_xlfn.XLOOKUP(非皮卡压缩表[[#This Row],[BACKSIZE]],ALL尺码表[内部尺码],ALL尺码表[分类],""))</f>
        <v/>
      </c>
      <c r="J1226" s="19">
        <f t="array" ref="J1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6" s="20">
        <f>LEN(非皮卡压缩表[[#This Row],[LONG-TYPE]])</f>
        <v/>
      </c>
      <c r="L1226" s="21">
        <f t="array" ref="L1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6" s="22">
        <f>LEN(非皮卡压缩表[[#This Row],[TYPE]])</f>
        <v/>
      </c>
      <c r="N1226" s="22">
        <f t="array" ref="N1226">_xlfn.XLOOKUP(非皮卡压缩表[[#This Row],[MODEL]],MODEL缩写表[长MODEL],MODEL缩写表[短MODEL],非皮卡压缩表[[#This Row],[MODEL]])</f>
        <v/>
      </c>
      <c r="O1226" s="22">
        <f>LEN(非皮卡压缩表[[#This Row],[SHORT-MODEL]])</f>
        <v/>
      </c>
      <c r="P1226" s="11">
        <f t="array" ref="P1226">TRIM(_xlfn.XLOOKUP(非皮卡压缩表[[#This Row],[BACKSIZE]],ALL尺码表[内部尺码],ALL尺码表[通用尺码]))</f>
        <v/>
      </c>
    </row>
    <row r="1227">
      <c r="A1227" s="17" t="inlineStr">
        <is>
          <t>ALL</t>
        </is>
      </c>
      <c r="B1227" s="18" t="inlineStr">
        <is>
          <t>Subaru Tribeca</t>
        </is>
      </c>
      <c r="C1227" s="18" t="inlineStr">
        <is>
          <t>Subaru</t>
        </is>
      </c>
      <c r="D1227" s="18" t="inlineStr">
        <is>
          <t>Tribeca</t>
        </is>
      </c>
      <c r="E1227" s="18" t="inlineStr">
        <is>
          <t>2006-2014</t>
        </is>
      </c>
      <c r="F1227" s="18" t="inlineStr"/>
      <c r="G1227" s="18" t="inlineStr">
        <is>
          <t>SUV</t>
        </is>
      </c>
      <c r="H1227" s="18" t="inlineStr">
        <is>
          <t>YXL</t>
        </is>
      </c>
      <c r="I1227" s="19">
        <f t="array" ref="I1227">TRIM(_xlfn.XLOOKUP(非皮卡压缩表[[#This Row],[BACKSIZE]],ALL尺码表[内部尺码],ALL尺码表[分类],""))</f>
        <v/>
      </c>
      <c r="J1227" s="19">
        <f t="array" ref="J1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7" s="20">
        <f>LEN(非皮卡压缩表[[#This Row],[LONG-TYPE]])</f>
        <v/>
      </c>
      <c r="L1227" s="21">
        <f t="array" ref="L1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7" s="22">
        <f>LEN(非皮卡压缩表[[#This Row],[TYPE]])</f>
        <v/>
      </c>
      <c r="N1227" s="22">
        <f t="array" ref="N1227">_xlfn.XLOOKUP(非皮卡压缩表[[#This Row],[MODEL]],MODEL缩写表[长MODEL],MODEL缩写表[短MODEL],非皮卡压缩表[[#This Row],[MODEL]])</f>
        <v/>
      </c>
      <c r="O1227" s="22">
        <f>LEN(非皮卡压缩表[[#This Row],[SHORT-MODEL]])</f>
        <v/>
      </c>
      <c r="P1227" s="11">
        <f t="array" ref="P1227">TRIM(_xlfn.XLOOKUP(非皮卡压缩表[[#This Row],[BACKSIZE]],ALL尺码表[内部尺码],ALL尺码表[通用尺码]))</f>
        <v/>
      </c>
    </row>
    <row r="1228">
      <c r="A1228" s="17" t="inlineStr">
        <is>
          <t>ALL</t>
        </is>
      </c>
      <c r="B1228" s="18" t="inlineStr">
        <is>
          <t>Subaru WRX</t>
        </is>
      </c>
      <c r="C1228" s="18" t="inlineStr">
        <is>
          <t>Subaru</t>
        </is>
      </c>
      <c r="D1228" s="18" t="inlineStr">
        <is>
          <t>WRX</t>
        </is>
      </c>
      <c r="E1228" s="18" t="inlineStr">
        <is>
          <t>2002-2014</t>
        </is>
      </c>
      <c r="F1228" s="18" t="inlineStr">
        <is>
          <t>STI/WRX</t>
        </is>
      </c>
      <c r="G1228" s="18" t="inlineStr">
        <is>
          <t>Hatchback/Wagon</t>
        </is>
      </c>
      <c r="H1228" s="18" t="inlineStr">
        <is>
          <t>2L+</t>
        </is>
      </c>
      <c r="I1228" s="19">
        <f t="array" ref="I1228">TRIM(_xlfn.XLOOKUP(非皮卡压缩表[[#This Row],[BACKSIZE]],ALL尺码表[内部尺码],ALL尺码表[分类],""))</f>
        <v/>
      </c>
      <c r="J1228" s="19">
        <f t="array" ref="J1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8" s="20">
        <f>LEN(非皮卡压缩表[[#This Row],[LONG-TYPE]])</f>
        <v/>
      </c>
      <c r="L1228" s="21">
        <f t="array" ref="L1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8" s="22">
        <f>LEN(非皮卡压缩表[[#This Row],[TYPE]])</f>
        <v/>
      </c>
      <c r="N1228" s="22">
        <f t="array" ref="N1228">_xlfn.XLOOKUP(非皮卡压缩表[[#This Row],[MODEL]],MODEL缩写表[长MODEL],MODEL缩写表[短MODEL],非皮卡压缩表[[#This Row],[MODEL]])</f>
        <v/>
      </c>
      <c r="O1228" s="22">
        <f>LEN(非皮卡压缩表[[#This Row],[SHORT-MODEL]])</f>
        <v/>
      </c>
      <c r="P1228" s="11">
        <f t="array" ref="P1228">TRIM(_xlfn.XLOOKUP(非皮卡压缩表[[#This Row],[BACKSIZE]],ALL尺码表[内部尺码],ALL尺码表[通用尺码]))</f>
        <v/>
      </c>
    </row>
    <row r="1229" ht="30" customHeight="1" s="23">
      <c r="A1229" s="17" t="inlineStr">
        <is>
          <t>ALL</t>
        </is>
      </c>
      <c r="B1229" s="18" t="inlineStr">
        <is>
          <t>Subaru WRX</t>
        </is>
      </c>
      <c r="C1229" s="18" t="inlineStr">
        <is>
          <t>Subaru</t>
        </is>
      </c>
      <c r="D1229" s="18" t="inlineStr">
        <is>
          <t>WRX</t>
        </is>
      </c>
      <c r="E1229" s="18" t="inlineStr">
        <is>
          <t>2002-2026</t>
        </is>
      </c>
      <c r="F1229" s="18" t="inlineStr">
        <is>
          <t>STI/WRX</t>
        </is>
      </c>
      <c r="G1229" s="18" t="inlineStr">
        <is>
          <t>Sedan</t>
        </is>
      </c>
      <c r="H1229" s="18" t="inlineStr">
        <is>
          <t>3L</t>
        </is>
      </c>
      <c r="I1229" s="19">
        <f t="array" ref="I1229">TRIM(_xlfn.XLOOKUP(非皮卡压缩表[[#This Row],[BACKSIZE]],ALL尺码表[内部尺码],ALL尺码表[分类],""))</f>
        <v/>
      </c>
      <c r="J1229" s="19">
        <f t="array" ref="J1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9" s="20">
        <f>LEN(非皮卡压缩表[[#This Row],[LONG-TYPE]])</f>
        <v/>
      </c>
      <c r="L1229" s="21">
        <f t="array" ref="L1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9" s="22">
        <f>LEN(非皮卡压缩表[[#This Row],[TYPE]])</f>
        <v/>
      </c>
      <c r="N1229" s="22">
        <f t="array" ref="N1229">_xlfn.XLOOKUP(非皮卡压缩表[[#This Row],[MODEL]],MODEL缩写表[长MODEL],MODEL缩写表[短MODEL],非皮卡压缩表[[#This Row],[MODEL]])</f>
        <v/>
      </c>
      <c r="O1229" s="22">
        <f>LEN(非皮卡压缩表[[#This Row],[SHORT-MODEL]])</f>
        <v/>
      </c>
      <c r="P1229" s="11">
        <f t="array" ref="P1229">TRIM(_xlfn.XLOOKUP(非皮卡压缩表[[#This Row],[BACKSIZE]],ALL尺码表[内部尺码],ALL尺码表[通用尺码]))</f>
        <v/>
      </c>
    </row>
    <row r="1230">
      <c r="A1230" s="17" t="inlineStr">
        <is>
          <t>ALL</t>
        </is>
      </c>
      <c r="B1230" s="18" t="inlineStr">
        <is>
          <t>Suzuki Aerio</t>
        </is>
      </c>
      <c r="C1230" s="18" t="inlineStr">
        <is>
          <t>Suzuki</t>
        </is>
      </c>
      <c r="D1230" s="18" t="inlineStr">
        <is>
          <t>Aerio</t>
        </is>
      </c>
      <c r="E1230" s="18" t="inlineStr">
        <is>
          <t>2002-2005</t>
        </is>
      </c>
      <c r="F1230" s="18" t="inlineStr"/>
      <c r="G1230" s="18" t="inlineStr">
        <is>
          <t>Wagon</t>
        </is>
      </c>
      <c r="H1230" s="18" t="inlineStr">
        <is>
          <t>2L+</t>
        </is>
      </c>
      <c r="I1230" s="19">
        <f t="array" ref="I1230">TRIM(_xlfn.XLOOKUP(非皮卡压缩表[[#This Row],[BACKSIZE]],ALL尺码表[内部尺码],ALL尺码表[分类],""))</f>
        <v/>
      </c>
      <c r="J1230" s="19">
        <f t="array" ref="J1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0" s="20">
        <f>LEN(非皮卡压缩表[[#This Row],[LONG-TYPE]])</f>
        <v/>
      </c>
      <c r="L1230" s="21">
        <f t="array" ref="L1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0" s="22">
        <f>LEN(非皮卡压缩表[[#This Row],[TYPE]])</f>
        <v/>
      </c>
      <c r="N1230" s="22">
        <f t="array" ref="N1230">_xlfn.XLOOKUP(非皮卡压缩表[[#This Row],[MODEL]],MODEL缩写表[长MODEL],MODEL缩写表[短MODEL],非皮卡压缩表[[#This Row],[MODEL]])</f>
        <v/>
      </c>
      <c r="O1230" s="22">
        <f>LEN(非皮卡压缩表[[#This Row],[SHORT-MODEL]])</f>
        <v/>
      </c>
      <c r="P1230" s="11">
        <f t="array" ref="P1230">TRIM(_xlfn.XLOOKUP(非皮卡压缩表[[#This Row],[BACKSIZE]],ALL尺码表[内部尺码],ALL尺码表[通用尺码]))</f>
        <v/>
      </c>
    </row>
    <row r="1231">
      <c r="A1231" s="17" t="inlineStr">
        <is>
          <t>ALL</t>
        </is>
      </c>
      <c r="B1231" s="18" t="inlineStr">
        <is>
          <t>Suzuki Aerio</t>
        </is>
      </c>
      <c r="C1231" s="18" t="inlineStr">
        <is>
          <t>Suzuki</t>
        </is>
      </c>
      <c r="D1231" s="18" t="inlineStr">
        <is>
          <t>Aerio</t>
        </is>
      </c>
      <c r="E1231" s="18" t="inlineStr">
        <is>
          <t>2002-2007</t>
        </is>
      </c>
      <c r="F1231" s="18" t="inlineStr"/>
      <c r="G1231" s="18" t="inlineStr">
        <is>
          <t>Sedan</t>
        </is>
      </c>
      <c r="H1231" s="18" t="inlineStr">
        <is>
          <t>3L</t>
        </is>
      </c>
      <c r="I1231" s="19">
        <f t="array" ref="I1231">TRIM(_xlfn.XLOOKUP(非皮卡压缩表[[#This Row],[BACKSIZE]],ALL尺码表[内部尺码],ALL尺码表[分类],""))</f>
        <v/>
      </c>
      <c r="J1231" s="19">
        <f t="array" ref="J1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1" s="20">
        <f>LEN(非皮卡压缩表[[#This Row],[LONG-TYPE]])</f>
        <v/>
      </c>
      <c r="L1231" s="21">
        <f t="array" ref="L1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1" s="22">
        <f>LEN(非皮卡压缩表[[#This Row],[TYPE]])</f>
        <v/>
      </c>
      <c r="N1231" s="22">
        <f t="array" ref="N1231">_xlfn.XLOOKUP(非皮卡压缩表[[#This Row],[MODEL]],MODEL缩写表[长MODEL],MODEL缩写表[短MODEL],非皮卡压缩表[[#This Row],[MODEL]])</f>
        <v/>
      </c>
      <c r="O1231" s="22">
        <f>LEN(非皮卡压缩表[[#This Row],[SHORT-MODEL]])</f>
        <v/>
      </c>
      <c r="P1231" s="11">
        <f t="array" ref="P1231">TRIM(_xlfn.XLOOKUP(非皮卡压缩表[[#This Row],[BACKSIZE]],ALL尺码表[内部尺码],ALL尺码表[通用尺码]))</f>
        <v/>
      </c>
    </row>
    <row r="1232">
      <c r="A1232" s="17" t="inlineStr">
        <is>
          <t>ALL</t>
        </is>
      </c>
      <c r="B1232" s="18" t="inlineStr">
        <is>
          <t>Suzuki Forenza</t>
        </is>
      </c>
      <c r="C1232" s="18" t="inlineStr">
        <is>
          <t>Suzuki</t>
        </is>
      </c>
      <c r="D1232" s="18" t="inlineStr">
        <is>
          <t>Forenza</t>
        </is>
      </c>
      <c r="E1232" s="18" t="inlineStr">
        <is>
          <t>2004-2008</t>
        </is>
      </c>
      <c r="F1232" s="18" t="inlineStr"/>
      <c r="G1232" s="18" t="inlineStr">
        <is>
          <t>Wagon</t>
        </is>
      </c>
      <c r="H1232" s="18" t="inlineStr">
        <is>
          <t>2XL</t>
        </is>
      </c>
      <c r="I1232" s="19">
        <f t="array" ref="I1232">TRIM(_xlfn.XLOOKUP(非皮卡压缩表[[#This Row],[BACKSIZE]],ALL尺码表[内部尺码],ALL尺码表[分类],""))</f>
        <v/>
      </c>
      <c r="J1232" s="19">
        <f t="array" ref="J1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2" s="20">
        <f>LEN(非皮卡压缩表[[#This Row],[LONG-TYPE]])</f>
        <v/>
      </c>
      <c r="L1232" s="21">
        <f t="array" ref="L1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2" s="22">
        <f>LEN(非皮卡压缩表[[#This Row],[TYPE]])</f>
        <v/>
      </c>
      <c r="N1232" s="22">
        <f t="array" ref="N1232">_xlfn.XLOOKUP(非皮卡压缩表[[#This Row],[MODEL]],MODEL缩写表[长MODEL],MODEL缩写表[短MODEL],非皮卡压缩表[[#This Row],[MODEL]])</f>
        <v/>
      </c>
      <c r="O1232" s="22">
        <f>LEN(非皮卡压缩表[[#This Row],[SHORT-MODEL]])</f>
        <v/>
      </c>
      <c r="P1232" s="11">
        <f t="array" ref="P1232">TRIM(_xlfn.XLOOKUP(非皮卡压缩表[[#This Row],[BACKSIZE]],ALL尺码表[内部尺码],ALL尺码表[通用尺码]))</f>
        <v/>
      </c>
    </row>
    <row r="1233">
      <c r="A1233" s="17" t="inlineStr">
        <is>
          <t>ALL</t>
        </is>
      </c>
      <c r="B1233" s="18" t="inlineStr">
        <is>
          <t>Suzuki Forenza</t>
        </is>
      </c>
      <c r="C1233" s="18" t="inlineStr">
        <is>
          <t>Suzuki</t>
        </is>
      </c>
      <c r="D1233" s="18" t="inlineStr">
        <is>
          <t>Forenza</t>
        </is>
      </c>
      <c r="E1233" s="18" t="inlineStr">
        <is>
          <t>2004-2008</t>
        </is>
      </c>
      <c r="F1233" s="18" t="inlineStr"/>
      <c r="G1233" s="18" t="inlineStr">
        <is>
          <t>Sedan</t>
        </is>
      </c>
      <c r="H1233" s="18" t="inlineStr">
        <is>
          <t>3L</t>
        </is>
      </c>
      <c r="I1233" s="19">
        <f t="array" ref="I1233">TRIM(_xlfn.XLOOKUP(非皮卡压缩表[[#This Row],[BACKSIZE]],ALL尺码表[内部尺码],ALL尺码表[分类],""))</f>
        <v/>
      </c>
      <c r="J1233" s="19">
        <f t="array" ref="J1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3" s="20">
        <f>LEN(非皮卡压缩表[[#This Row],[LONG-TYPE]])</f>
        <v/>
      </c>
      <c r="L1233" s="21">
        <f t="array" ref="L1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3" s="22">
        <f>LEN(非皮卡压缩表[[#This Row],[TYPE]])</f>
        <v/>
      </c>
      <c r="N1233" s="22">
        <f t="array" ref="N1233">_xlfn.XLOOKUP(非皮卡压缩表[[#This Row],[MODEL]],MODEL缩写表[长MODEL],MODEL缩写表[短MODEL],非皮卡压缩表[[#This Row],[MODEL]])</f>
        <v/>
      </c>
      <c r="O1233" s="22">
        <f>LEN(非皮卡压缩表[[#This Row],[SHORT-MODEL]])</f>
        <v/>
      </c>
      <c r="P1233" s="11">
        <f t="array" ref="P1233">TRIM(_xlfn.XLOOKUP(非皮卡压缩表[[#This Row],[BACKSIZE]],ALL尺码表[内部尺码],ALL尺码表[通用尺码]))</f>
        <v/>
      </c>
    </row>
    <row r="1234">
      <c r="A1234" s="17" t="inlineStr">
        <is>
          <t>ALL</t>
        </is>
      </c>
      <c r="B1234" s="18" t="inlineStr">
        <is>
          <t>Suzuki Grand Vitara</t>
        </is>
      </c>
      <c r="C1234" s="18" t="inlineStr">
        <is>
          <t>Suzuki</t>
        </is>
      </c>
      <c r="D1234" s="18" t="inlineStr">
        <is>
          <t>Grand Vitara</t>
        </is>
      </c>
      <c r="E1234" s="18" t="inlineStr">
        <is>
          <t>1999-2013</t>
        </is>
      </c>
      <c r="F1234" s="18" t="inlineStr"/>
      <c r="G1234" s="18" t="inlineStr">
        <is>
          <t>SUV</t>
        </is>
      </c>
      <c r="H1234" s="18" t="inlineStr">
        <is>
          <t>YM+</t>
        </is>
      </c>
      <c r="I1234" s="19">
        <f t="array" ref="I1234">TRIM(_xlfn.XLOOKUP(非皮卡压缩表[[#This Row],[BACKSIZE]],ALL尺码表[内部尺码],ALL尺码表[分类],""))</f>
        <v/>
      </c>
      <c r="J1234" s="19">
        <f t="array" ref="J1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4" s="20">
        <f>LEN(非皮卡压缩表[[#This Row],[LONG-TYPE]])</f>
        <v/>
      </c>
      <c r="L1234" s="21">
        <f t="array" ref="L1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4" s="22">
        <f>LEN(非皮卡压缩表[[#This Row],[TYPE]])</f>
        <v/>
      </c>
      <c r="N1234" s="22">
        <f t="array" ref="N1234">_xlfn.XLOOKUP(非皮卡压缩表[[#This Row],[MODEL]],MODEL缩写表[长MODEL],MODEL缩写表[短MODEL],非皮卡压缩表[[#This Row],[MODEL]])</f>
        <v/>
      </c>
      <c r="O1234" s="22">
        <f>LEN(非皮卡压缩表[[#This Row],[SHORT-MODEL]])</f>
        <v/>
      </c>
      <c r="P1234" s="11">
        <f t="array" ref="P1234">TRIM(_xlfn.XLOOKUP(非皮卡压缩表[[#This Row],[BACKSIZE]],ALL尺码表[内部尺码],ALL尺码表[通用尺码]))</f>
        <v/>
      </c>
    </row>
    <row r="1235">
      <c r="A1235" s="17" t="inlineStr">
        <is>
          <t>ALL</t>
        </is>
      </c>
      <c r="B1235" s="18" t="inlineStr">
        <is>
          <t>Suzuki SX4</t>
        </is>
      </c>
      <c r="C1235" s="18" t="inlineStr">
        <is>
          <t>Suzuki</t>
        </is>
      </c>
      <c r="D1235" s="18" t="inlineStr">
        <is>
          <t>SX4</t>
        </is>
      </c>
      <c r="E1235" s="18" t="inlineStr">
        <is>
          <t>2007-2013</t>
        </is>
      </c>
      <c r="F1235" s="18" t="inlineStr"/>
      <c r="G1235" s="18" t="inlineStr">
        <is>
          <t>Hatchback/Sportback</t>
        </is>
      </c>
      <c r="H1235" s="18" t="inlineStr">
        <is>
          <t>2M</t>
        </is>
      </c>
      <c r="I1235" s="19">
        <f t="array" ref="I1235">TRIM(_xlfn.XLOOKUP(非皮卡压缩表[[#This Row],[BACKSIZE]],ALL尺码表[内部尺码],ALL尺码表[分类],""))</f>
        <v/>
      </c>
      <c r="J1235" s="19">
        <f t="array" ref="J1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5" s="20">
        <f>LEN(非皮卡压缩表[[#This Row],[LONG-TYPE]])</f>
        <v/>
      </c>
      <c r="L1235" s="21">
        <f t="array" ref="L1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5" s="22">
        <f>LEN(非皮卡压缩表[[#This Row],[TYPE]])</f>
        <v/>
      </c>
      <c r="N1235" s="22">
        <f t="array" ref="N1235">_xlfn.XLOOKUP(非皮卡压缩表[[#This Row],[MODEL]],MODEL缩写表[长MODEL],MODEL缩写表[短MODEL],非皮卡压缩表[[#This Row],[MODEL]])</f>
        <v/>
      </c>
      <c r="O1235" s="22">
        <f>LEN(非皮卡压缩表[[#This Row],[SHORT-MODEL]])</f>
        <v/>
      </c>
      <c r="P1235" s="11">
        <f t="array" ref="P1235">TRIM(_xlfn.XLOOKUP(非皮卡压缩表[[#This Row],[BACKSIZE]],ALL尺码表[内部尺码],ALL尺码表[通用尺码]))</f>
        <v/>
      </c>
    </row>
    <row r="1236">
      <c r="A1236" s="17" t="inlineStr">
        <is>
          <t>ALL</t>
        </is>
      </c>
      <c r="B1236" s="18" t="inlineStr">
        <is>
          <t>Suzuki SX4</t>
        </is>
      </c>
      <c r="C1236" s="18" t="inlineStr">
        <is>
          <t>Suzuki</t>
        </is>
      </c>
      <c r="D1236" s="18" t="inlineStr">
        <is>
          <t>SX4</t>
        </is>
      </c>
      <c r="E1236" s="18" t="inlineStr">
        <is>
          <t>2008-2013</t>
        </is>
      </c>
      <c r="F1236" s="18" t="inlineStr"/>
      <c r="G1236" s="18" t="inlineStr">
        <is>
          <t>Sedan</t>
        </is>
      </c>
      <c r="H1236" s="18" t="inlineStr">
        <is>
          <t>3L</t>
        </is>
      </c>
      <c r="I1236" s="19">
        <f t="array" ref="I1236">TRIM(_xlfn.XLOOKUP(非皮卡压缩表[[#This Row],[BACKSIZE]],ALL尺码表[内部尺码],ALL尺码表[分类],""))</f>
        <v/>
      </c>
      <c r="J1236" s="19">
        <f t="array" ref="J1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6" s="20">
        <f>LEN(非皮卡压缩表[[#This Row],[LONG-TYPE]])</f>
        <v/>
      </c>
      <c r="L1236" s="21">
        <f t="array" ref="L1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6" s="22">
        <f>LEN(非皮卡压缩表[[#This Row],[TYPE]])</f>
        <v/>
      </c>
      <c r="N1236" s="22">
        <f t="array" ref="N1236">_xlfn.XLOOKUP(非皮卡压缩表[[#This Row],[MODEL]],MODEL缩写表[长MODEL],MODEL缩写表[短MODEL],非皮卡压缩表[[#This Row],[MODEL]])</f>
        <v/>
      </c>
      <c r="O1236" s="22">
        <f>LEN(非皮卡压缩表[[#This Row],[SHORT-MODEL]])</f>
        <v/>
      </c>
      <c r="P1236" s="11">
        <f t="array" ref="P1236">TRIM(_xlfn.XLOOKUP(非皮卡压缩表[[#This Row],[BACKSIZE]],ALL尺码表[内部尺码],ALL尺码表[通用尺码]))</f>
        <v/>
      </c>
    </row>
    <row r="1237">
      <c r="A1237" s="17" t="inlineStr">
        <is>
          <t>ALL</t>
        </is>
      </c>
      <c r="B1237" s="18" t="inlineStr">
        <is>
          <t>Suzuki Sidekick</t>
        </is>
      </c>
      <c r="C1237" s="18" t="inlineStr">
        <is>
          <t>Suzuki</t>
        </is>
      </c>
      <c r="D1237" s="18" t="inlineStr">
        <is>
          <t>Sidekick</t>
        </is>
      </c>
      <c r="E1237" s="18" t="inlineStr">
        <is>
          <t>1989-1991</t>
        </is>
      </c>
      <c r="F1237" s="18" t="inlineStr"/>
      <c r="G1237" s="18" t="inlineStr">
        <is>
          <t>SUV</t>
        </is>
      </c>
      <c r="H1237" s="18" t="inlineStr">
        <is>
          <t>无可用尺码</t>
        </is>
      </c>
      <c r="I1237" s="19">
        <f t="array" ref="I1237">TRIM(_xlfn.XLOOKUP(非皮卡压缩表[[#This Row],[BACKSIZE]],ALL尺码表[内部尺码],ALL尺码表[分类],""))</f>
        <v/>
      </c>
      <c r="J1237" s="19">
        <f t="array" ref="J1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7" s="20">
        <f>LEN(非皮卡压缩表[[#This Row],[LONG-TYPE]])</f>
        <v/>
      </c>
      <c r="L1237" s="21">
        <f t="array" ref="L1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7" s="22">
        <f>LEN(非皮卡压缩表[[#This Row],[TYPE]])</f>
        <v/>
      </c>
      <c r="N1237" s="22">
        <f t="array" ref="N1237">_xlfn.XLOOKUP(非皮卡压缩表[[#This Row],[MODEL]],MODEL缩写表[长MODEL],MODEL缩写表[短MODEL],非皮卡压缩表[[#This Row],[MODEL]])</f>
        <v/>
      </c>
      <c r="O1237" s="22">
        <f>LEN(非皮卡压缩表[[#This Row],[SHORT-MODEL]])</f>
        <v/>
      </c>
      <c r="P1237" s="11">
        <f t="array" ref="P1237">TRIM(_xlfn.XLOOKUP(非皮卡压缩表[[#This Row],[BACKSIZE]],ALL尺码表[内部尺码],ALL尺码表[通用尺码]))</f>
        <v/>
      </c>
    </row>
    <row r="1238">
      <c r="A1238" s="17" t="inlineStr">
        <is>
          <t>ALL</t>
        </is>
      </c>
      <c r="B1238" s="18" t="inlineStr">
        <is>
          <t>Suzuki Sidekick</t>
        </is>
      </c>
      <c r="C1238" s="18" t="inlineStr">
        <is>
          <t>Suzuki</t>
        </is>
      </c>
      <c r="D1238" s="18" t="inlineStr">
        <is>
          <t>Sidekick</t>
        </is>
      </c>
      <c r="E1238" s="18" t="inlineStr">
        <is>
          <t>1992</t>
        </is>
      </c>
      <c r="F1238" s="18" t="inlineStr"/>
      <c r="G1238" s="18" t="inlineStr">
        <is>
          <t>SUV</t>
        </is>
      </c>
      <c r="H1238" s="18" t="inlineStr">
        <is>
          <t>YM+</t>
        </is>
      </c>
      <c r="I1238" s="19">
        <f t="array" ref="I1238">TRIM(_xlfn.XLOOKUP(非皮卡压缩表[[#This Row],[BACKSIZE]],ALL尺码表[内部尺码],ALL尺码表[分类],""))</f>
        <v/>
      </c>
      <c r="J1238" s="19">
        <f t="array" ref="J1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8" s="20">
        <f>LEN(非皮卡压缩表[[#This Row],[LONG-TYPE]])</f>
        <v/>
      </c>
      <c r="L1238" s="21">
        <f t="array" ref="L1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8" s="22">
        <f>LEN(非皮卡压缩表[[#This Row],[TYPE]])</f>
        <v/>
      </c>
      <c r="N1238" s="22">
        <f t="array" ref="N1238">_xlfn.XLOOKUP(非皮卡压缩表[[#This Row],[MODEL]],MODEL缩写表[长MODEL],MODEL缩写表[短MODEL],非皮卡压缩表[[#This Row],[MODEL]])</f>
        <v/>
      </c>
      <c r="O1238" s="22">
        <f>LEN(非皮卡压缩表[[#This Row],[SHORT-MODEL]])</f>
        <v/>
      </c>
      <c r="P1238" s="11">
        <f t="array" ref="P1238">TRIM(_xlfn.XLOOKUP(非皮卡压缩表[[#This Row],[BACKSIZE]],ALL尺码表[内部尺码],ALL尺码表[通用尺码]))</f>
        <v/>
      </c>
    </row>
    <row r="1239">
      <c r="A1239" s="17" t="inlineStr">
        <is>
          <t>ALL</t>
        </is>
      </c>
      <c r="B1239" s="18" t="inlineStr">
        <is>
          <t>Suzuki Sidekick</t>
        </is>
      </c>
      <c r="C1239" s="18" t="inlineStr">
        <is>
          <t>Suzuki</t>
        </is>
      </c>
      <c r="D1239" s="18" t="inlineStr">
        <is>
          <t>Sidekick</t>
        </is>
      </c>
      <c r="E1239" s="18" t="inlineStr">
        <is>
          <t>1993</t>
        </is>
      </c>
      <c r="F1239" s="18" t="inlineStr"/>
      <c r="G1239" s="18" t="inlineStr">
        <is>
          <t>SUV</t>
        </is>
      </c>
      <c r="H1239" s="18" t="inlineStr">
        <is>
          <t>无可用尺码</t>
        </is>
      </c>
      <c r="I1239" s="19">
        <f t="array" ref="I1239">TRIM(_xlfn.XLOOKUP(非皮卡压缩表[[#This Row],[BACKSIZE]],ALL尺码表[内部尺码],ALL尺码表[分类],""))</f>
        <v/>
      </c>
      <c r="J1239" s="19">
        <f t="array" ref="J1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9" s="20">
        <f>LEN(非皮卡压缩表[[#This Row],[LONG-TYPE]])</f>
        <v/>
      </c>
      <c r="L1239" s="21">
        <f t="array" ref="L1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9" s="22">
        <f>LEN(非皮卡压缩表[[#This Row],[TYPE]])</f>
        <v/>
      </c>
      <c r="N1239" s="22">
        <f t="array" ref="N1239">_xlfn.XLOOKUP(非皮卡压缩表[[#This Row],[MODEL]],MODEL缩写表[长MODEL],MODEL缩写表[短MODEL],非皮卡压缩表[[#This Row],[MODEL]])</f>
        <v/>
      </c>
      <c r="O1239" s="22">
        <f>LEN(非皮卡压缩表[[#This Row],[SHORT-MODEL]])</f>
        <v/>
      </c>
      <c r="P1239" s="11">
        <f t="array" ref="P1239">TRIM(_xlfn.XLOOKUP(非皮卡压缩表[[#This Row],[BACKSIZE]],ALL尺码表[内部尺码],ALL尺码表[通用尺码]))</f>
        <v/>
      </c>
    </row>
    <row r="1240">
      <c r="A1240" s="17" t="inlineStr">
        <is>
          <t>ALL</t>
        </is>
      </c>
      <c r="B1240" s="18" t="inlineStr">
        <is>
          <t>Suzuki Sidekick</t>
        </is>
      </c>
      <c r="C1240" s="18" t="inlineStr">
        <is>
          <t>Suzuki</t>
        </is>
      </c>
      <c r="D1240" s="18" t="inlineStr">
        <is>
          <t>Sidekick</t>
        </is>
      </c>
      <c r="E1240" s="18" t="inlineStr">
        <is>
          <t>1994-1998</t>
        </is>
      </c>
      <c r="F1240" s="18" t="inlineStr">
        <is>
          <t>Incl: Sport</t>
        </is>
      </c>
      <c r="G1240" s="18" t="inlineStr">
        <is>
          <t>SUV</t>
        </is>
      </c>
      <c r="H1240" s="18" t="inlineStr">
        <is>
          <t>YM+</t>
        </is>
      </c>
      <c r="I1240" s="19">
        <f t="array" ref="I1240">TRIM(_xlfn.XLOOKUP(非皮卡压缩表[[#This Row],[BACKSIZE]],ALL尺码表[内部尺码],ALL尺码表[分类],""))</f>
        <v/>
      </c>
      <c r="J1240" s="19">
        <f t="array" ref="J1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0" s="20">
        <f>LEN(非皮卡压缩表[[#This Row],[LONG-TYPE]])</f>
        <v/>
      </c>
      <c r="L1240" s="21">
        <f t="array" ref="L1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0" s="22">
        <f>LEN(非皮卡压缩表[[#This Row],[TYPE]])</f>
        <v/>
      </c>
      <c r="N1240" s="22">
        <f t="array" ref="N1240">_xlfn.XLOOKUP(非皮卡压缩表[[#This Row],[MODEL]],MODEL缩写表[长MODEL],MODEL缩写表[短MODEL],非皮卡压缩表[[#This Row],[MODEL]])</f>
        <v/>
      </c>
      <c r="O1240" s="22">
        <f>LEN(非皮卡压缩表[[#This Row],[SHORT-MODEL]])</f>
        <v/>
      </c>
      <c r="P1240" s="11">
        <f t="array" ref="P1240">TRIM(_xlfn.XLOOKUP(非皮卡压缩表[[#This Row],[BACKSIZE]],ALL尺码表[内部尺码],ALL尺码表[通用尺码]))</f>
        <v/>
      </c>
    </row>
    <row r="1241">
      <c r="A1241" s="17" t="inlineStr">
        <is>
          <t>ALL</t>
        </is>
      </c>
      <c r="B1241" s="18" t="inlineStr">
        <is>
          <t>Suzuki XL7</t>
        </is>
      </c>
      <c r="C1241" s="18" t="inlineStr">
        <is>
          <t>Suzuki</t>
        </is>
      </c>
      <c r="D1241" s="18" t="inlineStr">
        <is>
          <t>XL7</t>
        </is>
      </c>
      <c r="E1241" s="18" t="inlineStr">
        <is>
          <t>2002-2006</t>
        </is>
      </c>
      <c r="F1241" s="18" t="inlineStr"/>
      <c r="G1241" s="18" t="inlineStr">
        <is>
          <t>SUV</t>
        </is>
      </c>
      <c r="H1241" s="18" t="inlineStr">
        <is>
          <t>YL</t>
        </is>
      </c>
      <c r="I1241" s="19">
        <f t="array" ref="I1241">TRIM(_xlfn.XLOOKUP(非皮卡压缩表[[#This Row],[BACKSIZE]],ALL尺码表[内部尺码],ALL尺码表[分类],""))</f>
        <v/>
      </c>
      <c r="J1241" s="19">
        <f t="array" ref="J1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1" s="20">
        <f>LEN(非皮卡压缩表[[#This Row],[LONG-TYPE]])</f>
        <v/>
      </c>
      <c r="L1241" s="21">
        <f t="array" ref="L1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1" s="22">
        <f>LEN(非皮卡压缩表[[#This Row],[TYPE]])</f>
        <v/>
      </c>
      <c r="N1241" s="22">
        <f t="array" ref="N1241">_xlfn.XLOOKUP(非皮卡压缩表[[#This Row],[MODEL]],MODEL缩写表[长MODEL],MODEL缩写表[短MODEL],非皮卡压缩表[[#This Row],[MODEL]])</f>
        <v/>
      </c>
      <c r="O1241" s="22">
        <f>LEN(非皮卡压缩表[[#This Row],[SHORT-MODEL]])</f>
        <v/>
      </c>
      <c r="P1241" s="11">
        <f t="array" ref="P1241">TRIM(_xlfn.XLOOKUP(非皮卡压缩表[[#This Row],[BACKSIZE]],ALL尺码表[内部尺码],ALL尺码表[通用尺码]))</f>
        <v/>
      </c>
    </row>
    <row r="1242">
      <c r="A1242" s="17" t="inlineStr">
        <is>
          <t>ALL</t>
        </is>
      </c>
      <c r="B1242" s="18" t="inlineStr">
        <is>
          <t>Suzuki XL7</t>
        </is>
      </c>
      <c r="C1242" s="18" t="inlineStr">
        <is>
          <t>Suzuki</t>
        </is>
      </c>
      <c r="D1242" s="18" t="inlineStr">
        <is>
          <t>XL7</t>
        </is>
      </c>
      <c r="E1242" s="18" t="inlineStr">
        <is>
          <t>2007-2009</t>
        </is>
      </c>
      <c r="F1242" s="18" t="inlineStr">
        <is>
          <t>XL7</t>
        </is>
      </c>
      <c r="G1242" s="18" t="inlineStr">
        <is>
          <t>SUV</t>
        </is>
      </c>
      <c r="H1242" s="18" t="inlineStr">
        <is>
          <t>YXL</t>
        </is>
      </c>
      <c r="I1242" s="19">
        <f t="array" ref="I1242">TRIM(_xlfn.XLOOKUP(非皮卡压缩表[[#This Row],[BACKSIZE]],ALL尺码表[内部尺码],ALL尺码表[分类],""))</f>
        <v/>
      </c>
      <c r="J1242" s="19">
        <f t="array" ref="J1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2" s="20">
        <f>LEN(非皮卡压缩表[[#This Row],[LONG-TYPE]])</f>
        <v/>
      </c>
      <c r="L1242" s="21">
        <f t="array" ref="L1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2" s="22">
        <f>LEN(非皮卡压缩表[[#This Row],[TYPE]])</f>
        <v/>
      </c>
      <c r="N1242" s="22">
        <f t="array" ref="N1242">_xlfn.XLOOKUP(非皮卡压缩表[[#This Row],[MODEL]],MODEL缩写表[长MODEL],MODEL缩写表[短MODEL],非皮卡压缩表[[#This Row],[MODEL]])</f>
        <v/>
      </c>
      <c r="O1242" s="22">
        <f>LEN(非皮卡压缩表[[#This Row],[SHORT-MODEL]])</f>
        <v/>
      </c>
      <c r="P1242" s="11">
        <f t="array" ref="P1242">TRIM(_xlfn.XLOOKUP(非皮卡压缩表[[#This Row],[BACKSIZE]],ALL尺码表[内部尺码],ALL尺码表[通用尺码]))</f>
        <v/>
      </c>
    </row>
    <row r="1243">
      <c r="A1243" s="17" t="inlineStr">
        <is>
          <t>ALL</t>
        </is>
      </c>
      <c r="B1243" s="18" t="inlineStr">
        <is>
          <t>Tesla Model 3</t>
        </is>
      </c>
      <c r="C1243" s="18" t="inlineStr">
        <is>
          <t>Tesla</t>
        </is>
      </c>
      <c r="D1243" s="18" t="inlineStr">
        <is>
          <t>Model 3</t>
        </is>
      </c>
      <c r="E1243" s="18" t="inlineStr">
        <is>
          <t>2017-2023</t>
        </is>
      </c>
      <c r="F1243" s="18" t="inlineStr"/>
      <c r="G1243" s="18" t="inlineStr">
        <is>
          <t>Sedan</t>
        </is>
      </c>
      <c r="H1243" s="18" t="inlineStr">
        <is>
          <t>3L</t>
        </is>
      </c>
      <c r="I1243" s="19">
        <f t="array" ref="I1243">TRIM(_xlfn.XLOOKUP(非皮卡压缩表[[#This Row],[BACKSIZE]],ALL尺码表[内部尺码],ALL尺码表[分类],""))</f>
        <v/>
      </c>
      <c r="J1243" s="19">
        <f t="array" ref="J1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3" s="20">
        <f>LEN(非皮卡压缩表[[#This Row],[LONG-TYPE]])</f>
        <v/>
      </c>
      <c r="L1243" s="21">
        <f t="array" ref="L1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3" s="22">
        <f>LEN(非皮卡压缩表[[#This Row],[TYPE]])</f>
        <v/>
      </c>
      <c r="N1243" s="22">
        <f t="array" ref="N1243">_xlfn.XLOOKUP(非皮卡压缩表[[#This Row],[MODEL]],MODEL缩写表[长MODEL],MODEL缩写表[短MODEL],非皮卡压缩表[[#This Row],[MODEL]])</f>
        <v/>
      </c>
      <c r="O1243" s="22">
        <f>LEN(非皮卡压缩表[[#This Row],[SHORT-MODEL]])</f>
        <v/>
      </c>
      <c r="P1243" s="11">
        <f t="array" ref="P1243">TRIM(_xlfn.XLOOKUP(非皮卡压缩表[[#This Row],[BACKSIZE]],ALL尺码表[内部尺码],ALL尺码表[通用尺码]))</f>
        <v/>
      </c>
    </row>
    <row r="1244">
      <c r="A1244" s="17" t="inlineStr">
        <is>
          <t>ALL</t>
        </is>
      </c>
      <c r="B1244" s="18" t="inlineStr">
        <is>
          <t>Tesla Model 3</t>
        </is>
      </c>
      <c r="C1244" s="18" t="inlineStr">
        <is>
          <t>Tesla</t>
        </is>
      </c>
      <c r="D1244" s="18" t="inlineStr">
        <is>
          <t>Model 3</t>
        </is>
      </c>
      <c r="E1244" s="18" t="inlineStr">
        <is>
          <t>2024-2026</t>
        </is>
      </c>
      <c r="F1244" s="18" t="inlineStr"/>
      <c r="G1244" s="18" t="inlineStr">
        <is>
          <t>Sedan</t>
        </is>
      </c>
      <c r="H1244" s="18" t="inlineStr">
        <is>
          <t>3XL</t>
        </is>
      </c>
      <c r="I1244" s="19">
        <f t="array" ref="I1244">TRIM(_xlfn.XLOOKUP(非皮卡压缩表[[#This Row],[BACKSIZE]],ALL尺码表[内部尺码],ALL尺码表[分类],""))</f>
        <v/>
      </c>
      <c r="J1244" s="19">
        <f t="array" ref="J1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4" s="20">
        <f>LEN(非皮卡压缩表[[#This Row],[LONG-TYPE]])</f>
        <v/>
      </c>
      <c r="L1244" s="21">
        <f t="array" ref="L1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4" s="22">
        <f>LEN(非皮卡压缩表[[#This Row],[TYPE]])</f>
        <v/>
      </c>
      <c r="N1244" s="22">
        <f t="array" ref="N1244">_xlfn.XLOOKUP(非皮卡压缩表[[#This Row],[MODEL]],MODEL缩写表[长MODEL],MODEL缩写表[短MODEL],非皮卡压缩表[[#This Row],[MODEL]])</f>
        <v/>
      </c>
      <c r="O1244" s="22">
        <f>LEN(非皮卡压缩表[[#This Row],[SHORT-MODEL]])</f>
        <v/>
      </c>
      <c r="P1244" s="11">
        <f t="array" ref="P1244">TRIM(_xlfn.XLOOKUP(非皮卡压缩表[[#This Row],[BACKSIZE]],ALL尺码表[内部尺码],ALL尺码表[通用尺码]))</f>
        <v/>
      </c>
    </row>
    <row r="1245">
      <c r="A1245" s="17" t="inlineStr">
        <is>
          <t>ALL</t>
        </is>
      </c>
      <c r="B1245" s="18" t="inlineStr">
        <is>
          <t>Tesla Model S</t>
        </is>
      </c>
      <c r="C1245" s="18" t="inlineStr">
        <is>
          <t>Tesla</t>
        </is>
      </c>
      <c r="D1245" s="18" t="inlineStr">
        <is>
          <t>Model S</t>
        </is>
      </c>
      <c r="E1245" s="18" t="inlineStr">
        <is>
          <t>2012-2026</t>
        </is>
      </c>
      <c r="F1245" s="18" t="inlineStr"/>
      <c r="G1245" s="18" t="inlineStr">
        <is>
          <t>Hatchback</t>
        </is>
      </c>
      <c r="H1245" s="18" t="inlineStr">
        <is>
          <t>2XL+</t>
        </is>
      </c>
      <c r="I1245" s="19">
        <f t="array" ref="I1245">TRIM(_xlfn.XLOOKUP(非皮卡压缩表[[#This Row],[BACKSIZE]],ALL尺码表[内部尺码],ALL尺码表[分类],""))</f>
        <v/>
      </c>
      <c r="J1245" s="19">
        <f t="array" ref="J1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5" s="20">
        <f>LEN(非皮卡压缩表[[#This Row],[LONG-TYPE]])</f>
        <v/>
      </c>
      <c r="L1245" s="21">
        <f t="array" ref="L1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5" s="22">
        <f>LEN(非皮卡压缩表[[#This Row],[TYPE]])</f>
        <v/>
      </c>
      <c r="N1245" s="22">
        <f t="array" ref="N1245">_xlfn.XLOOKUP(非皮卡压缩表[[#This Row],[MODEL]],MODEL缩写表[长MODEL],MODEL缩写表[短MODEL],非皮卡压缩表[[#This Row],[MODEL]])</f>
        <v/>
      </c>
      <c r="O1245" s="22">
        <f>LEN(非皮卡压缩表[[#This Row],[SHORT-MODEL]])</f>
        <v/>
      </c>
      <c r="P1245" s="11">
        <f t="array" ref="P1245">TRIM(_xlfn.XLOOKUP(非皮卡压缩表[[#This Row],[BACKSIZE]],ALL尺码表[内部尺码],ALL尺码表[通用尺码]))</f>
        <v/>
      </c>
    </row>
    <row r="1246">
      <c r="A1246" s="17" t="inlineStr">
        <is>
          <t>ALL</t>
        </is>
      </c>
      <c r="B1246" s="18" t="inlineStr">
        <is>
          <t>Tesla Model X</t>
        </is>
      </c>
      <c r="C1246" s="18" t="inlineStr">
        <is>
          <t>Tesla</t>
        </is>
      </c>
      <c r="D1246" s="18" t="inlineStr">
        <is>
          <t>Model X</t>
        </is>
      </c>
      <c r="E1246" s="18" t="inlineStr">
        <is>
          <t>2016-2026</t>
        </is>
      </c>
      <c r="F1246" s="18" t="inlineStr"/>
      <c r="G1246" s="18" t="inlineStr">
        <is>
          <t>SUV</t>
        </is>
      </c>
      <c r="H1246" s="18" t="inlineStr">
        <is>
          <t>YXL</t>
        </is>
      </c>
      <c r="I1246" s="19">
        <f t="array" ref="I1246">TRIM(_xlfn.XLOOKUP(非皮卡压缩表[[#This Row],[BACKSIZE]],ALL尺码表[内部尺码],ALL尺码表[分类],""))</f>
        <v/>
      </c>
      <c r="J1246" s="19">
        <f t="array" ref="J1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6" s="20">
        <f>LEN(非皮卡压缩表[[#This Row],[LONG-TYPE]])</f>
        <v/>
      </c>
      <c r="L1246" s="21">
        <f t="array" ref="L1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6" s="22">
        <f>LEN(非皮卡压缩表[[#This Row],[TYPE]])</f>
        <v/>
      </c>
      <c r="N1246" s="22">
        <f t="array" ref="N1246">_xlfn.XLOOKUP(非皮卡压缩表[[#This Row],[MODEL]],MODEL缩写表[长MODEL],MODEL缩写表[短MODEL],非皮卡压缩表[[#This Row],[MODEL]])</f>
        <v/>
      </c>
      <c r="O1246" s="22">
        <f>LEN(非皮卡压缩表[[#This Row],[SHORT-MODEL]])</f>
        <v/>
      </c>
      <c r="P1246" s="11">
        <f t="array" ref="P1246">TRIM(_xlfn.XLOOKUP(非皮卡压缩表[[#This Row],[BACKSIZE]],ALL尺码表[内部尺码],ALL尺码表[通用尺码]))</f>
        <v/>
      </c>
    </row>
    <row r="1247">
      <c r="A1247" s="17" t="inlineStr">
        <is>
          <t>ALL</t>
        </is>
      </c>
      <c r="B1247" s="18" t="inlineStr">
        <is>
          <t>Tesla Model Y</t>
        </is>
      </c>
      <c r="C1247" s="18" t="inlineStr">
        <is>
          <t>Tesla</t>
        </is>
      </c>
      <c r="D1247" s="18" t="inlineStr">
        <is>
          <t>Model Y</t>
        </is>
      </c>
      <c r="E1247" s="18" t="inlineStr">
        <is>
          <t>2020-2026</t>
        </is>
      </c>
      <c r="F1247" s="18" t="inlineStr">
        <is>
          <t>Incl: Performance</t>
        </is>
      </c>
      <c r="G1247" s="18" t="inlineStr">
        <is>
          <t>CUV/SUV</t>
        </is>
      </c>
      <c r="H1247" s="18" t="inlineStr">
        <is>
          <t>YL</t>
        </is>
      </c>
      <c r="I1247" s="19">
        <f t="array" ref="I1247">TRIM(_xlfn.XLOOKUP(非皮卡压缩表[[#This Row],[BACKSIZE]],ALL尺码表[内部尺码],ALL尺码表[分类],""))</f>
        <v/>
      </c>
      <c r="J1247" s="19">
        <f t="array" ref="J1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7" s="20">
        <f>LEN(非皮卡压缩表[[#This Row],[LONG-TYPE]])</f>
        <v/>
      </c>
      <c r="L1247" s="21">
        <f t="array" ref="L1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7" s="22">
        <f>LEN(非皮卡压缩表[[#This Row],[TYPE]])</f>
        <v/>
      </c>
      <c r="N1247" s="22">
        <f t="array" ref="N1247">_xlfn.XLOOKUP(非皮卡压缩表[[#This Row],[MODEL]],MODEL缩写表[长MODEL],MODEL缩写表[短MODEL],非皮卡压缩表[[#This Row],[MODEL]])</f>
        <v/>
      </c>
      <c r="O1247" s="22">
        <f>LEN(非皮卡压缩表[[#This Row],[SHORT-MODEL]])</f>
        <v/>
      </c>
      <c r="P1247" s="11">
        <f t="array" ref="P1247">TRIM(_xlfn.XLOOKUP(非皮卡压缩表[[#This Row],[BACKSIZE]],ALL尺码表[内部尺码],ALL尺码表[通用尺码]))</f>
        <v/>
      </c>
    </row>
    <row r="1248">
      <c r="A1248" s="17" t="inlineStr">
        <is>
          <t>ALL</t>
        </is>
      </c>
      <c r="B1248" s="18" t="inlineStr">
        <is>
          <t>Tesla Model Y L</t>
        </is>
      </c>
      <c r="C1248" s="18" t="inlineStr">
        <is>
          <t>Tesla</t>
        </is>
      </c>
      <c r="D1248" s="18" t="inlineStr">
        <is>
          <t>Model Y L</t>
        </is>
      </c>
      <c r="E1248" s="18" t="inlineStr">
        <is>
          <t>2026</t>
        </is>
      </c>
      <c r="F1248" s="18" t="inlineStr"/>
      <c r="G1248" s="18" t="inlineStr">
        <is>
          <t>SUV</t>
        </is>
      </c>
      <c r="H1248" s="18" t="inlineStr">
        <is>
          <t>YXL</t>
        </is>
      </c>
      <c r="I1248" s="19">
        <f t="array" ref="I1248">TRIM(_xlfn.XLOOKUP(非皮卡压缩表[[#This Row],[BACKSIZE]],ALL尺码表[内部尺码],ALL尺码表[分类],""))</f>
        <v/>
      </c>
      <c r="J1248" s="19">
        <f t="array" ref="J1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8" s="20">
        <f>LEN(非皮卡压缩表[[#This Row],[LONG-TYPE]])</f>
        <v/>
      </c>
      <c r="L1248" s="21">
        <f t="array" ref="L1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8" s="22">
        <f>LEN(非皮卡压缩表[[#This Row],[TYPE]])</f>
        <v/>
      </c>
      <c r="N1248" s="22">
        <f t="array" ref="N1248">_xlfn.XLOOKUP(非皮卡压缩表[[#This Row],[MODEL]],MODEL缩写表[长MODEL],MODEL缩写表[短MODEL],非皮卡压缩表[[#This Row],[MODEL]])</f>
        <v/>
      </c>
      <c r="O1248" s="22">
        <f>LEN(非皮卡压缩表[[#This Row],[SHORT-MODEL]])</f>
        <v/>
      </c>
      <c r="P1248" s="11">
        <f t="array" ref="P1248">TRIM(_xlfn.XLOOKUP(非皮卡压缩表[[#This Row],[BACKSIZE]],ALL尺码表[内部尺码],ALL尺码表[通用尺码]))</f>
        <v/>
      </c>
    </row>
    <row r="1249">
      <c r="A1249" s="17" t="inlineStr">
        <is>
          <t>ALL</t>
        </is>
      </c>
      <c r="B1249" s="18" t="inlineStr">
        <is>
          <t>Toyota 4Runner</t>
        </is>
      </c>
      <c r="C1249" s="18" t="inlineStr">
        <is>
          <t>Toyota</t>
        </is>
      </c>
      <c r="D1249" s="18" t="inlineStr">
        <is>
          <t>4Runner</t>
        </is>
      </c>
      <c r="E1249" s="18" t="inlineStr">
        <is>
          <t>1984-1998</t>
        </is>
      </c>
      <c r="F1249" s="18" t="inlineStr"/>
      <c r="G1249" s="18" t="inlineStr">
        <is>
          <t>SUV</t>
        </is>
      </c>
      <c r="H1249" s="18" t="inlineStr">
        <is>
          <t>YM+</t>
        </is>
      </c>
      <c r="I1249" s="19">
        <f t="array" ref="I1249">TRIM(_xlfn.XLOOKUP(非皮卡压缩表[[#This Row],[BACKSIZE]],ALL尺码表[内部尺码],ALL尺码表[分类],""))</f>
        <v/>
      </c>
      <c r="J1249" s="19">
        <f t="array" ref="J1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9" s="20">
        <f>LEN(非皮卡压缩表[[#This Row],[LONG-TYPE]])</f>
        <v/>
      </c>
      <c r="L1249" s="21">
        <f t="array" ref="L1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9" s="22">
        <f>LEN(非皮卡压缩表[[#This Row],[TYPE]])</f>
        <v/>
      </c>
      <c r="N1249" s="22">
        <f t="array" ref="N1249">_xlfn.XLOOKUP(非皮卡压缩表[[#This Row],[MODEL]],MODEL缩写表[长MODEL],MODEL缩写表[短MODEL],非皮卡压缩表[[#This Row],[MODEL]])</f>
        <v/>
      </c>
      <c r="O1249" s="22">
        <f>LEN(非皮卡压缩表[[#This Row],[SHORT-MODEL]])</f>
        <v/>
      </c>
      <c r="P1249" s="11">
        <f t="array" ref="P1249">TRIM(_xlfn.XLOOKUP(非皮卡压缩表[[#This Row],[BACKSIZE]],ALL尺码表[内部尺码],ALL尺码表[通用尺码]))</f>
        <v/>
      </c>
    </row>
    <row r="1250">
      <c r="A1250" s="17" t="inlineStr">
        <is>
          <t>ALL</t>
        </is>
      </c>
      <c r="B1250" s="18" t="inlineStr">
        <is>
          <t>Toyota 4Runner</t>
        </is>
      </c>
      <c r="C1250" s="18" t="inlineStr">
        <is>
          <t>Toyota</t>
        </is>
      </c>
      <c r="D1250" s="18" t="inlineStr">
        <is>
          <t>4Runner</t>
        </is>
      </c>
      <c r="E1250" s="18" t="inlineStr">
        <is>
          <t>1999-2013</t>
        </is>
      </c>
      <c r="F1250" s="18" t="inlineStr"/>
      <c r="G1250" s="18" t="inlineStr">
        <is>
          <t>SUV</t>
        </is>
      </c>
      <c r="H1250" s="18" t="inlineStr">
        <is>
          <t>YL</t>
        </is>
      </c>
      <c r="I1250" s="19">
        <f t="array" ref="I1250">TRIM(_xlfn.XLOOKUP(非皮卡压缩表[[#This Row],[BACKSIZE]],ALL尺码表[内部尺码],ALL尺码表[分类],""))</f>
        <v/>
      </c>
      <c r="J1250" s="19">
        <f t="array" ref="J1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0" s="20">
        <f>LEN(非皮卡压缩表[[#This Row],[LONG-TYPE]])</f>
        <v/>
      </c>
      <c r="L1250" s="21">
        <f t="array" ref="L1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0" s="22">
        <f>LEN(非皮卡压缩表[[#This Row],[TYPE]])</f>
        <v/>
      </c>
      <c r="N1250" s="22">
        <f t="array" ref="N1250">_xlfn.XLOOKUP(非皮卡压缩表[[#This Row],[MODEL]],MODEL缩写表[长MODEL],MODEL缩写表[短MODEL],非皮卡压缩表[[#This Row],[MODEL]])</f>
        <v/>
      </c>
      <c r="O1250" s="22">
        <f>LEN(非皮卡压缩表[[#This Row],[SHORT-MODEL]])</f>
        <v/>
      </c>
      <c r="P1250" s="11">
        <f t="array" ref="P1250">TRIM(_xlfn.XLOOKUP(非皮卡压缩表[[#This Row],[BACKSIZE]],ALL尺码表[内部尺码],ALL尺码表[通用尺码]))</f>
        <v/>
      </c>
    </row>
    <row r="1251">
      <c r="A1251" s="17" t="inlineStr">
        <is>
          <t>ALL</t>
        </is>
      </c>
      <c r="B1251" s="18" t="inlineStr">
        <is>
          <t>Toyota 4Runner</t>
        </is>
      </c>
      <c r="C1251" s="18" t="inlineStr">
        <is>
          <t>Toyota</t>
        </is>
      </c>
      <c r="D1251" s="18" t="inlineStr">
        <is>
          <t>4Runner</t>
        </is>
      </c>
      <c r="E1251" s="18" t="inlineStr">
        <is>
          <t>2014-2026</t>
        </is>
      </c>
      <c r="F1251" s="18" t="inlineStr"/>
      <c r="G1251" s="18" t="inlineStr">
        <is>
          <t>SUV</t>
        </is>
      </c>
      <c r="H1251" s="18" t="inlineStr">
        <is>
          <t>YXL</t>
        </is>
      </c>
      <c r="I1251" s="19">
        <f t="array" ref="I1251">TRIM(_xlfn.XLOOKUP(非皮卡压缩表[[#This Row],[BACKSIZE]],ALL尺码表[内部尺码],ALL尺码表[分类],""))</f>
        <v/>
      </c>
      <c r="J1251" s="19">
        <f t="array" ref="J1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1" s="20">
        <f>LEN(非皮卡压缩表[[#This Row],[LONG-TYPE]])</f>
        <v/>
      </c>
      <c r="L1251" s="21">
        <f t="array" ref="L1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1" s="22">
        <f>LEN(非皮卡压缩表[[#This Row],[TYPE]])</f>
        <v/>
      </c>
      <c r="N1251" s="22">
        <f t="array" ref="N1251">_xlfn.XLOOKUP(非皮卡压缩表[[#This Row],[MODEL]],MODEL缩写表[长MODEL],MODEL缩写表[短MODEL],非皮卡压缩表[[#This Row],[MODEL]])</f>
        <v/>
      </c>
      <c r="O1251" s="22">
        <f>LEN(非皮卡压缩表[[#This Row],[SHORT-MODEL]])</f>
        <v/>
      </c>
      <c r="P1251" s="11">
        <f t="array" ref="P1251">TRIM(_xlfn.XLOOKUP(非皮卡压缩表[[#This Row],[BACKSIZE]],ALL尺码表[内部尺码],ALL尺码表[通用尺码]))</f>
        <v/>
      </c>
    </row>
    <row r="1252">
      <c r="A1252" s="17" t="inlineStr">
        <is>
          <t>ALL</t>
        </is>
      </c>
      <c r="B1252" s="18" t="inlineStr">
        <is>
          <t>Toyota 86</t>
        </is>
      </c>
      <c r="C1252" s="18" t="inlineStr">
        <is>
          <t>Toyota</t>
        </is>
      </c>
      <c r="D1252" s="18" t="inlineStr">
        <is>
          <t>86</t>
        </is>
      </c>
      <c r="E1252" s="18" t="inlineStr">
        <is>
          <t>2017-2026</t>
        </is>
      </c>
      <c r="F1252" s="18" t="inlineStr"/>
      <c r="G1252" s="18" t="inlineStr">
        <is>
          <t>Coupe</t>
        </is>
      </c>
      <c r="H1252" s="18" t="inlineStr">
        <is>
          <t>3M-0</t>
        </is>
      </c>
      <c r="I1252" s="19">
        <f t="array" ref="I1252">TRIM(_xlfn.XLOOKUP(非皮卡压缩表[[#This Row],[BACKSIZE]],ALL尺码表[内部尺码],ALL尺码表[分类],""))</f>
        <v/>
      </c>
      <c r="J1252" s="19">
        <f t="array" ref="J1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2" s="20">
        <f>LEN(非皮卡压缩表[[#This Row],[LONG-TYPE]])</f>
        <v/>
      </c>
      <c r="L1252" s="21">
        <f t="array" ref="L1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2" s="22">
        <f>LEN(非皮卡压缩表[[#This Row],[TYPE]])</f>
        <v/>
      </c>
      <c r="N1252" s="22">
        <f t="array" ref="N1252">_xlfn.XLOOKUP(非皮卡压缩表[[#This Row],[MODEL]],MODEL缩写表[长MODEL],MODEL缩写表[短MODEL],非皮卡压缩表[[#This Row],[MODEL]])</f>
        <v/>
      </c>
      <c r="O1252" s="22">
        <f>LEN(非皮卡压缩表[[#This Row],[SHORT-MODEL]])</f>
        <v/>
      </c>
      <c r="P1252" s="11">
        <f t="array" ref="P1252">TRIM(_xlfn.XLOOKUP(非皮卡压缩表[[#This Row],[BACKSIZE]],ALL尺码表[内部尺码],ALL尺码表[通用尺码]))</f>
        <v/>
      </c>
    </row>
    <row r="1253">
      <c r="A1253" s="17" t="inlineStr">
        <is>
          <t>ALL</t>
        </is>
      </c>
      <c r="B1253" s="18" t="inlineStr">
        <is>
          <t>Toyota Avalon</t>
        </is>
      </c>
      <c r="C1253" s="18" t="inlineStr">
        <is>
          <t>Toyota</t>
        </is>
      </c>
      <c r="D1253" s="18" t="inlineStr">
        <is>
          <t>Avalon</t>
        </is>
      </c>
      <c r="E1253" s="18" t="inlineStr">
        <is>
          <t>1995-2004</t>
        </is>
      </c>
      <c r="F1253" s="18" t="inlineStr"/>
      <c r="G1253" s="18" t="inlineStr">
        <is>
          <t>Sedan</t>
        </is>
      </c>
      <c r="H1253" s="18" t="inlineStr">
        <is>
          <t>3XL</t>
        </is>
      </c>
      <c r="I1253" s="19">
        <f t="array" ref="I1253">TRIM(_xlfn.XLOOKUP(非皮卡压缩表[[#This Row],[BACKSIZE]],ALL尺码表[内部尺码],ALL尺码表[分类],""))</f>
        <v/>
      </c>
      <c r="J1253" s="19">
        <f t="array" ref="J1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3" s="20">
        <f>LEN(非皮卡压缩表[[#This Row],[LONG-TYPE]])</f>
        <v/>
      </c>
      <c r="L1253" s="21">
        <f t="array" ref="L1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3" s="22">
        <f>LEN(非皮卡压缩表[[#This Row],[TYPE]])</f>
        <v/>
      </c>
      <c r="N1253" s="22">
        <f t="array" ref="N1253">_xlfn.XLOOKUP(非皮卡压缩表[[#This Row],[MODEL]],MODEL缩写表[长MODEL],MODEL缩写表[短MODEL],非皮卡压缩表[[#This Row],[MODEL]])</f>
        <v/>
      </c>
      <c r="O1253" s="22">
        <f>LEN(非皮卡压缩表[[#This Row],[SHORT-MODEL]])</f>
        <v/>
      </c>
      <c r="P1253" s="11">
        <f t="array" ref="P1253">TRIM(_xlfn.XLOOKUP(非皮卡压缩表[[#This Row],[BACKSIZE]],ALL尺码表[内部尺码],ALL尺码表[通用尺码]))</f>
        <v/>
      </c>
    </row>
    <row r="1254">
      <c r="A1254" s="17" t="inlineStr">
        <is>
          <t>ALL</t>
        </is>
      </c>
      <c r="B1254" s="18" t="inlineStr">
        <is>
          <t>Toyota Avalon</t>
        </is>
      </c>
      <c r="C1254" s="18" t="inlineStr">
        <is>
          <t>Toyota</t>
        </is>
      </c>
      <c r="D1254" s="18" t="inlineStr">
        <is>
          <t>Avalon</t>
        </is>
      </c>
      <c r="E1254" s="18" t="inlineStr">
        <is>
          <t>2005-2022</t>
        </is>
      </c>
      <c r="F1254" s="18" t="inlineStr"/>
      <c r="G1254" s="18" t="inlineStr">
        <is>
          <t>Sedan</t>
        </is>
      </c>
      <c r="H1254" s="18" t="inlineStr">
        <is>
          <t>3XXL</t>
        </is>
      </c>
      <c r="I1254" s="19">
        <f t="array" ref="I1254">TRIM(_xlfn.XLOOKUP(非皮卡压缩表[[#This Row],[BACKSIZE]],ALL尺码表[内部尺码],ALL尺码表[分类],""))</f>
        <v/>
      </c>
      <c r="J1254" s="19">
        <f t="array" ref="J1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4" s="20">
        <f>LEN(非皮卡压缩表[[#This Row],[LONG-TYPE]])</f>
        <v/>
      </c>
      <c r="L1254" s="21">
        <f t="array" ref="L1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4" s="22">
        <f>LEN(非皮卡压缩表[[#This Row],[TYPE]])</f>
        <v/>
      </c>
      <c r="N1254" s="22">
        <f t="array" ref="N1254">_xlfn.XLOOKUP(非皮卡压缩表[[#This Row],[MODEL]],MODEL缩写表[长MODEL],MODEL缩写表[短MODEL],非皮卡压缩表[[#This Row],[MODEL]])</f>
        <v/>
      </c>
      <c r="O1254" s="22">
        <f>LEN(非皮卡压缩表[[#This Row],[SHORT-MODEL]])</f>
        <v/>
      </c>
      <c r="P1254" s="11">
        <f t="array" ref="P1254">TRIM(_xlfn.XLOOKUP(非皮卡压缩表[[#This Row],[BACKSIZE]],ALL尺码表[内部尺码],ALL尺码表[通用尺码]))</f>
        <v/>
      </c>
    </row>
    <row r="1255">
      <c r="A1255" s="17" t="inlineStr">
        <is>
          <t>ALL</t>
        </is>
      </c>
      <c r="B1255" s="18" t="inlineStr">
        <is>
          <t>Toyota C-HR</t>
        </is>
      </c>
      <c r="C1255" s="18" t="inlineStr">
        <is>
          <t>Toyota</t>
        </is>
      </c>
      <c r="D1255" s="18" t="inlineStr">
        <is>
          <t>C-HR</t>
        </is>
      </c>
      <c r="E1255" s="18" t="inlineStr">
        <is>
          <t>2018-2022</t>
        </is>
      </c>
      <c r="F1255" s="18" t="inlineStr"/>
      <c r="G1255" s="18" t="inlineStr">
        <is>
          <t>CUV</t>
        </is>
      </c>
      <c r="H1255" s="18" t="inlineStr">
        <is>
          <t>YM+</t>
        </is>
      </c>
      <c r="I1255" s="19">
        <f t="array" ref="I1255">TRIM(_xlfn.XLOOKUP(非皮卡压缩表[[#This Row],[BACKSIZE]],ALL尺码表[内部尺码],ALL尺码表[分类],""))</f>
        <v/>
      </c>
      <c r="J1255" s="19">
        <f t="array" ref="J1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5" s="20">
        <f>LEN(非皮卡压缩表[[#This Row],[LONG-TYPE]])</f>
        <v/>
      </c>
      <c r="L1255" s="21">
        <f t="array" ref="L1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5" s="22">
        <f>LEN(非皮卡压缩表[[#This Row],[TYPE]])</f>
        <v/>
      </c>
      <c r="N1255" s="22">
        <f t="array" ref="N1255">_xlfn.XLOOKUP(非皮卡压缩表[[#This Row],[MODEL]],MODEL缩写表[长MODEL],MODEL缩写表[短MODEL],非皮卡压缩表[[#This Row],[MODEL]])</f>
        <v/>
      </c>
      <c r="O1255" s="22">
        <f>LEN(非皮卡压缩表[[#This Row],[SHORT-MODEL]])</f>
        <v/>
      </c>
      <c r="P1255" s="11">
        <f t="array" ref="P1255">TRIM(_xlfn.XLOOKUP(非皮卡压缩表[[#This Row],[BACKSIZE]],ALL尺码表[内部尺码],ALL尺码表[通用尺码]))</f>
        <v/>
      </c>
    </row>
    <row r="1256">
      <c r="A1256" s="17" t="inlineStr">
        <is>
          <t>ALL</t>
        </is>
      </c>
      <c r="B1256" s="18" t="inlineStr">
        <is>
          <t>Toyota Camry</t>
        </is>
      </c>
      <c r="C1256" s="18" t="inlineStr">
        <is>
          <t>Toyota</t>
        </is>
      </c>
      <c r="D1256" s="18" t="inlineStr">
        <is>
          <t>Camry</t>
        </is>
      </c>
      <c r="E1256" s="18" t="inlineStr">
        <is>
          <t>1983-1986</t>
        </is>
      </c>
      <c r="F1256" s="18" t="inlineStr"/>
      <c r="G1256" s="18" t="inlineStr">
        <is>
          <t>Hatchback</t>
        </is>
      </c>
      <c r="H1256" s="18" t="inlineStr">
        <is>
          <t>2L+</t>
        </is>
      </c>
      <c r="I1256" s="19">
        <f t="array" ref="I1256">TRIM(_xlfn.XLOOKUP(非皮卡压缩表[[#This Row],[BACKSIZE]],ALL尺码表[内部尺码],ALL尺码表[分类],""))</f>
        <v/>
      </c>
      <c r="J1256" s="19">
        <f t="array" ref="J1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6" s="20">
        <f>LEN(非皮卡压缩表[[#This Row],[LONG-TYPE]])</f>
        <v/>
      </c>
      <c r="L1256" s="21">
        <f t="array" ref="L1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6" s="22">
        <f>LEN(非皮卡压缩表[[#This Row],[TYPE]])</f>
        <v/>
      </c>
      <c r="N1256" s="22">
        <f t="array" ref="N1256">_xlfn.XLOOKUP(非皮卡压缩表[[#This Row],[MODEL]],MODEL缩写表[长MODEL],MODEL缩写表[短MODEL],非皮卡压缩表[[#This Row],[MODEL]])</f>
        <v/>
      </c>
      <c r="O1256" s="22">
        <f>LEN(非皮卡压缩表[[#This Row],[SHORT-MODEL]])</f>
        <v/>
      </c>
      <c r="P1256" s="11">
        <f t="array" ref="P1256">TRIM(_xlfn.XLOOKUP(非皮卡压缩表[[#This Row],[BACKSIZE]],ALL尺码表[内部尺码],ALL尺码表[通用尺码]))</f>
        <v/>
      </c>
    </row>
    <row r="1257">
      <c r="A1257" s="17" t="inlineStr">
        <is>
          <t>ALL</t>
        </is>
      </c>
      <c r="B1257" s="18" t="inlineStr">
        <is>
          <t>Toyota Camry</t>
        </is>
      </c>
      <c r="C1257" s="18" t="inlineStr">
        <is>
          <t>Toyota</t>
        </is>
      </c>
      <c r="D1257" s="18" t="inlineStr">
        <is>
          <t>Camry</t>
        </is>
      </c>
      <c r="E1257" s="18" t="inlineStr">
        <is>
          <t>1983-1991</t>
        </is>
      </c>
      <c r="F1257" s="18" t="inlineStr"/>
      <c r="G1257" s="18" t="inlineStr">
        <is>
          <t>Sedan</t>
        </is>
      </c>
      <c r="H1257" s="18" t="inlineStr">
        <is>
          <t>3L</t>
        </is>
      </c>
      <c r="I1257" s="19">
        <f t="array" ref="I1257">TRIM(_xlfn.XLOOKUP(非皮卡压缩表[[#This Row],[BACKSIZE]],ALL尺码表[内部尺码],ALL尺码表[分类],""))</f>
        <v/>
      </c>
      <c r="J1257" s="19">
        <f t="array" ref="J1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7" s="20">
        <f>LEN(非皮卡压缩表[[#This Row],[LONG-TYPE]])</f>
        <v/>
      </c>
      <c r="L1257" s="21">
        <f t="array" ref="L1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7" s="22">
        <f>LEN(非皮卡压缩表[[#This Row],[TYPE]])</f>
        <v/>
      </c>
      <c r="N1257" s="22">
        <f t="array" ref="N1257">_xlfn.XLOOKUP(非皮卡压缩表[[#This Row],[MODEL]],MODEL缩写表[长MODEL],MODEL缩写表[短MODEL],非皮卡压缩表[[#This Row],[MODEL]])</f>
        <v/>
      </c>
      <c r="O1257" s="22">
        <f>LEN(非皮卡压缩表[[#This Row],[SHORT-MODEL]])</f>
        <v/>
      </c>
      <c r="P1257" s="11">
        <f t="array" ref="P1257">TRIM(_xlfn.XLOOKUP(非皮卡压缩表[[#This Row],[BACKSIZE]],ALL尺码表[内部尺码],ALL尺码表[通用尺码]))</f>
        <v/>
      </c>
    </row>
    <row r="1258">
      <c r="A1258" s="17" t="inlineStr">
        <is>
          <t>ALL</t>
        </is>
      </c>
      <c r="B1258" s="18" t="inlineStr">
        <is>
          <t>Toyota Camry</t>
        </is>
      </c>
      <c r="C1258" s="18" t="inlineStr">
        <is>
          <t>Toyota</t>
        </is>
      </c>
      <c r="D1258" s="18" t="inlineStr">
        <is>
          <t>Camry</t>
        </is>
      </c>
      <c r="E1258" s="18" t="inlineStr">
        <is>
          <t>1987-1996</t>
        </is>
      </c>
      <c r="F1258" s="18" t="inlineStr"/>
      <c r="G1258" s="18" t="inlineStr">
        <is>
          <t>Wagon</t>
        </is>
      </c>
      <c r="H1258" s="18" t="inlineStr">
        <is>
          <t>2XL</t>
        </is>
      </c>
      <c r="I1258" s="19">
        <f t="array" ref="I1258">TRIM(_xlfn.XLOOKUP(非皮卡压缩表[[#This Row],[BACKSIZE]],ALL尺码表[内部尺码],ALL尺码表[分类],""))</f>
        <v/>
      </c>
      <c r="J1258" s="19">
        <f t="array" ref="J1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8" s="20">
        <f>LEN(非皮卡压缩表[[#This Row],[LONG-TYPE]])</f>
        <v/>
      </c>
      <c r="L1258" s="21">
        <f t="array" ref="L1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8" s="22">
        <f>LEN(非皮卡压缩表[[#This Row],[TYPE]])</f>
        <v/>
      </c>
      <c r="N1258" s="22">
        <f t="array" ref="N1258">_xlfn.XLOOKUP(非皮卡压缩表[[#This Row],[MODEL]],MODEL缩写表[长MODEL],MODEL缩写表[短MODEL],非皮卡压缩表[[#This Row],[MODEL]])</f>
        <v/>
      </c>
      <c r="O1258" s="22">
        <f>LEN(非皮卡压缩表[[#This Row],[SHORT-MODEL]])</f>
        <v/>
      </c>
      <c r="P1258" s="11">
        <f t="array" ref="P1258">TRIM(_xlfn.XLOOKUP(非皮卡压缩表[[#This Row],[BACKSIZE]],ALL尺码表[内部尺码],ALL尺码表[通用尺码]))</f>
        <v/>
      </c>
    </row>
    <row r="1259">
      <c r="A1259" s="17" t="inlineStr">
        <is>
          <t>ALL</t>
        </is>
      </c>
      <c r="B1259" s="18" t="inlineStr">
        <is>
          <t>Toyota Camry</t>
        </is>
      </c>
      <c r="C1259" s="18" t="inlineStr">
        <is>
          <t>Toyota</t>
        </is>
      </c>
      <c r="D1259" s="18" t="inlineStr">
        <is>
          <t>Camry</t>
        </is>
      </c>
      <c r="E1259" s="18" t="inlineStr">
        <is>
          <t>1992-2017</t>
        </is>
      </c>
      <c r="F1259" s="18" t="inlineStr"/>
      <c r="G1259" s="18" t="inlineStr">
        <is>
          <t>Sedan</t>
        </is>
      </c>
      <c r="H1259" s="18" t="inlineStr">
        <is>
          <t>3XL</t>
        </is>
      </c>
      <c r="I1259" s="19">
        <f t="array" ref="I1259">TRIM(_xlfn.XLOOKUP(非皮卡压缩表[[#This Row],[BACKSIZE]],ALL尺码表[内部尺码],ALL尺码表[分类],""))</f>
        <v/>
      </c>
      <c r="J1259" s="19">
        <f t="array" ref="J1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9" s="20">
        <f>LEN(非皮卡压缩表[[#This Row],[LONG-TYPE]])</f>
        <v/>
      </c>
      <c r="L1259" s="21">
        <f t="array" ref="L1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9" s="22">
        <f>LEN(非皮卡压缩表[[#This Row],[TYPE]])</f>
        <v/>
      </c>
      <c r="N1259" s="22">
        <f t="array" ref="N1259">_xlfn.XLOOKUP(非皮卡压缩表[[#This Row],[MODEL]],MODEL缩写表[长MODEL],MODEL缩写表[短MODEL],非皮卡压缩表[[#This Row],[MODEL]])</f>
        <v/>
      </c>
      <c r="O1259" s="22">
        <f>LEN(非皮卡压缩表[[#This Row],[SHORT-MODEL]])</f>
        <v/>
      </c>
      <c r="P1259" s="11">
        <f t="array" ref="P1259">TRIM(_xlfn.XLOOKUP(非皮卡压缩表[[#This Row],[BACKSIZE]],ALL尺码表[内部尺码],ALL尺码表[通用尺码]))</f>
        <v/>
      </c>
    </row>
    <row r="1260">
      <c r="A1260" s="17" t="inlineStr">
        <is>
          <t>ALL</t>
        </is>
      </c>
      <c r="B1260" s="18" t="inlineStr">
        <is>
          <t>Toyota Camry</t>
        </is>
      </c>
      <c r="C1260" s="18" t="inlineStr">
        <is>
          <t>Toyota</t>
        </is>
      </c>
      <c r="D1260" s="18" t="inlineStr">
        <is>
          <t>Camry</t>
        </is>
      </c>
      <c r="E1260" s="18" t="inlineStr">
        <is>
          <t>2018-2026</t>
        </is>
      </c>
      <c r="F1260" s="18" t="inlineStr"/>
      <c r="G1260" s="18" t="inlineStr">
        <is>
          <t>Sedan</t>
        </is>
      </c>
      <c r="H1260" s="18" t="inlineStr">
        <is>
          <t>3XXL</t>
        </is>
      </c>
      <c r="I1260" s="19">
        <f t="array" ref="I1260">TRIM(_xlfn.XLOOKUP(非皮卡压缩表[[#This Row],[BACKSIZE]],ALL尺码表[内部尺码],ALL尺码表[分类],""))</f>
        <v/>
      </c>
      <c r="J1260" s="19">
        <f t="array" ref="J1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0" s="20">
        <f>LEN(非皮卡压缩表[[#This Row],[LONG-TYPE]])</f>
        <v/>
      </c>
      <c r="L1260" s="21">
        <f t="array" ref="L1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0" s="22">
        <f>LEN(非皮卡压缩表[[#This Row],[TYPE]])</f>
        <v/>
      </c>
      <c r="N1260" s="22">
        <f t="array" ref="N1260">_xlfn.XLOOKUP(非皮卡压缩表[[#This Row],[MODEL]],MODEL缩写表[长MODEL],MODEL缩写表[短MODEL],非皮卡压缩表[[#This Row],[MODEL]])</f>
        <v/>
      </c>
      <c r="O1260" s="22">
        <f>LEN(非皮卡压缩表[[#This Row],[SHORT-MODEL]])</f>
        <v/>
      </c>
      <c r="P1260" s="11">
        <f t="array" ref="P1260">TRIM(_xlfn.XLOOKUP(非皮卡压缩表[[#This Row],[BACKSIZE]],ALL尺码表[内部尺码],ALL尺码表[通用尺码]))</f>
        <v/>
      </c>
    </row>
    <row r="1261">
      <c r="A1261" s="17" t="inlineStr">
        <is>
          <t>ALL</t>
        </is>
      </c>
      <c r="B1261" s="18" t="inlineStr">
        <is>
          <t>Toyota Celica</t>
        </is>
      </c>
      <c r="C1261" s="18" t="inlineStr">
        <is>
          <t>Toyota</t>
        </is>
      </c>
      <c r="D1261" s="18" t="inlineStr">
        <is>
          <t>Celica</t>
        </is>
      </c>
      <c r="E1261" s="18" t="inlineStr">
        <is>
          <t>1971-1999</t>
        </is>
      </c>
      <c r="F1261" s="18" t="inlineStr">
        <is>
          <t>Incl: All-Trac</t>
        </is>
      </c>
      <c r="G1261" s="18" t="inlineStr">
        <is>
          <t>Convertible/Coupe</t>
        </is>
      </c>
      <c r="H1261" s="18" t="inlineStr">
        <is>
          <t>3M-0</t>
        </is>
      </c>
      <c r="I1261" s="19">
        <f t="array" ref="I1261">TRIM(_xlfn.XLOOKUP(非皮卡压缩表[[#This Row],[BACKSIZE]],ALL尺码表[内部尺码],ALL尺码表[分类],""))</f>
        <v/>
      </c>
      <c r="J1261" s="19">
        <f t="array" ref="J1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1" s="20">
        <f>LEN(非皮卡压缩表[[#This Row],[LONG-TYPE]])</f>
        <v/>
      </c>
      <c r="L1261" s="21">
        <f t="array" ref="L1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1" s="22">
        <f>LEN(非皮卡压缩表[[#This Row],[TYPE]])</f>
        <v/>
      </c>
      <c r="N1261" s="22">
        <f t="array" ref="N1261">_xlfn.XLOOKUP(非皮卡压缩表[[#This Row],[MODEL]],MODEL缩写表[长MODEL],MODEL缩写表[短MODEL],非皮卡压缩表[[#This Row],[MODEL]])</f>
        <v/>
      </c>
      <c r="O1261" s="22">
        <f>LEN(非皮卡压缩表[[#This Row],[SHORT-MODEL]])</f>
        <v/>
      </c>
      <c r="P1261" s="11">
        <f t="array" ref="P1261">TRIM(_xlfn.XLOOKUP(非皮卡压缩表[[#This Row],[BACKSIZE]],ALL尺码表[内部尺码],ALL尺码表[通用尺码]))</f>
        <v/>
      </c>
    </row>
    <row r="1262">
      <c r="A1262" s="17" t="inlineStr">
        <is>
          <t>ALL</t>
        </is>
      </c>
      <c r="B1262" s="18" t="inlineStr">
        <is>
          <t>Toyota Celica</t>
        </is>
      </c>
      <c r="C1262" s="18" t="inlineStr">
        <is>
          <t>Toyota</t>
        </is>
      </c>
      <c r="D1262" s="18" t="inlineStr">
        <is>
          <t>Celica</t>
        </is>
      </c>
      <c r="E1262" s="18" t="inlineStr">
        <is>
          <t>2000-2005</t>
        </is>
      </c>
      <c r="F1262" s="18" t="inlineStr"/>
      <c r="G1262" s="18" t="inlineStr">
        <is>
          <t>Hatchback</t>
        </is>
      </c>
      <c r="H1262" s="18" t="inlineStr">
        <is>
          <t>2L+</t>
        </is>
      </c>
      <c r="I1262" s="19">
        <f t="array" ref="I1262">TRIM(_xlfn.XLOOKUP(非皮卡压缩表[[#This Row],[BACKSIZE]],ALL尺码表[内部尺码],ALL尺码表[分类],""))</f>
        <v/>
      </c>
      <c r="J1262" s="19">
        <f t="array" ref="J1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2" s="20">
        <f>LEN(非皮卡压缩表[[#This Row],[LONG-TYPE]])</f>
        <v/>
      </c>
      <c r="L1262" s="21">
        <f t="array" ref="L1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2" s="22">
        <f>LEN(非皮卡压缩表[[#This Row],[TYPE]])</f>
        <v/>
      </c>
      <c r="N1262" s="22">
        <f t="array" ref="N1262">_xlfn.XLOOKUP(非皮卡压缩表[[#This Row],[MODEL]],MODEL缩写表[长MODEL],MODEL缩写表[短MODEL],非皮卡压缩表[[#This Row],[MODEL]])</f>
        <v/>
      </c>
      <c r="O1262" s="22">
        <f>LEN(非皮卡压缩表[[#This Row],[SHORT-MODEL]])</f>
        <v/>
      </c>
      <c r="P1262" s="11">
        <f t="array" ref="P1262">TRIM(_xlfn.XLOOKUP(非皮卡压缩表[[#This Row],[BACKSIZE]],ALL尺码表[内部尺码],ALL尺码表[通用尺码]))</f>
        <v/>
      </c>
    </row>
    <row r="1263" ht="30" customHeight="1" s="23">
      <c r="A1263" s="17" t="inlineStr">
        <is>
          <t>ALL</t>
        </is>
      </c>
      <c r="B1263" s="18" t="inlineStr">
        <is>
          <t>Toyota Corolla</t>
        </is>
      </c>
      <c r="C1263" s="18" t="inlineStr">
        <is>
          <t>Toyota</t>
        </is>
      </c>
      <c r="D1263" s="18" t="inlineStr">
        <is>
          <t>Corolla</t>
        </is>
      </c>
      <c r="E1263" s="18" t="inlineStr">
        <is>
          <t>1968-1974</t>
        </is>
      </c>
      <c r="F1263" s="18" t="inlineStr"/>
      <c r="G1263" s="18" t="inlineStr">
        <is>
          <t>Wagon</t>
        </is>
      </c>
      <c r="H1263" s="18" t="inlineStr">
        <is>
          <t>2M</t>
        </is>
      </c>
      <c r="I1263" s="19">
        <f t="array" ref="I1263">TRIM(_xlfn.XLOOKUP(非皮卡压缩表[[#This Row],[BACKSIZE]],ALL尺码表[内部尺码],ALL尺码表[分类],""))</f>
        <v/>
      </c>
      <c r="J1263" s="19">
        <f t="array" ref="J1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3" s="20">
        <f>LEN(非皮卡压缩表[[#This Row],[LONG-TYPE]])</f>
        <v/>
      </c>
      <c r="L1263" s="21">
        <f t="array" ref="L1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3" s="22">
        <f>LEN(非皮卡压缩表[[#This Row],[TYPE]])</f>
        <v/>
      </c>
      <c r="N1263" s="22">
        <f t="array" ref="N1263">_xlfn.XLOOKUP(非皮卡压缩表[[#This Row],[MODEL]],MODEL缩写表[长MODEL],MODEL缩写表[短MODEL],非皮卡压缩表[[#This Row],[MODEL]])</f>
        <v/>
      </c>
      <c r="O1263" s="22">
        <f>LEN(非皮卡压缩表[[#This Row],[SHORT-MODEL]])</f>
        <v/>
      </c>
      <c r="P1263" s="11">
        <f t="array" ref="P1263">TRIM(_xlfn.XLOOKUP(非皮卡压缩表[[#This Row],[BACKSIZE]],ALL尺码表[内部尺码],ALL尺码表[通用尺码]))</f>
        <v/>
      </c>
    </row>
    <row r="1264">
      <c r="A1264" s="17" t="inlineStr">
        <is>
          <t>ALL</t>
        </is>
      </c>
      <c r="B1264" s="18" t="inlineStr">
        <is>
          <t>Toyota Corolla</t>
        </is>
      </c>
      <c r="C1264" s="18" t="inlineStr">
        <is>
          <t>Toyota</t>
        </is>
      </c>
      <c r="D1264" s="18" t="inlineStr">
        <is>
          <t>Corolla</t>
        </is>
      </c>
      <c r="E1264" s="18" t="inlineStr">
        <is>
          <t>1968-2026</t>
        </is>
      </c>
      <c r="F1264" s="18" t="inlineStr"/>
      <c r="G1264" s="18" t="inlineStr">
        <is>
          <t>Sedan</t>
        </is>
      </c>
      <c r="H1264" s="18" t="inlineStr">
        <is>
          <t>3L</t>
        </is>
      </c>
      <c r="I1264" s="19">
        <f t="array" ref="I1264">TRIM(_xlfn.XLOOKUP(非皮卡压缩表[[#This Row],[BACKSIZE]],ALL尺码表[内部尺码],ALL尺码表[分类],""))</f>
        <v/>
      </c>
      <c r="J1264" s="19">
        <f t="array" ref="J1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4" s="20">
        <f>LEN(非皮卡压缩表[[#This Row],[LONG-TYPE]])</f>
        <v/>
      </c>
      <c r="L1264" s="21">
        <f t="array" ref="L1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4" s="22">
        <f>LEN(非皮卡压缩表[[#This Row],[TYPE]])</f>
        <v/>
      </c>
      <c r="N1264" s="22">
        <f t="array" ref="N1264">_xlfn.XLOOKUP(非皮卡压缩表[[#This Row],[MODEL]],MODEL缩写表[长MODEL],MODEL缩写表[短MODEL],非皮卡压缩表[[#This Row],[MODEL]])</f>
        <v/>
      </c>
      <c r="O1264" s="22">
        <f>LEN(非皮卡压缩表[[#This Row],[SHORT-MODEL]])</f>
        <v/>
      </c>
      <c r="P1264" s="11">
        <f t="array" ref="P1264">TRIM(_xlfn.XLOOKUP(非皮卡压缩表[[#This Row],[BACKSIZE]],ALL尺码表[内部尺码],ALL尺码表[通用尺码]))</f>
        <v/>
      </c>
    </row>
    <row r="1265">
      <c r="A1265" s="17" t="inlineStr">
        <is>
          <t>ALL</t>
        </is>
      </c>
      <c r="B1265" s="18" t="inlineStr">
        <is>
          <t>Toyota Corolla</t>
        </is>
      </c>
      <c r="C1265" s="18" t="inlineStr">
        <is>
          <t>Toyota</t>
        </is>
      </c>
      <c r="D1265" s="18" t="inlineStr">
        <is>
          <t>Corolla</t>
        </is>
      </c>
      <c r="E1265" s="18" t="inlineStr">
        <is>
          <t>1968-1974</t>
        </is>
      </c>
      <c r="F1265" s="18" t="inlineStr"/>
      <c r="G1265" s="18" t="inlineStr">
        <is>
          <t>Coupe</t>
        </is>
      </c>
      <c r="H1265" s="18" t="inlineStr">
        <is>
          <t>3S-0</t>
        </is>
      </c>
      <c r="I1265" s="19">
        <f t="array" ref="I1265">TRIM(_xlfn.XLOOKUP(非皮卡压缩表[[#This Row],[BACKSIZE]],ALL尺码表[内部尺码],ALL尺码表[分类],""))</f>
        <v/>
      </c>
      <c r="J1265" s="19">
        <f t="array" ref="J1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5" s="20">
        <f>LEN(非皮卡压缩表[[#This Row],[LONG-TYPE]])</f>
        <v/>
      </c>
      <c r="L1265" s="21">
        <f t="array" ref="L1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5" s="22">
        <f>LEN(非皮卡压缩表[[#This Row],[TYPE]])</f>
        <v/>
      </c>
      <c r="N1265" s="22">
        <f t="array" ref="N1265">_xlfn.XLOOKUP(非皮卡压缩表[[#This Row],[MODEL]],MODEL缩写表[长MODEL],MODEL缩写表[短MODEL],非皮卡压缩表[[#This Row],[MODEL]])</f>
        <v/>
      </c>
      <c r="O1265" s="22">
        <f>LEN(非皮卡压缩表[[#This Row],[SHORT-MODEL]])</f>
        <v/>
      </c>
      <c r="P1265" s="11">
        <f t="array" ref="P1265">TRIM(_xlfn.XLOOKUP(非皮卡压缩表[[#This Row],[BACKSIZE]],ALL尺码表[内部尺码],ALL尺码表[通用尺码]))</f>
        <v/>
      </c>
    </row>
    <row r="1266">
      <c r="A1266" s="17" t="inlineStr">
        <is>
          <t>ALL</t>
        </is>
      </c>
      <c r="B1266" s="18" t="inlineStr">
        <is>
          <t>Toyota Corolla</t>
        </is>
      </c>
      <c r="C1266" s="18" t="inlineStr">
        <is>
          <t>Toyota</t>
        </is>
      </c>
      <c r="D1266" s="18" t="inlineStr">
        <is>
          <t>Corolla</t>
        </is>
      </c>
      <c r="E1266" s="18" t="inlineStr">
        <is>
          <t>1975-2026</t>
        </is>
      </c>
      <c r="F1266" s="18" t="inlineStr">
        <is>
          <t>Incl: GR Corolla</t>
        </is>
      </c>
      <c r="G1266" s="18" t="inlineStr">
        <is>
          <t>Hatchback/Wagon</t>
        </is>
      </c>
      <c r="H1266" s="18" t="inlineStr">
        <is>
          <t>2L+</t>
        </is>
      </c>
      <c r="I1266" s="19">
        <f t="array" ref="I1266">TRIM(_xlfn.XLOOKUP(非皮卡压缩表[[#This Row],[BACKSIZE]],ALL尺码表[内部尺码],ALL尺码表[分类],""))</f>
        <v/>
      </c>
      <c r="J1266" s="19">
        <f t="array" ref="J1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6" s="20">
        <f>LEN(非皮卡压缩表[[#This Row],[LONG-TYPE]])</f>
        <v/>
      </c>
      <c r="L1266" s="21">
        <f t="array" ref="L1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6" s="22">
        <f>LEN(非皮卡压缩表[[#This Row],[TYPE]])</f>
        <v/>
      </c>
      <c r="N1266" s="22">
        <f t="array" ref="N1266">_xlfn.XLOOKUP(非皮卡压缩表[[#This Row],[MODEL]],MODEL缩写表[长MODEL],MODEL缩写表[短MODEL],非皮卡压缩表[[#This Row],[MODEL]])</f>
        <v/>
      </c>
      <c r="O1266" s="22">
        <f>LEN(非皮卡压缩表[[#This Row],[SHORT-MODEL]])</f>
        <v/>
      </c>
      <c r="P1266" s="11">
        <f t="array" ref="P1266">TRIM(_xlfn.XLOOKUP(非皮卡压缩表[[#This Row],[BACKSIZE]],ALL尺码表[内部尺码],ALL尺码表[通用尺码]))</f>
        <v/>
      </c>
    </row>
    <row r="1267">
      <c r="A1267" s="17" t="inlineStr">
        <is>
          <t>ALL</t>
        </is>
      </c>
      <c r="B1267" s="18" t="inlineStr">
        <is>
          <t>Toyota Corolla</t>
        </is>
      </c>
      <c r="C1267" s="18" t="inlineStr">
        <is>
          <t>Toyota</t>
        </is>
      </c>
      <c r="D1267" s="18" t="inlineStr">
        <is>
          <t>Corolla</t>
        </is>
      </c>
      <c r="E1267" s="18" t="inlineStr">
        <is>
          <t>1980-1991</t>
        </is>
      </c>
      <c r="F1267" s="18" t="inlineStr"/>
      <c r="G1267" s="18" t="inlineStr">
        <is>
          <t>Coupe</t>
        </is>
      </c>
      <c r="H1267" s="18" t="inlineStr">
        <is>
          <t>3M-0</t>
        </is>
      </c>
      <c r="I1267" s="19">
        <f t="array" ref="I1267">TRIM(_xlfn.XLOOKUP(非皮卡压缩表[[#This Row],[BACKSIZE]],ALL尺码表[内部尺码],ALL尺码表[分类],""))</f>
        <v/>
      </c>
      <c r="J1267" s="19">
        <f t="array" ref="J1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7" s="20">
        <f>LEN(非皮卡压缩表[[#This Row],[LONG-TYPE]])</f>
        <v/>
      </c>
      <c r="L1267" s="21">
        <f t="array" ref="L1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7" s="22">
        <f>LEN(非皮卡压缩表[[#This Row],[TYPE]])</f>
        <v/>
      </c>
      <c r="N1267" s="22">
        <f t="array" ref="N1267">_xlfn.XLOOKUP(非皮卡压缩表[[#This Row],[MODEL]],MODEL缩写表[长MODEL],MODEL缩写表[短MODEL],非皮卡压缩表[[#This Row],[MODEL]])</f>
        <v/>
      </c>
      <c r="O1267" s="22">
        <f>LEN(非皮卡压缩表[[#This Row],[SHORT-MODEL]])</f>
        <v/>
      </c>
      <c r="P1267" s="11">
        <f t="array" ref="P1267">TRIM(_xlfn.XLOOKUP(非皮卡压缩表[[#This Row],[BACKSIZE]],ALL尺码表[内部尺码],ALL尺码表[通用尺码]))</f>
        <v/>
      </c>
    </row>
    <row r="1268">
      <c r="A1268" s="17" t="inlineStr">
        <is>
          <t>ALL</t>
        </is>
      </c>
      <c r="B1268" s="18" t="inlineStr">
        <is>
          <t>Toyota Corolla Cross</t>
        </is>
      </c>
      <c r="C1268" s="18" t="inlineStr">
        <is>
          <t>Toyota</t>
        </is>
      </c>
      <c r="D1268" s="18" t="inlineStr">
        <is>
          <t>Corolla Cross</t>
        </is>
      </c>
      <c r="E1268" s="18" t="inlineStr">
        <is>
          <t>2022-2026</t>
        </is>
      </c>
      <c r="F1268" s="18" t="inlineStr"/>
      <c r="G1268" s="18" t="inlineStr">
        <is>
          <t>SUV</t>
        </is>
      </c>
      <c r="H1268" s="18" t="inlineStr">
        <is>
          <t>YM+</t>
        </is>
      </c>
      <c r="I1268" s="19">
        <f t="array" ref="I1268">TRIM(_xlfn.XLOOKUP(非皮卡压缩表[[#This Row],[BACKSIZE]],ALL尺码表[内部尺码],ALL尺码表[分类],""))</f>
        <v/>
      </c>
      <c r="J1268" s="19">
        <f t="array" ref="J1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8" s="20">
        <f>LEN(非皮卡压缩表[[#This Row],[LONG-TYPE]])</f>
        <v/>
      </c>
      <c r="L1268" s="21">
        <f t="array" ref="L1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8" s="22">
        <f>LEN(非皮卡压缩表[[#This Row],[TYPE]])</f>
        <v/>
      </c>
      <c r="N1268" s="22">
        <f t="array" ref="N1268">_xlfn.XLOOKUP(非皮卡压缩表[[#This Row],[MODEL]],MODEL缩写表[长MODEL],MODEL缩写表[短MODEL],非皮卡压缩表[[#This Row],[MODEL]])</f>
        <v/>
      </c>
      <c r="O1268" s="22">
        <f>LEN(非皮卡压缩表[[#This Row],[SHORT-MODEL]])</f>
        <v/>
      </c>
      <c r="P1268" s="11">
        <f t="array" ref="P1268">TRIM(_xlfn.XLOOKUP(非皮卡压缩表[[#This Row],[BACKSIZE]],ALL尺码表[内部尺码],ALL尺码表[通用尺码]))</f>
        <v/>
      </c>
    </row>
    <row r="1269">
      <c r="A1269" s="17" t="inlineStr">
        <is>
          <t>ALL</t>
        </is>
      </c>
      <c r="B1269" s="18" t="inlineStr">
        <is>
          <t>Toyota Corolla GR</t>
        </is>
      </c>
      <c r="C1269" s="18" t="inlineStr">
        <is>
          <t>Toyota</t>
        </is>
      </c>
      <c r="D1269" s="18" t="inlineStr">
        <is>
          <t>Corolla GR</t>
        </is>
      </c>
      <c r="E1269" s="18" t="inlineStr">
        <is>
          <t>2023-2026</t>
        </is>
      </c>
      <c r="F1269" s="18" t="inlineStr"/>
      <c r="G1269" s="18" t="inlineStr">
        <is>
          <t>Hatchback</t>
        </is>
      </c>
      <c r="H1269" s="18" t="inlineStr">
        <is>
          <t>2L+</t>
        </is>
      </c>
      <c r="I1269" s="19">
        <f t="array" ref="I1269">TRIM(_xlfn.XLOOKUP(非皮卡压缩表[[#This Row],[BACKSIZE]],ALL尺码表[内部尺码],ALL尺码表[分类],""))</f>
        <v/>
      </c>
      <c r="J1269" s="19">
        <f t="array" ref="J1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9" s="20">
        <f>LEN(非皮卡压缩表[[#This Row],[LONG-TYPE]])</f>
        <v/>
      </c>
      <c r="L1269" s="21">
        <f t="array" ref="L1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9" s="22">
        <f>LEN(非皮卡压缩表[[#This Row],[TYPE]])</f>
        <v/>
      </c>
      <c r="N1269" s="22">
        <f t="array" ref="N1269">_xlfn.XLOOKUP(非皮卡压缩表[[#This Row],[MODEL]],MODEL缩写表[长MODEL],MODEL缩写表[短MODEL],非皮卡压缩表[[#This Row],[MODEL]])</f>
        <v/>
      </c>
      <c r="O1269" s="22">
        <f>LEN(非皮卡压缩表[[#This Row],[SHORT-MODEL]])</f>
        <v/>
      </c>
      <c r="P1269" s="11">
        <f t="array" ref="P1269">TRIM(_xlfn.XLOOKUP(非皮卡压缩表[[#This Row],[BACKSIZE]],ALL尺码表[内部尺码],ALL尺码表[通用尺码]))</f>
        <v/>
      </c>
    </row>
    <row r="1270" ht="30" customHeight="1" s="23">
      <c r="A1270" s="17" t="inlineStr">
        <is>
          <t>ALL</t>
        </is>
      </c>
      <c r="B1270" s="18" t="inlineStr">
        <is>
          <t>Toyota Corolla iM</t>
        </is>
      </c>
      <c r="C1270" s="18" t="inlineStr">
        <is>
          <t>Toyota</t>
        </is>
      </c>
      <c r="D1270" s="18" t="inlineStr">
        <is>
          <t>Corolla iM</t>
        </is>
      </c>
      <c r="E1270" s="18" t="inlineStr">
        <is>
          <t>2017-2018</t>
        </is>
      </c>
      <c r="F1270" s="18" t="inlineStr"/>
      <c r="G1270" s="18" t="inlineStr">
        <is>
          <t>Hatchback</t>
        </is>
      </c>
      <c r="H1270" s="18" t="inlineStr">
        <is>
          <t>2L+</t>
        </is>
      </c>
      <c r="I1270" s="19">
        <f t="array" ref="I1270">TRIM(_xlfn.XLOOKUP(非皮卡压缩表[[#This Row],[BACKSIZE]],ALL尺码表[内部尺码],ALL尺码表[分类],""))</f>
        <v/>
      </c>
      <c r="J1270" s="19">
        <f t="array" ref="J1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0" s="20">
        <f>LEN(非皮卡压缩表[[#This Row],[LONG-TYPE]])</f>
        <v/>
      </c>
      <c r="L1270" s="21">
        <f t="array" ref="L1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0" s="22">
        <f>LEN(非皮卡压缩表[[#This Row],[TYPE]])</f>
        <v/>
      </c>
      <c r="N1270" s="22">
        <f t="array" ref="N1270">_xlfn.XLOOKUP(非皮卡压缩表[[#This Row],[MODEL]],MODEL缩写表[长MODEL],MODEL缩写表[短MODEL],非皮卡压缩表[[#This Row],[MODEL]])</f>
        <v/>
      </c>
      <c r="O1270" s="22">
        <f>LEN(非皮卡压缩表[[#This Row],[SHORT-MODEL]])</f>
        <v/>
      </c>
      <c r="P1270" s="11">
        <f t="array" ref="P1270">TRIM(_xlfn.XLOOKUP(非皮卡压缩表[[#This Row],[BACKSIZE]],ALL尺码表[内部尺码],ALL尺码表[通用尺码]))</f>
        <v/>
      </c>
    </row>
    <row r="1271">
      <c r="A1271" s="17" t="inlineStr">
        <is>
          <t>ALL</t>
        </is>
      </c>
      <c r="B1271" s="18" t="inlineStr">
        <is>
          <t>Toyota Crown</t>
        </is>
      </c>
      <c r="C1271" s="18" t="inlineStr">
        <is>
          <t>Toyota</t>
        </is>
      </c>
      <c r="D1271" s="18" t="inlineStr">
        <is>
          <t>Crown</t>
        </is>
      </c>
      <c r="E1271" s="18" t="inlineStr">
        <is>
          <t>2023-2026</t>
        </is>
      </c>
      <c r="F1271" s="18" t="inlineStr"/>
      <c r="G1271" s="18" t="inlineStr">
        <is>
          <t>Sedan</t>
        </is>
      </c>
      <c r="H1271" s="18" t="inlineStr">
        <is>
          <t>3XXL</t>
        </is>
      </c>
      <c r="I1271" s="19">
        <f t="array" ref="I1271">TRIM(_xlfn.XLOOKUP(非皮卡压缩表[[#This Row],[BACKSIZE]],ALL尺码表[内部尺码],ALL尺码表[分类],""))</f>
        <v/>
      </c>
      <c r="J1271" s="19">
        <f t="array" ref="J1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1" s="20">
        <f>LEN(非皮卡压缩表[[#This Row],[LONG-TYPE]])</f>
        <v/>
      </c>
      <c r="L1271" s="21">
        <f t="array" ref="L1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1" s="22">
        <f>LEN(非皮卡压缩表[[#This Row],[TYPE]])</f>
        <v/>
      </c>
      <c r="N1271" s="22">
        <f t="array" ref="N1271">_xlfn.XLOOKUP(非皮卡压缩表[[#This Row],[MODEL]],MODEL缩写表[长MODEL],MODEL缩写表[短MODEL],非皮卡压缩表[[#This Row],[MODEL]])</f>
        <v/>
      </c>
      <c r="O1271" s="22">
        <f>LEN(非皮卡压缩表[[#This Row],[SHORT-MODEL]])</f>
        <v/>
      </c>
      <c r="P1271" s="11">
        <f t="array" ref="P1271">TRIM(_xlfn.XLOOKUP(非皮卡压缩表[[#This Row],[BACKSIZE]],ALL尺码表[内部尺码],ALL尺码表[通用尺码]))</f>
        <v/>
      </c>
    </row>
    <row r="1272">
      <c r="A1272" s="17" t="inlineStr">
        <is>
          <t>ALL</t>
        </is>
      </c>
      <c r="B1272" s="18" t="inlineStr">
        <is>
          <t>Toyota Crown Signia</t>
        </is>
      </c>
      <c r="C1272" s="18" t="inlineStr">
        <is>
          <t>Toyota</t>
        </is>
      </c>
      <c r="D1272" s="18" t="inlineStr">
        <is>
          <t>Crown Signia</t>
        </is>
      </c>
      <c r="E1272" s="18" t="inlineStr">
        <is>
          <t>2025-2026</t>
        </is>
      </c>
      <c r="F1272" s="18" t="inlineStr"/>
      <c r="G1272" s="18" t="inlineStr">
        <is>
          <t>Wagon</t>
        </is>
      </c>
      <c r="H1272" s="18" t="inlineStr">
        <is>
          <t>2XL+</t>
        </is>
      </c>
      <c r="I1272" s="19">
        <f t="array" ref="I1272">TRIM(_xlfn.XLOOKUP(非皮卡压缩表[[#This Row],[BACKSIZE]],ALL尺码表[内部尺码],ALL尺码表[分类],""))</f>
        <v/>
      </c>
      <c r="J1272" s="19">
        <f t="array" ref="J1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2" s="20">
        <f>LEN(非皮卡压缩表[[#This Row],[LONG-TYPE]])</f>
        <v/>
      </c>
      <c r="L1272" s="21">
        <f t="array" ref="L1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2" s="22">
        <f>LEN(非皮卡压缩表[[#This Row],[TYPE]])</f>
        <v/>
      </c>
      <c r="N1272" s="22">
        <f t="array" ref="N1272">_xlfn.XLOOKUP(非皮卡压缩表[[#This Row],[MODEL]],MODEL缩写表[长MODEL],MODEL缩写表[短MODEL],非皮卡压缩表[[#This Row],[MODEL]])</f>
        <v/>
      </c>
      <c r="O1272" s="22">
        <f>LEN(非皮卡压缩表[[#This Row],[SHORT-MODEL]])</f>
        <v/>
      </c>
      <c r="P1272" s="11">
        <f t="array" ref="P1272">TRIM(_xlfn.XLOOKUP(非皮卡压缩表[[#This Row],[BACKSIZE]],ALL尺码表[内部尺码],ALL尺码表[通用尺码]))</f>
        <v/>
      </c>
    </row>
    <row r="1273">
      <c r="A1273" s="17" t="inlineStr">
        <is>
          <t>ALL</t>
        </is>
      </c>
      <c r="B1273" s="18" t="inlineStr">
        <is>
          <t>Toyota Echo</t>
        </is>
      </c>
      <c r="C1273" s="18" t="inlineStr">
        <is>
          <t>Toyota</t>
        </is>
      </c>
      <c r="D1273" s="18" t="inlineStr">
        <is>
          <t>Echo</t>
        </is>
      </c>
      <c r="E1273" s="18" t="inlineStr">
        <is>
          <t>2000-2005</t>
        </is>
      </c>
      <c r="F1273" s="18" t="inlineStr"/>
      <c r="G1273" s="18" t="inlineStr">
        <is>
          <t>Sedan</t>
        </is>
      </c>
      <c r="H1273" s="18" t="inlineStr">
        <is>
          <t>3L</t>
        </is>
      </c>
      <c r="I1273" s="19">
        <f t="array" ref="I1273">TRIM(_xlfn.XLOOKUP(非皮卡压缩表[[#This Row],[BACKSIZE]],ALL尺码表[内部尺码],ALL尺码表[分类],""))</f>
        <v/>
      </c>
      <c r="J1273" s="19">
        <f t="array" ref="J1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3" s="20">
        <f>LEN(非皮卡压缩表[[#This Row],[LONG-TYPE]])</f>
        <v/>
      </c>
      <c r="L1273" s="21">
        <f t="array" ref="L1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3" s="22">
        <f>LEN(非皮卡压缩表[[#This Row],[TYPE]])</f>
        <v/>
      </c>
      <c r="N1273" s="22">
        <f t="array" ref="N1273">_xlfn.XLOOKUP(非皮卡压缩表[[#This Row],[MODEL]],MODEL缩写表[长MODEL],MODEL缩写表[短MODEL],非皮卡压缩表[[#This Row],[MODEL]])</f>
        <v/>
      </c>
      <c r="O1273" s="22">
        <f>LEN(非皮卡压缩表[[#This Row],[SHORT-MODEL]])</f>
        <v/>
      </c>
      <c r="P1273" s="11">
        <f t="array" ref="P1273">TRIM(_xlfn.XLOOKUP(非皮卡压缩表[[#This Row],[BACKSIZE]],ALL尺码表[内部尺码],ALL尺码表[通用尺码]))</f>
        <v/>
      </c>
    </row>
    <row r="1274">
      <c r="A1274" s="17" t="inlineStr">
        <is>
          <t>ALL</t>
        </is>
      </c>
      <c r="B1274" s="18" t="inlineStr">
        <is>
          <t>Toyota FJ Cruiser</t>
        </is>
      </c>
      <c r="C1274" s="18" t="inlineStr">
        <is>
          <t>Toyota</t>
        </is>
      </c>
      <c r="D1274" s="18" t="inlineStr">
        <is>
          <t>FJ Cruiser</t>
        </is>
      </c>
      <c r="E1274" s="18" t="inlineStr">
        <is>
          <t>2007-2014</t>
        </is>
      </c>
      <c r="F1274" s="18" t="inlineStr"/>
      <c r="G1274" s="18" t="inlineStr">
        <is>
          <t>SUV</t>
        </is>
      </c>
      <c r="H1274" s="18" t="inlineStr">
        <is>
          <t>YL</t>
        </is>
      </c>
      <c r="I1274" s="19">
        <f t="array" ref="I1274">TRIM(_xlfn.XLOOKUP(非皮卡压缩表[[#This Row],[BACKSIZE]],ALL尺码表[内部尺码],ALL尺码表[分类],""))</f>
        <v/>
      </c>
      <c r="J1274" s="19">
        <f t="array" ref="J1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4" s="20">
        <f>LEN(非皮卡压缩表[[#This Row],[LONG-TYPE]])</f>
        <v/>
      </c>
      <c r="L1274" s="21">
        <f t="array" ref="L1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4" s="22">
        <f>LEN(非皮卡压缩表[[#This Row],[TYPE]])</f>
        <v/>
      </c>
      <c r="N1274" s="22">
        <f t="array" ref="N1274">_xlfn.XLOOKUP(非皮卡压缩表[[#This Row],[MODEL]],MODEL缩写表[长MODEL],MODEL缩写表[短MODEL],非皮卡压缩表[[#This Row],[MODEL]])</f>
        <v/>
      </c>
      <c r="O1274" s="22">
        <f>LEN(非皮卡压缩表[[#This Row],[SHORT-MODEL]])</f>
        <v/>
      </c>
      <c r="P1274" s="11">
        <f t="array" ref="P1274">TRIM(_xlfn.XLOOKUP(非皮卡压缩表[[#This Row],[BACKSIZE]],ALL尺码表[内部尺码],ALL尺码表[通用尺码]))</f>
        <v/>
      </c>
    </row>
    <row r="1275">
      <c r="A1275" s="17" t="inlineStr">
        <is>
          <t>ALL</t>
        </is>
      </c>
      <c r="B1275" s="18" t="inlineStr">
        <is>
          <t>Toyota Grand Highlander</t>
        </is>
      </c>
      <c r="C1275" s="18" t="inlineStr">
        <is>
          <t>Toyota</t>
        </is>
      </c>
      <c r="D1275" s="18" t="inlineStr">
        <is>
          <t>Grand Highlander</t>
        </is>
      </c>
      <c r="E1275" s="18" t="inlineStr">
        <is>
          <t>2024-2026</t>
        </is>
      </c>
      <c r="F1275" s="18" t="inlineStr"/>
      <c r="G1275" s="18" t="inlineStr">
        <is>
          <t>SUV</t>
        </is>
      </c>
      <c r="H1275" s="18" t="inlineStr">
        <is>
          <t>YXXL</t>
        </is>
      </c>
      <c r="I1275" s="19">
        <f t="array" ref="I1275">TRIM(_xlfn.XLOOKUP(非皮卡压缩表[[#This Row],[BACKSIZE]],ALL尺码表[内部尺码],ALL尺码表[分类],""))</f>
        <v/>
      </c>
      <c r="J1275" s="19">
        <f t="array" ref="J1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5" s="20">
        <f>LEN(非皮卡压缩表[[#This Row],[LONG-TYPE]])</f>
        <v/>
      </c>
      <c r="L1275" s="21">
        <f t="array" ref="L1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5" s="22">
        <f>LEN(非皮卡压缩表[[#This Row],[TYPE]])</f>
        <v/>
      </c>
      <c r="N1275" s="22">
        <f t="array" ref="N1275">_xlfn.XLOOKUP(非皮卡压缩表[[#This Row],[MODEL]],MODEL缩写表[长MODEL],MODEL缩写表[短MODEL],非皮卡压缩表[[#This Row],[MODEL]])</f>
        <v/>
      </c>
      <c r="O1275" s="22">
        <f>LEN(非皮卡压缩表[[#This Row],[SHORT-MODEL]])</f>
        <v/>
      </c>
      <c r="P1275" s="11">
        <f t="array" ref="P1275">TRIM(_xlfn.XLOOKUP(非皮卡压缩表[[#This Row],[BACKSIZE]],ALL尺码表[内部尺码],ALL尺码表[通用尺码]))</f>
        <v/>
      </c>
    </row>
    <row r="1276">
      <c r="A1276" s="17" t="inlineStr">
        <is>
          <t>ALL</t>
        </is>
      </c>
      <c r="B1276" s="18" t="inlineStr">
        <is>
          <t>Toyota Highlander</t>
        </is>
      </c>
      <c r="C1276" s="18" t="inlineStr">
        <is>
          <t>Toyota</t>
        </is>
      </c>
      <c r="D1276" s="18" t="inlineStr">
        <is>
          <t>Highlander</t>
        </is>
      </c>
      <c r="E1276" s="18" t="inlineStr">
        <is>
          <t>2001-2013</t>
        </is>
      </c>
      <c r="F1276" s="18" t="inlineStr"/>
      <c r="G1276" s="18" t="inlineStr">
        <is>
          <t>SUV</t>
        </is>
      </c>
      <c r="H1276" s="18" t="inlineStr">
        <is>
          <t>YL</t>
        </is>
      </c>
      <c r="I1276" s="19">
        <f t="array" ref="I1276">TRIM(_xlfn.XLOOKUP(非皮卡压缩表[[#This Row],[BACKSIZE]],ALL尺码表[内部尺码],ALL尺码表[分类],""))</f>
        <v/>
      </c>
      <c r="J1276" s="19">
        <f t="array" ref="J1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6" s="20">
        <f>LEN(非皮卡压缩表[[#This Row],[LONG-TYPE]])</f>
        <v/>
      </c>
      <c r="L1276" s="21">
        <f t="array" ref="L1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6" s="22">
        <f>LEN(非皮卡压缩表[[#This Row],[TYPE]])</f>
        <v/>
      </c>
      <c r="N1276" s="22">
        <f t="array" ref="N1276">_xlfn.XLOOKUP(非皮卡压缩表[[#This Row],[MODEL]],MODEL缩写表[长MODEL],MODEL缩写表[短MODEL],非皮卡压缩表[[#This Row],[MODEL]])</f>
        <v/>
      </c>
      <c r="O1276" s="22">
        <f>LEN(非皮卡压缩表[[#This Row],[SHORT-MODEL]])</f>
        <v/>
      </c>
      <c r="P1276" s="11">
        <f t="array" ref="P1276">TRIM(_xlfn.XLOOKUP(非皮卡压缩表[[#This Row],[BACKSIZE]],ALL尺码表[内部尺码],ALL尺码表[通用尺码]))</f>
        <v/>
      </c>
    </row>
    <row r="1277">
      <c r="A1277" s="17" t="inlineStr">
        <is>
          <t>ALL</t>
        </is>
      </c>
      <c r="B1277" s="18" t="inlineStr">
        <is>
          <t>Toyota Highlander</t>
        </is>
      </c>
      <c r="C1277" s="18" t="inlineStr">
        <is>
          <t>Toyota</t>
        </is>
      </c>
      <c r="D1277" s="18" t="inlineStr">
        <is>
          <t>Highlander</t>
        </is>
      </c>
      <c r="E1277" s="18" t="inlineStr">
        <is>
          <t>2014-2026</t>
        </is>
      </c>
      <c r="F1277" s="18" t="inlineStr"/>
      <c r="G1277" s="18" t="inlineStr">
        <is>
          <t>SUV</t>
        </is>
      </c>
      <c r="H1277" s="18" t="inlineStr">
        <is>
          <t>YXL</t>
        </is>
      </c>
      <c r="I1277" s="19">
        <f t="array" ref="I1277">TRIM(_xlfn.XLOOKUP(非皮卡压缩表[[#This Row],[BACKSIZE]],ALL尺码表[内部尺码],ALL尺码表[分类],""))</f>
        <v/>
      </c>
      <c r="J1277" s="19">
        <f t="array" ref="J1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7" s="20">
        <f>LEN(非皮卡压缩表[[#This Row],[LONG-TYPE]])</f>
        <v/>
      </c>
      <c r="L1277" s="21">
        <f t="array" ref="L1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7" s="22">
        <f>LEN(非皮卡压缩表[[#This Row],[TYPE]])</f>
        <v/>
      </c>
      <c r="N1277" s="22">
        <f t="array" ref="N1277">_xlfn.XLOOKUP(非皮卡压缩表[[#This Row],[MODEL]],MODEL缩写表[长MODEL],MODEL缩写表[短MODEL],非皮卡压缩表[[#This Row],[MODEL]])</f>
        <v/>
      </c>
      <c r="O1277" s="22">
        <f>LEN(非皮卡压缩表[[#This Row],[SHORT-MODEL]])</f>
        <v/>
      </c>
      <c r="P1277" s="11">
        <f t="array" ref="P1277">TRIM(_xlfn.XLOOKUP(非皮卡压缩表[[#This Row],[BACKSIZE]],ALL尺码表[内部尺码],ALL尺码表[通用尺码]))</f>
        <v/>
      </c>
    </row>
    <row r="1278">
      <c r="A1278" s="17" t="inlineStr">
        <is>
          <t>ALL</t>
        </is>
      </c>
      <c r="B1278" s="18" t="inlineStr">
        <is>
          <t>Toyota Land Cruiser</t>
        </is>
      </c>
      <c r="C1278" s="18" t="inlineStr">
        <is>
          <t>Toyota</t>
        </is>
      </c>
      <c r="D1278" s="18" t="inlineStr">
        <is>
          <t>Land Cruiser</t>
        </is>
      </c>
      <c r="E1278" s="18" t="inlineStr">
        <is>
          <t>1958-1997</t>
        </is>
      </c>
      <c r="F1278" s="18" t="inlineStr"/>
      <c r="G1278" s="18" t="inlineStr">
        <is>
          <t>SUV</t>
        </is>
      </c>
      <c r="H1278" s="18" t="inlineStr">
        <is>
          <t>YL</t>
        </is>
      </c>
      <c r="I1278" s="19">
        <f t="array" ref="I1278">TRIM(_xlfn.XLOOKUP(非皮卡压缩表[[#This Row],[BACKSIZE]],ALL尺码表[内部尺码],ALL尺码表[分类],""))</f>
        <v/>
      </c>
      <c r="J1278" s="19">
        <f t="array" ref="J1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8" s="20">
        <f>LEN(非皮卡压缩表[[#This Row],[LONG-TYPE]])</f>
        <v/>
      </c>
      <c r="L1278" s="21">
        <f t="array" ref="L1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8" s="22">
        <f>LEN(非皮卡压缩表[[#This Row],[TYPE]])</f>
        <v/>
      </c>
      <c r="N1278" s="22">
        <f t="array" ref="N1278">_xlfn.XLOOKUP(非皮卡压缩表[[#This Row],[MODEL]],MODEL缩写表[长MODEL],MODEL缩写表[短MODEL],非皮卡压缩表[[#This Row],[MODEL]])</f>
        <v/>
      </c>
      <c r="O1278" s="22">
        <f>LEN(非皮卡压缩表[[#This Row],[SHORT-MODEL]])</f>
        <v/>
      </c>
      <c r="P1278" s="11">
        <f t="array" ref="P1278">TRIM(_xlfn.XLOOKUP(非皮卡压缩表[[#This Row],[BACKSIZE]],ALL尺码表[内部尺码],ALL尺码表[通用尺码]))</f>
        <v/>
      </c>
    </row>
    <row r="1279">
      <c r="A1279" s="17" t="inlineStr">
        <is>
          <t>ALL</t>
        </is>
      </c>
      <c r="B1279" s="18" t="inlineStr">
        <is>
          <t>Toyota Land Cruiser</t>
        </is>
      </c>
      <c r="C1279" s="18" t="inlineStr">
        <is>
          <t>Toyota</t>
        </is>
      </c>
      <c r="D1279" s="18" t="inlineStr">
        <is>
          <t>Land Cruiser</t>
        </is>
      </c>
      <c r="E1279" s="18" t="inlineStr">
        <is>
          <t>1998-2021</t>
        </is>
      </c>
      <c r="F1279" s="18" t="inlineStr"/>
      <c r="G1279" s="18" t="inlineStr">
        <is>
          <t>SUV</t>
        </is>
      </c>
      <c r="H1279" s="18" t="inlineStr">
        <is>
          <t>YXL</t>
        </is>
      </c>
      <c r="I1279" s="19">
        <f t="array" ref="I1279">TRIM(_xlfn.XLOOKUP(非皮卡压缩表[[#This Row],[BACKSIZE]],ALL尺码表[内部尺码],ALL尺码表[分类],""))</f>
        <v/>
      </c>
      <c r="J1279" s="19">
        <f t="array" ref="J1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9" s="20">
        <f>LEN(非皮卡压缩表[[#This Row],[LONG-TYPE]])</f>
        <v/>
      </c>
      <c r="L1279" s="21">
        <f t="array" ref="L1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9" s="22">
        <f>LEN(非皮卡压缩表[[#This Row],[TYPE]])</f>
        <v/>
      </c>
      <c r="N1279" s="22">
        <f t="array" ref="N1279">_xlfn.XLOOKUP(非皮卡压缩表[[#This Row],[MODEL]],MODEL缩写表[长MODEL],MODEL缩写表[短MODEL],非皮卡压缩表[[#This Row],[MODEL]])</f>
        <v/>
      </c>
      <c r="O1279" s="22">
        <f>LEN(非皮卡压缩表[[#This Row],[SHORT-MODEL]])</f>
        <v/>
      </c>
      <c r="P1279" s="11">
        <f t="array" ref="P1279">TRIM(_xlfn.XLOOKUP(非皮卡压缩表[[#This Row],[BACKSIZE]],ALL尺码表[内部尺码],ALL尺码表[通用尺码]))</f>
        <v/>
      </c>
    </row>
    <row r="1280">
      <c r="A1280" s="17" t="inlineStr">
        <is>
          <t>ALL</t>
        </is>
      </c>
      <c r="B1280" s="18" t="inlineStr">
        <is>
          <t>Toyota Land Cruiser 250</t>
        </is>
      </c>
      <c r="C1280" s="18" t="inlineStr">
        <is>
          <t>Toyota</t>
        </is>
      </c>
      <c r="D1280" s="18" t="inlineStr">
        <is>
          <t>Land Cruiser 250</t>
        </is>
      </c>
      <c r="E1280" s="18" t="inlineStr">
        <is>
          <t>2024-2026</t>
        </is>
      </c>
      <c r="F1280" s="18" t="inlineStr"/>
      <c r="G1280" s="18" t="inlineStr">
        <is>
          <t>SUV</t>
        </is>
      </c>
      <c r="H1280" s="18" t="inlineStr">
        <is>
          <t>YXL</t>
        </is>
      </c>
      <c r="I1280" s="19">
        <f t="array" ref="I1280">TRIM(_xlfn.XLOOKUP(非皮卡压缩表[[#This Row],[BACKSIZE]],ALL尺码表[内部尺码],ALL尺码表[分类],""))</f>
        <v/>
      </c>
      <c r="J1280" s="19">
        <f t="array" ref="J1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0" s="20">
        <f>LEN(非皮卡压缩表[[#This Row],[LONG-TYPE]])</f>
        <v/>
      </c>
      <c r="L1280" s="21">
        <f t="array" ref="L1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0" s="22">
        <f>LEN(非皮卡压缩表[[#This Row],[TYPE]])</f>
        <v/>
      </c>
      <c r="N1280" s="22">
        <f t="array" ref="N1280">_xlfn.XLOOKUP(非皮卡压缩表[[#This Row],[MODEL]],MODEL缩写表[长MODEL],MODEL缩写表[短MODEL],非皮卡压缩表[[#This Row],[MODEL]])</f>
        <v/>
      </c>
      <c r="O1280" s="22">
        <f>LEN(非皮卡压缩表[[#This Row],[SHORT-MODEL]])</f>
        <v/>
      </c>
      <c r="P1280" s="11">
        <f t="array" ref="P1280">TRIM(_xlfn.XLOOKUP(非皮卡压缩表[[#This Row],[BACKSIZE]],ALL尺码表[内部尺码],ALL尺码表[通用尺码]))</f>
        <v/>
      </c>
    </row>
    <row r="1281">
      <c r="A1281" s="17" t="inlineStr">
        <is>
          <t>ALL</t>
        </is>
      </c>
      <c r="B1281" s="18" t="inlineStr">
        <is>
          <t>Toyota MIRAI</t>
        </is>
      </c>
      <c r="C1281" s="18" t="inlineStr">
        <is>
          <t>Toyota</t>
        </is>
      </c>
      <c r="D1281" s="18" t="inlineStr">
        <is>
          <t>MIRAI</t>
        </is>
      </c>
      <c r="E1281" s="18" t="inlineStr">
        <is>
          <t>2016-2024</t>
        </is>
      </c>
      <c r="F1281" s="18" t="inlineStr"/>
      <c r="G1281" s="18" t="inlineStr">
        <is>
          <t>Sedan</t>
        </is>
      </c>
      <c r="H1281" s="18" t="inlineStr">
        <is>
          <t>3XXL</t>
        </is>
      </c>
      <c r="I1281" s="19">
        <f t="array" ref="I1281">TRIM(_xlfn.XLOOKUP(非皮卡压缩表[[#This Row],[BACKSIZE]],ALL尺码表[内部尺码],ALL尺码表[分类],""))</f>
        <v/>
      </c>
      <c r="J1281" s="19">
        <f t="array" ref="J1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1" s="20">
        <f>LEN(非皮卡压缩表[[#This Row],[LONG-TYPE]])</f>
        <v/>
      </c>
      <c r="L1281" s="21">
        <f t="array" ref="L1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1" s="22">
        <f>LEN(非皮卡压缩表[[#This Row],[TYPE]])</f>
        <v/>
      </c>
      <c r="N1281" s="22">
        <f t="array" ref="N1281">_xlfn.XLOOKUP(非皮卡压缩表[[#This Row],[MODEL]],MODEL缩写表[长MODEL],MODEL缩写表[短MODEL],非皮卡压缩表[[#This Row],[MODEL]])</f>
        <v/>
      </c>
      <c r="O1281" s="22">
        <f>LEN(非皮卡压缩表[[#This Row],[SHORT-MODEL]])</f>
        <v/>
      </c>
      <c r="P1281" s="11">
        <f t="array" ref="P1281">TRIM(_xlfn.XLOOKUP(非皮卡压缩表[[#This Row],[BACKSIZE]],ALL尺码表[内部尺码],ALL尺码表[通用尺码]))</f>
        <v/>
      </c>
    </row>
    <row r="1282">
      <c r="A1282" s="17" t="inlineStr">
        <is>
          <t>ALL</t>
        </is>
      </c>
      <c r="B1282" s="18" t="inlineStr">
        <is>
          <t>Toyota MR2</t>
        </is>
      </c>
      <c r="C1282" s="18" t="inlineStr">
        <is>
          <t>Toyota</t>
        </is>
      </c>
      <c r="D1282" s="18" t="inlineStr">
        <is>
          <t>MR2</t>
        </is>
      </c>
      <c r="E1282" s="18" t="inlineStr">
        <is>
          <t>1985-2005</t>
        </is>
      </c>
      <c r="F1282" s="18" t="inlineStr"/>
      <c r="G1282" s="18" t="inlineStr">
        <is>
          <t>Convertible/Coupe</t>
        </is>
      </c>
      <c r="H1282" s="18" t="inlineStr">
        <is>
          <t>3S-0</t>
        </is>
      </c>
      <c r="I1282" s="19">
        <f t="array" ref="I1282">TRIM(_xlfn.XLOOKUP(非皮卡压缩表[[#This Row],[BACKSIZE]],ALL尺码表[内部尺码],ALL尺码表[分类],""))</f>
        <v/>
      </c>
      <c r="J1282" s="19">
        <f t="array" ref="J1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2" s="20">
        <f>LEN(非皮卡压缩表[[#This Row],[LONG-TYPE]])</f>
        <v/>
      </c>
      <c r="L1282" s="21">
        <f t="array" ref="L1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2" s="22">
        <f>LEN(非皮卡压缩表[[#This Row],[TYPE]])</f>
        <v/>
      </c>
      <c r="N1282" s="22">
        <f t="array" ref="N1282">_xlfn.XLOOKUP(非皮卡压缩表[[#This Row],[MODEL]],MODEL缩写表[长MODEL],MODEL缩写表[短MODEL],非皮卡压缩表[[#This Row],[MODEL]])</f>
        <v/>
      </c>
      <c r="O1282" s="22">
        <f>LEN(非皮卡压缩表[[#This Row],[SHORT-MODEL]])</f>
        <v/>
      </c>
      <c r="P1282" s="11">
        <f t="array" ref="P1282">TRIM(_xlfn.XLOOKUP(非皮卡压缩表[[#This Row],[BACKSIZE]],ALL尺码表[内部尺码],ALL尺码表[通用尺码]))</f>
        <v/>
      </c>
    </row>
    <row r="1283">
      <c r="A1283" s="17" t="inlineStr">
        <is>
          <t>ALL</t>
        </is>
      </c>
      <c r="B1283" s="18" t="inlineStr">
        <is>
          <t>Toyota Matrix</t>
        </is>
      </c>
      <c r="C1283" s="18" t="inlineStr">
        <is>
          <t>Toyota</t>
        </is>
      </c>
      <c r="D1283" s="18" t="inlineStr">
        <is>
          <t>Matrix</t>
        </is>
      </c>
      <c r="E1283" s="18" t="inlineStr">
        <is>
          <t>2003-2013</t>
        </is>
      </c>
      <c r="F1283" s="18" t="inlineStr"/>
      <c r="G1283" s="18" t="inlineStr">
        <is>
          <t>Hatchback</t>
        </is>
      </c>
      <c r="H1283" s="18" t="inlineStr">
        <is>
          <t>2L+</t>
        </is>
      </c>
      <c r="I1283" s="19">
        <f t="array" ref="I1283">TRIM(_xlfn.XLOOKUP(非皮卡压缩表[[#This Row],[BACKSIZE]],ALL尺码表[内部尺码],ALL尺码表[分类],""))</f>
        <v/>
      </c>
      <c r="J1283" s="19">
        <f t="array" ref="J1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3" s="20">
        <f>LEN(非皮卡压缩表[[#This Row],[LONG-TYPE]])</f>
        <v/>
      </c>
      <c r="L1283" s="21">
        <f t="array" ref="L1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3" s="22">
        <f>LEN(非皮卡压缩表[[#This Row],[TYPE]])</f>
        <v/>
      </c>
      <c r="N1283" s="22">
        <f t="array" ref="N1283">_xlfn.XLOOKUP(非皮卡压缩表[[#This Row],[MODEL]],MODEL缩写表[长MODEL],MODEL缩写表[短MODEL],非皮卡压缩表[[#This Row],[MODEL]])</f>
        <v/>
      </c>
      <c r="O1283" s="22">
        <f>LEN(非皮卡压缩表[[#This Row],[SHORT-MODEL]])</f>
        <v/>
      </c>
      <c r="P1283" s="11">
        <f t="array" ref="P1283">TRIM(_xlfn.XLOOKUP(非皮卡压缩表[[#This Row],[BACKSIZE]],ALL尺码表[内部尺码],ALL尺码表[通用尺码]))</f>
        <v/>
      </c>
    </row>
    <row r="1284">
      <c r="A1284" s="17" t="inlineStr">
        <is>
          <t>ALL</t>
        </is>
      </c>
      <c r="B1284" s="18" t="inlineStr">
        <is>
          <t>Toyota Prius</t>
        </is>
      </c>
      <c r="C1284" s="18" t="inlineStr">
        <is>
          <t>Toyota</t>
        </is>
      </c>
      <c r="D1284" s="18" t="inlineStr">
        <is>
          <t>Prius</t>
        </is>
      </c>
      <c r="E1284" s="18" t="inlineStr">
        <is>
          <t>2001-2003</t>
        </is>
      </c>
      <c r="F1284" s="18" t="inlineStr"/>
      <c r="G1284" s="18" t="inlineStr">
        <is>
          <t>Sedan</t>
        </is>
      </c>
      <c r="H1284" s="18" t="inlineStr">
        <is>
          <t>3L</t>
        </is>
      </c>
      <c r="I1284" s="19">
        <f t="array" ref="I1284">TRIM(_xlfn.XLOOKUP(非皮卡压缩表[[#This Row],[BACKSIZE]],ALL尺码表[内部尺码],ALL尺码表[分类],""))</f>
        <v/>
      </c>
      <c r="J1284" s="19">
        <f t="array" ref="J1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4" s="20">
        <f>LEN(非皮卡压缩表[[#This Row],[LONG-TYPE]])</f>
        <v/>
      </c>
      <c r="L1284" s="21">
        <f t="array" ref="L1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4" s="22">
        <f>LEN(非皮卡压缩表[[#This Row],[TYPE]])</f>
        <v/>
      </c>
      <c r="N1284" s="22">
        <f t="array" ref="N1284">_xlfn.XLOOKUP(非皮卡压缩表[[#This Row],[MODEL]],MODEL缩写表[长MODEL],MODEL缩写表[短MODEL],非皮卡压缩表[[#This Row],[MODEL]])</f>
        <v/>
      </c>
      <c r="O1284" s="22">
        <f>LEN(非皮卡压缩表[[#This Row],[SHORT-MODEL]])</f>
        <v/>
      </c>
      <c r="P1284" s="11">
        <f t="array" ref="P1284">TRIM(_xlfn.XLOOKUP(非皮卡压缩表[[#This Row],[BACKSIZE]],ALL尺码表[内部尺码],ALL尺码表[通用尺码]))</f>
        <v/>
      </c>
    </row>
    <row r="1285">
      <c r="A1285" s="17" t="inlineStr">
        <is>
          <t>ALL</t>
        </is>
      </c>
      <c r="B1285" s="18" t="inlineStr">
        <is>
          <t>Toyota Prius</t>
        </is>
      </c>
      <c r="C1285" s="18" t="inlineStr">
        <is>
          <t>Toyota</t>
        </is>
      </c>
      <c r="D1285" s="18" t="inlineStr">
        <is>
          <t>Prius</t>
        </is>
      </c>
      <c r="E1285" s="18" t="inlineStr">
        <is>
          <t>2004-2015</t>
        </is>
      </c>
      <c r="F1285" s="18" t="inlineStr"/>
      <c r="G1285" s="18" t="inlineStr">
        <is>
          <t>Hatchback</t>
        </is>
      </c>
      <c r="H1285" s="18" t="inlineStr">
        <is>
          <t>2L+</t>
        </is>
      </c>
      <c r="I1285" s="19">
        <f t="array" ref="I1285">TRIM(_xlfn.XLOOKUP(非皮卡压缩表[[#This Row],[BACKSIZE]],ALL尺码表[内部尺码],ALL尺码表[分类],""))</f>
        <v/>
      </c>
      <c r="J1285" s="19">
        <f t="array" ref="J1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5" s="20">
        <f>LEN(非皮卡压缩表[[#This Row],[LONG-TYPE]])</f>
        <v/>
      </c>
      <c r="L1285" s="21">
        <f t="array" ref="L1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5" s="22">
        <f>LEN(非皮卡压缩表[[#This Row],[TYPE]])</f>
        <v/>
      </c>
      <c r="N1285" s="22">
        <f t="array" ref="N1285">_xlfn.XLOOKUP(非皮卡压缩表[[#This Row],[MODEL]],MODEL缩写表[长MODEL],MODEL缩写表[短MODEL],非皮卡压缩表[[#This Row],[MODEL]])</f>
        <v/>
      </c>
      <c r="O1285" s="22">
        <f>LEN(非皮卡压缩表[[#This Row],[SHORT-MODEL]])</f>
        <v/>
      </c>
      <c r="P1285" s="11">
        <f t="array" ref="P1285">TRIM(_xlfn.XLOOKUP(非皮卡压缩表[[#This Row],[BACKSIZE]],ALL尺码表[内部尺码],ALL尺码表[通用尺码]))</f>
        <v/>
      </c>
    </row>
    <row r="1286">
      <c r="A1286" s="17" t="inlineStr">
        <is>
          <t>ALL</t>
        </is>
      </c>
      <c r="B1286" s="18" t="inlineStr">
        <is>
          <t>Toyota Prius</t>
        </is>
      </c>
      <c r="C1286" s="18" t="inlineStr">
        <is>
          <t>Toyota</t>
        </is>
      </c>
      <c r="D1286" s="18" t="inlineStr">
        <is>
          <t>Prius</t>
        </is>
      </c>
      <c r="E1286" s="18" t="inlineStr">
        <is>
          <t>2016-2026</t>
        </is>
      </c>
      <c r="F1286" s="18" t="inlineStr"/>
      <c r="G1286" s="18" t="inlineStr">
        <is>
          <t>Hatchback</t>
        </is>
      </c>
      <c r="H1286" s="18" t="inlineStr">
        <is>
          <t>2XL</t>
        </is>
      </c>
      <c r="I1286" s="19">
        <f t="array" ref="I1286">TRIM(_xlfn.XLOOKUP(非皮卡压缩表[[#This Row],[BACKSIZE]],ALL尺码表[内部尺码],ALL尺码表[分类],""))</f>
        <v/>
      </c>
      <c r="J1286" s="19">
        <f t="array" ref="J1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6" s="20">
        <f>LEN(非皮卡压缩表[[#This Row],[LONG-TYPE]])</f>
        <v/>
      </c>
      <c r="L1286" s="21">
        <f t="array" ref="L1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6" s="22">
        <f>LEN(非皮卡压缩表[[#This Row],[TYPE]])</f>
        <v/>
      </c>
      <c r="N1286" s="22">
        <f t="array" ref="N1286">_xlfn.XLOOKUP(非皮卡压缩表[[#This Row],[MODEL]],MODEL缩写表[长MODEL],MODEL缩写表[短MODEL],非皮卡压缩表[[#This Row],[MODEL]])</f>
        <v/>
      </c>
      <c r="O1286" s="22">
        <f>LEN(非皮卡压缩表[[#This Row],[SHORT-MODEL]])</f>
        <v/>
      </c>
      <c r="P1286" s="11">
        <f t="array" ref="P1286">TRIM(_xlfn.XLOOKUP(非皮卡压缩表[[#This Row],[BACKSIZE]],ALL尺码表[内部尺码],ALL尺码表[通用尺码]))</f>
        <v/>
      </c>
    </row>
    <row r="1287">
      <c r="A1287" s="17" t="inlineStr">
        <is>
          <t>ALL</t>
        </is>
      </c>
      <c r="B1287" s="18" t="inlineStr">
        <is>
          <t>Toyota Prius C</t>
        </is>
      </c>
      <c r="C1287" s="18" t="inlineStr">
        <is>
          <t>Toyota</t>
        </is>
      </c>
      <c r="D1287" s="18" t="inlineStr">
        <is>
          <t>Prius C</t>
        </is>
      </c>
      <c r="E1287" s="18" t="inlineStr">
        <is>
          <t>2012-2019</t>
        </is>
      </c>
      <c r="F1287" s="18" t="inlineStr"/>
      <c r="G1287" s="18" t="inlineStr">
        <is>
          <t>Hatchback</t>
        </is>
      </c>
      <c r="H1287" s="18" t="inlineStr">
        <is>
          <t>2M</t>
        </is>
      </c>
      <c r="I1287" s="19">
        <f t="array" ref="I1287">TRIM(_xlfn.XLOOKUP(非皮卡压缩表[[#This Row],[BACKSIZE]],ALL尺码表[内部尺码],ALL尺码表[分类],""))</f>
        <v/>
      </c>
      <c r="J1287" s="19">
        <f t="array" ref="J1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7" s="20">
        <f>LEN(非皮卡压缩表[[#This Row],[LONG-TYPE]])</f>
        <v/>
      </c>
      <c r="L1287" s="21">
        <f t="array" ref="L1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7" s="22">
        <f>LEN(非皮卡压缩表[[#This Row],[TYPE]])</f>
        <v/>
      </c>
      <c r="N1287" s="22">
        <f t="array" ref="N1287">_xlfn.XLOOKUP(非皮卡压缩表[[#This Row],[MODEL]],MODEL缩写表[长MODEL],MODEL缩写表[短MODEL],非皮卡压缩表[[#This Row],[MODEL]])</f>
        <v/>
      </c>
      <c r="O1287" s="22">
        <f>LEN(非皮卡压缩表[[#This Row],[SHORT-MODEL]])</f>
        <v/>
      </c>
      <c r="P1287" s="11">
        <f t="array" ref="P1287">TRIM(_xlfn.XLOOKUP(非皮卡压缩表[[#This Row],[BACKSIZE]],ALL尺码表[内部尺码],ALL尺码表[通用尺码]))</f>
        <v/>
      </c>
    </row>
    <row r="1288">
      <c r="A1288" s="17" t="inlineStr">
        <is>
          <t>ALL</t>
        </is>
      </c>
      <c r="B1288" s="18" t="inlineStr">
        <is>
          <t>Toyota Prius Plug-in Hybrid</t>
        </is>
      </c>
      <c r="C1288" s="18" t="inlineStr">
        <is>
          <t>Toyota</t>
        </is>
      </c>
      <c r="D1288" s="18" t="inlineStr">
        <is>
          <t>Prius Plug-in Hybrid</t>
        </is>
      </c>
      <c r="E1288" s="18" t="inlineStr">
        <is>
          <t>2012-2015</t>
        </is>
      </c>
      <c r="F1288" s="18" t="inlineStr"/>
      <c r="G1288" s="18" t="inlineStr">
        <is>
          <t>Hatchback</t>
        </is>
      </c>
      <c r="H1288" s="18" t="inlineStr">
        <is>
          <t>2L+</t>
        </is>
      </c>
      <c r="I1288" s="19">
        <f t="array" ref="I1288">TRIM(_xlfn.XLOOKUP(非皮卡压缩表[[#This Row],[BACKSIZE]],ALL尺码表[内部尺码],ALL尺码表[分类],""))</f>
        <v/>
      </c>
      <c r="J1288" s="19">
        <f t="array" ref="J1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8" s="20">
        <f>LEN(非皮卡压缩表[[#This Row],[LONG-TYPE]])</f>
        <v/>
      </c>
      <c r="L1288" s="21">
        <f t="array" ref="L1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8" s="22">
        <f>LEN(非皮卡压缩表[[#This Row],[TYPE]])</f>
        <v/>
      </c>
      <c r="N1288" s="22">
        <f t="array" ref="N1288">_xlfn.XLOOKUP(非皮卡压缩表[[#This Row],[MODEL]],MODEL缩写表[长MODEL],MODEL缩写表[短MODEL],非皮卡压缩表[[#This Row],[MODEL]])</f>
        <v/>
      </c>
      <c r="O1288" s="22">
        <f>LEN(非皮卡压缩表[[#This Row],[SHORT-MODEL]])</f>
        <v/>
      </c>
      <c r="P1288" s="11">
        <f t="array" ref="P1288">TRIM(_xlfn.XLOOKUP(非皮卡压缩表[[#This Row],[BACKSIZE]],ALL尺码表[内部尺码],ALL尺码表[通用尺码]))</f>
        <v/>
      </c>
    </row>
    <row r="1289">
      <c r="A1289" s="17" t="inlineStr">
        <is>
          <t>ALL</t>
        </is>
      </c>
      <c r="B1289" s="18" t="inlineStr">
        <is>
          <t>Toyota Prius Prime</t>
        </is>
      </c>
      <c r="C1289" s="18" t="inlineStr">
        <is>
          <t>Toyota</t>
        </is>
      </c>
      <c r="D1289" s="18" t="inlineStr">
        <is>
          <t>Prius Prime</t>
        </is>
      </c>
      <c r="E1289" s="18" t="inlineStr">
        <is>
          <t>2017-2026</t>
        </is>
      </c>
      <c r="F1289" s="18" t="inlineStr"/>
      <c r="G1289" s="18" t="inlineStr">
        <is>
          <t>Hatchback</t>
        </is>
      </c>
      <c r="H1289" s="18" t="inlineStr">
        <is>
          <t>2XL</t>
        </is>
      </c>
      <c r="I1289" s="19">
        <f t="array" ref="I1289">TRIM(_xlfn.XLOOKUP(非皮卡压缩表[[#This Row],[BACKSIZE]],ALL尺码表[内部尺码],ALL尺码表[分类],""))</f>
        <v/>
      </c>
      <c r="J1289" s="19">
        <f t="array" ref="J1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9" s="20">
        <f>LEN(非皮卡压缩表[[#This Row],[LONG-TYPE]])</f>
        <v/>
      </c>
      <c r="L1289" s="21">
        <f t="array" ref="L1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9" s="22">
        <f>LEN(非皮卡压缩表[[#This Row],[TYPE]])</f>
        <v/>
      </c>
      <c r="N1289" s="22">
        <f t="array" ref="N1289">_xlfn.XLOOKUP(非皮卡压缩表[[#This Row],[MODEL]],MODEL缩写表[长MODEL],MODEL缩写表[短MODEL],非皮卡压缩表[[#This Row],[MODEL]])</f>
        <v/>
      </c>
      <c r="O1289" s="22">
        <f>LEN(非皮卡压缩表[[#This Row],[SHORT-MODEL]])</f>
        <v/>
      </c>
      <c r="P1289" s="11">
        <f t="array" ref="P1289">TRIM(_xlfn.XLOOKUP(非皮卡压缩表[[#This Row],[BACKSIZE]],ALL尺码表[内部尺码],ALL尺码表[通用尺码]))</f>
        <v/>
      </c>
    </row>
    <row r="1290">
      <c r="A1290" s="17" t="inlineStr">
        <is>
          <t>ALL</t>
        </is>
      </c>
      <c r="B1290" s="18" t="inlineStr">
        <is>
          <t>Toyota Prius V</t>
        </is>
      </c>
      <c r="C1290" s="18" t="inlineStr">
        <is>
          <t>Toyota</t>
        </is>
      </c>
      <c r="D1290" s="18" t="inlineStr">
        <is>
          <t>Prius V</t>
        </is>
      </c>
      <c r="E1290" s="18" t="inlineStr">
        <is>
          <t>2012-2017</t>
        </is>
      </c>
      <c r="F1290" s="18" t="inlineStr"/>
      <c r="G1290" s="18" t="inlineStr">
        <is>
          <t>Wagon</t>
        </is>
      </c>
      <c r="H1290" s="18" t="inlineStr">
        <is>
          <t>2XL</t>
        </is>
      </c>
      <c r="I1290" s="19">
        <f t="array" ref="I1290">TRIM(_xlfn.XLOOKUP(非皮卡压缩表[[#This Row],[BACKSIZE]],ALL尺码表[内部尺码],ALL尺码表[分类],""))</f>
        <v/>
      </c>
      <c r="J1290" s="19">
        <f t="array" ref="J1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0" s="20">
        <f>LEN(非皮卡压缩表[[#This Row],[LONG-TYPE]])</f>
        <v/>
      </c>
      <c r="L1290" s="21">
        <f t="array" ref="L1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0" s="22">
        <f>LEN(非皮卡压缩表[[#This Row],[TYPE]])</f>
        <v/>
      </c>
      <c r="N1290" s="22">
        <f t="array" ref="N1290">_xlfn.XLOOKUP(非皮卡压缩表[[#This Row],[MODEL]],MODEL缩写表[长MODEL],MODEL缩写表[短MODEL],非皮卡压缩表[[#This Row],[MODEL]])</f>
        <v/>
      </c>
      <c r="O1290" s="22">
        <f>LEN(非皮卡压缩表[[#This Row],[SHORT-MODEL]])</f>
        <v/>
      </c>
      <c r="P1290" s="11">
        <f t="array" ref="P1290">TRIM(_xlfn.XLOOKUP(非皮卡压缩表[[#This Row],[BACKSIZE]],ALL尺码表[内部尺码],ALL尺码表[通用尺码]))</f>
        <v/>
      </c>
    </row>
    <row r="1291">
      <c r="A1291" s="17" t="inlineStr">
        <is>
          <t>ALL</t>
        </is>
      </c>
      <c r="B1291" s="18" t="inlineStr">
        <is>
          <t>Toyota RAV4</t>
        </is>
      </c>
      <c r="C1291" s="18" t="inlineStr">
        <is>
          <t>Toyota</t>
        </is>
      </c>
      <c r="D1291" s="18" t="inlineStr">
        <is>
          <t>RAV4</t>
        </is>
      </c>
      <c r="E1291" s="18" t="inlineStr">
        <is>
          <t>1996-2000</t>
        </is>
      </c>
      <c r="F1291" s="18" t="inlineStr"/>
      <c r="G1291" s="18" t="inlineStr">
        <is>
          <t>SUV</t>
        </is>
      </c>
      <c r="H1291" s="18" t="inlineStr">
        <is>
          <t>无可用尺码</t>
        </is>
      </c>
      <c r="I1291" s="19">
        <f t="array" ref="I1291">TRIM(_xlfn.XLOOKUP(非皮卡压缩表[[#This Row],[BACKSIZE]],ALL尺码表[内部尺码],ALL尺码表[分类],""))</f>
        <v/>
      </c>
      <c r="J1291" s="19">
        <f t="array" ref="J1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1" s="20">
        <f>LEN(非皮卡压缩表[[#This Row],[LONG-TYPE]])</f>
        <v/>
      </c>
      <c r="L1291" s="21">
        <f t="array" ref="L1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1" s="22">
        <f>LEN(非皮卡压缩表[[#This Row],[TYPE]])</f>
        <v/>
      </c>
      <c r="N1291" s="22">
        <f t="array" ref="N1291">_xlfn.XLOOKUP(非皮卡压缩表[[#This Row],[MODEL]],MODEL缩写表[长MODEL],MODEL缩写表[短MODEL],非皮卡压缩表[[#This Row],[MODEL]])</f>
        <v/>
      </c>
      <c r="O1291" s="22">
        <f>LEN(非皮卡压缩表[[#This Row],[SHORT-MODEL]])</f>
        <v/>
      </c>
      <c r="P1291" s="11">
        <f t="array" ref="P1291">TRIM(_xlfn.XLOOKUP(非皮卡压缩表[[#This Row],[BACKSIZE]],ALL尺码表[内部尺码],ALL尺码表[通用尺码]))</f>
        <v/>
      </c>
    </row>
    <row r="1292">
      <c r="A1292" s="17" t="inlineStr">
        <is>
          <t>ALL</t>
        </is>
      </c>
      <c r="B1292" s="18" t="inlineStr">
        <is>
          <t>Toyota RAV4</t>
        </is>
      </c>
      <c r="C1292" s="18" t="inlineStr">
        <is>
          <t>Toyota</t>
        </is>
      </c>
      <c r="D1292" s="18" t="inlineStr">
        <is>
          <t>RAV4</t>
        </is>
      </c>
      <c r="E1292" s="18" t="inlineStr">
        <is>
          <t>2001-2005</t>
        </is>
      </c>
      <c r="F1292" s="18" t="inlineStr"/>
      <c r="G1292" s="18" t="inlineStr">
        <is>
          <t>SUV</t>
        </is>
      </c>
      <c r="H1292" s="18" t="inlineStr">
        <is>
          <t>YM+</t>
        </is>
      </c>
      <c r="I1292" s="19">
        <f t="array" ref="I1292">TRIM(_xlfn.XLOOKUP(非皮卡压缩表[[#This Row],[BACKSIZE]],ALL尺码表[内部尺码],ALL尺码表[分类],""))</f>
        <v/>
      </c>
      <c r="J1292" s="19">
        <f t="array" ref="J1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2" s="20">
        <f>LEN(非皮卡压缩表[[#This Row],[LONG-TYPE]])</f>
        <v/>
      </c>
      <c r="L1292" s="21">
        <f t="array" ref="L1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2" s="22">
        <f>LEN(非皮卡压缩表[[#This Row],[TYPE]])</f>
        <v/>
      </c>
      <c r="N1292" s="22">
        <f t="array" ref="N1292">_xlfn.XLOOKUP(非皮卡压缩表[[#This Row],[MODEL]],MODEL缩写表[长MODEL],MODEL缩写表[短MODEL],非皮卡压缩表[[#This Row],[MODEL]])</f>
        <v/>
      </c>
      <c r="O1292" s="22">
        <f>LEN(非皮卡压缩表[[#This Row],[SHORT-MODEL]])</f>
        <v/>
      </c>
      <c r="P1292" s="11">
        <f t="array" ref="P1292">TRIM(_xlfn.XLOOKUP(非皮卡压缩表[[#This Row],[BACKSIZE]],ALL尺码表[内部尺码],ALL尺码表[通用尺码]))</f>
        <v/>
      </c>
    </row>
    <row r="1293">
      <c r="A1293" s="17" t="inlineStr">
        <is>
          <t>ALL</t>
        </is>
      </c>
      <c r="B1293" s="18" t="inlineStr">
        <is>
          <t>Toyota RAV4</t>
        </is>
      </c>
      <c r="C1293" s="18" t="inlineStr">
        <is>
          <t>Toyota</t>
        </is>
      </c>
      <c r="D1293" s="18" t="inlineStr">
        <is>
          <t>RAV4</t>
        </is>
      </c>
      <c r="E1293" s="18" t="inlineStr">
        <is>
          <t>2006-2012</t>
        </is>
      </c>
      <c r="F1293" s="18" t="inlineStr"/>
      <c r="G1293" s="18" t="inlineStr">
        <is>
          <t>SUV</t>
        </is>
      </c>
      <c r="H1293" s="18" t="inlineStr">
        <is>
          <t>YL</t>
        </is>
      </c>
      <c r="I1293" s="19">
        <f t="array" ref="I1293">TRIM(_xlfn.XLOOKUP(非皮卡压缩表[[#This Row],[BACKSIZE]],ALL尺码表[内部尺码],ALL尺码表[分类],""))</f>
        <v/>
      </c>
      <c r="J1293" s="19">
        <f t="array" ref="J1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3" s="20">
        <f>LEN(非皮卡压缩表[[#This Row],[LONG-TYPE]])</f>
        <v/>
      </c>
      <c r="L1293" s="21">
        <f t="array" ref="L1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3" s="22">
        <f>LEN(非皮卡压缩表[[#This Row],[TYPE]])</f>
        <v/>
      </c>
      <c r="N1293" s="22">
        <f t="array" ref="N1293">_xlfn.XLOOKUP(非皮卡压缩表[[#This Row],[MODEL]],MODEL缩写表[长MODEL],MODEL缩写表[短MODEL],非皮卡压缩表[[#This Row],[MODEL]])</f>
        <v/>
      </c>
      <c r="O1293" s="22">
        <f>LEN(非皮卡压缩表[[#This Row],[SHORT-MODEL]])</f>
        <v/>
      </c>
      <c r="P1293" s="11">
        <f t="array" ref="P1293">TRIM(_xlfn.XLOOKUP(非皮卡压缩表[[#This Row],[BACKSIZE]],ALL尺码表[内部尺码],ALL尺码表[通用尺码]))</f>
        <v/>
      </c>
    </row>
    <row r="1294">
      <c r="A1294" s="17" t="inlineStr">
        <is>
          <t>ALL</t>
        </is>
      </c>
      <c r="B1294" s="18" t="inlineStr">
        <is>
          <t>Toyota RAV4</t>
        </is>
      </c>
      <c r="C1294" s="18" t="inlineStr">
        <is>
          <t>Toyota</t>
        </is>
      </c>
      <c r="D1294" s="18" t="inlineStr">
        <is>
          <t>RAV4</t>
        </is>
      </c>
      <c r="E1294" s="18" t="inlineStr">
        <is>
          <t>2013-2018</t>
        </is>
      </c>
      <c r="F1294" s="18" t="inlineStr">
        <is>
          <t>Incl: EV</t>
        </is>
      </c>
      <c r="G1294" s="18" t="inlineStr">
        <is>
          <t>SUV</t>
        </is>
      </c>
      <c r="H1294" s="18" t="inlineStr">
        <is>
          <t>YM+</t>
        </is>
      </c>
      <c r="I1294" s="19">
        <f t="array" ref="I1294">TRIM(_xlfn.XLOOKUP(非皮卡压缩表[[#This Row],[BACKSIZE]],ALL尺码表[内部尺码],ALL尺码表[分类],""))</f>
        <v/>
      </c>
      <c r="J1294" s="19">
        <f t="array" ref="J1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4" s="20">
        <f>LEN(非皮卡压缩表[[#This Row],[LONG-TYPE]])</f>
        <v/>
      </c>
      <c r="L1294" s="21">
        <f t="array" ref="L1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4" s="22">
        <f>LEN(非皮卡压缩表[[#This Row],[TYPE]])</f>
        <v/>
      </c>
      <c r="N1294" s="22">
        <f t="array" ref="N1294">_xlfn.XLOOKUP(非皮卡压缩表[[#This Row],[MODEL]],MODEL缩写表[长MODEL],MODEL缩写表[短MODEL],非皮卡压缩表[[#This Row],[MODEL]])</f>
        <v/>
      </c>
      <c r="O1294" s="22">
        <f>LEN(非皮卡压缩表[[#This Row],[SHORT-MODEL]])</f>
        <v/>
      </c>
      <c r="P1294" s="11">
        <f t="array" ref="P1294">TRIM(_xlfn.XLOOKUP(非皮卡压缩表[[#This Row],[BACKSIZE]],ALL尺码表[内部尺码],ALL尺码表[通用尺码]))</f>
        <v/>
      </c>
    </row>
    <row r="1295">
      <c r="A1295" s="17" t="inlineStr">
        <is>
          <t>ALL</t>
        </is>
      </c>
      <c r="B1295" s="18" t="inlineStr">
        <is>
          <t>Toyota RAV4</t>
        </is>
      </c>
      <c r="C1295" s="18" t="inlineStr">
        <is>
          <t>Toyota</t>
        </is>
      </c>
      <c r="D1295" s="18" t="inlineStr">
        <is>
          <t>RAV4</t>
        </is>
      </c>
      <c r="E1295" s="18" t="inlineStr">
        <is>
          <t>2019-2025</t>
        </is>
      </c>
      <c r="F1295" s="18" t="inlineStr"/>
      <c r="G1295" s="18" t="inlineStr">
        <is>
          <t>SUV</t>
        </is>
      </c>
      <c r="H1295" s="18" t="inlineStr">
        <is>
          <t>YL</t>
        </is>
      </c>
      <c r="I1295" s="19">
        <f t="array" ref="I1295">TRIM(_xlfn.XLOOKUP(非皮卡压缩表[[#This Row],[BACKSIZE]],ALL尺码表[内部尺码],ALL尺码表[分类],""))</f>
        <v/>
      </c>
      <c r="J1295" s="19">
        <f t="array" ref="J1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5" s="20">
        <f>LEN(非皮卡压缩表[[#This Row],[LONG-TYPE]])</f>
        <v/>
      </c>
      <c r="L1295" s="21">
        <f t="array" ref="L1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5" s="22">
        <f>LEN(非皮卡压缩表[[#This Row],[TYPE]])</f>
        <v/>
      </c>
      <c r="N1295" s="22">
        <f t="array" ref="N1295">_xlfn.XLOOKUP(非皮卡压缩表[[#This Row],[MODEL]],MODEL缩写表[长MODEL],MODEL缩写表[短MODEL],非皮卡压缩表[[#This Row],[MODEL]])</f>
        <v/>
      </c>
      <c r="O1295" s="22">
        <f>LEN(非皮卡压缩表[[#This Row],[SHORT-MODEL]])</f>
        <v/>
      </c>
      <c r="P1295" s="11">
        <f t="array" ref="P1295">TRIM(_xlfn.XLOOKUP(非皮卡压缩表[[#This Row],[BACKSIZE]],ALL尺码表[内部尺码],ALL尺码表[通用尺码]))</f>
        <v/>
      </c>
    </row>
    <row r="1296">
      <c r="A1296" s="17" t="inlineStr">
        <is>
          <t>ALL</t>
        </is>
      </c>
      <c r="B1296" s="18" t="inlineStr">
        <is>
          <t>Toyota RAV4</t>
        </is>
      </c>
      <c r="C1296" s="18" t="inlineStr">
        <is>
          <t>Toyota</t>
        </is>
      </c>
      <c r="D1296" s="18" t="inlineStr">
        <is>
          <t>RAV4</t>
        </is>
      </c>
      <c r="E1296" s="18" t="inlineStr">
        <is>
          <t>2026</t>
        </is>
      </c>
      <c r="F1296" s="18" t="inlineStr"/>
      <c r="G1296" s="18" t="inlineStr">
        <is>
          <t>SUV</t>
        </is>
      </c>
      <c r="H1296" s="18" t="inlineStr">
        <is>
          <t>YM+</t>
        </is>
      </c>
      <c r="I1296" s="19">
        <f t="array" ref="I1296">TRIM(_xlfn.XLOOKUP(非皮卡压缩表[[#This Row],[BACKSIZE]],ALL尺码表[内部尺码],ALL尺码表[分类],""))</f>
        <v/>
      </c>
      <c r="J1296" s="19">
        <f t="array" ref="J1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6" s="20">
        <f>LEN(非皮卡压缩表[[#This Row],[LONG-TYPE]])</f>
        <v/>
      </c>
      <c r="L1296" s="21">
        <f t="array" ref="L1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6" s="22">
        <f>LEN(非皮卡压缩表[[#This Row],[TYPE]])</f>
        <v/>
      </c>
      <c r="N1296" s="22">
        <f t="array" ref="N1296">_xlfn.XLOOKUP(非皮卡压缩表[[#This Row],[MODEL]],MODEL缩写表[长MODEL],MODEL缩写表[短MODEL],非皮卡压缩表[[#This Row],[MODEL]])</f>
        <v/>
      </c>
      <c r="O1296" s="22">
        <f>LEN(非皮卡压缩表[[#This Row],[SHORT-MODEL]])</f>
        <v/>
      </c>
      <c r="P1296" s="11">
        <f t="array" ref="P1296">TRIM(_xlfn.XLOOKUP(非皮卡压缩表[[#This Row],[BACKSIZE]],ALL尺码表[内部尺码],ALL尺码表[通用尺码]))</f>
        <v/>
      </c>
    </row>
    <row r="1297">
      <c r="A1297" s="17" t="inlineStr">
        <is>
          <t>ALL</t>
        </is>
      </c>
      <c r="B1297" s="18" t="inlineStr">
        <is>
          <t>Toyota Sequoia</t>
        </is>
      </c>
      <c r="C1297" s="18" t="inlineStr">
        <is>
          <t>Toyota</t>
        </is>
      </c>
      <c r="D1297" s="18" t="inlineStr">
        <is>
          <t>Sequoia</t>
        </is>
      </c>
      <c r="E1297" s="18" t="inlineStr">
        <is>
          <t>2001-2022</t>
        </is>
      </c>
      <c r="F1297" s="18" t="inlineStr"/>
      <c r="G1297" s="18" t="inlineStr">
        <is>
          <t>SUV</t>
        </is>
      </c>
      <c r="H1297" s="18" t="inlineStr">
        <is>
          <t>YXXL</t>
        </is>
      </c>
      <c r="I1297" s="19">
        <f t="array" ref="I1297">TRIM(_xlfn.XLOOKUP(非皮卡压缩表[[#This Row],[BACKSIZE]],ALL尺码表[内部尺码],ALL尺码表[分类],""))</f>
        <v/>
      </c>
      <c r="J1297" s="19">
        <f t="array" ref="J1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7" s="20">
        <f>LEN(非皮卡压缩表[[#This Row],[LONG-TYPE]])</f>
        <v/>
      </c>
      <c r="L1297" s="21">
        <f t="array" ref="L1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7" s="22">
        <f>LEN(非皮卡压缩表[[#This Row],[TYPE]])</f>
        <v/>
      </c>
      <c r="N1297" s="22">
        <f t="array" ref="N1297">_xlfn.XLOOKUP(非皮卡压缩表[[#This Row],[MODEL]],MODEL缩写表[长MODEL],MODEL缩写表[短MODEL],非皮卡压缩表[[#This Row],[MODEL]])</f>
        <v/>
      </c>
      <c r="O1297" s="22">
        <f>LEN(非皮卡压缩表[[#This Row],[SHORT-MODEL]])</f>
        <v/>
      </c>
      <c r="P1297" s="11">
        <f t="array" ref="P1297">TRIM(_xlfn.XLOOKUP(非皮卡压缩表[[#This Row],[BACKSIZE]],ALL尺码表[内部尺码],ALL尺码表[通用尺码]))</f>
        <v/>
      </c>
    </row>
    <row r="1298">
      <c r="A1298" s="17" t="inlineStr">
        <is>
          <t>ALL</t>
        </is>
      </c>
      <c r="B1298" s="18" t="inlineStr">
        <is>
          <t>Toyota Sequoia</t>
        </is>
      </c>
      <c r="C1298" s="18" t="inlineStr">
        <is>
          <t>Toyota</t>
        </is>
      </c>
      <c r="D1298" s="18" t="inlineStr">
        <is>
          <t>Sequoia</t>
        </is>
      </c>
      <c r="E1298" s="18" t="inlineStr">
        <is>
          <t>2023-2026</t>
        </is>
      </c>
      <c r="F1298" s="18" t="inlineStr"/>
      <c r="G1298" s="18" t="inlineStr">
        <is>
          <t>SUV</t>
        </is>
      </c>
      <c r="H1298" s="18" t="inlineStr">
        <is>
          <t>YXXL-545</t>
        </is>
      </c>
      <c r="I1298" s="19">
        <f t="array" ref="I1298">TRIM(_xlfn.XLOOKUP(非皮卡压缩表[[#This Row],[BACKSIZE]],ALL尺码表[内部尺码],ALL尺码表[分类],""))</f>
        <v/>
      </c>
      <c r="J1298" s="19">
        <f t="array" ref="J1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8" s="20">
        <f>LEN(非皮卡压缩表[[#This Row],[LONG-TYPE]])</f>
        <v/>
      </c>
      <c r="L1298" s="21">
        <f t="array" ref="L1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8" s="22">
        <f>LEN(非皮卡压缩表[[#This Row],[TYPE]])</f>
        <v/>
      </c>
      <c r="N1298" s="22">
        <f t="array" ref="N1298">_xlfn.XLOOKUP(非皮卡压缩表[[#This Row],[MODEL]],MODEL缩写表[长MODEL],MODEL缩写表[短MODEL],非皮卡压缩表[[#This Row],[MODEL]])</f>
        <v/>
      </c>
      <c r="O1298" s="22">
        <f>LEN(非皮卡压缩表[[#This Row],[SHORT-MODEL]])</f>
        <v/>
      </c>
      <c r="P1298" s="11">
        <f t="array" ref="P1298">TRIM(_xlfn.XLOOKUP(非皮卡压缩表[[#This Row],[BACKSIZE]],ALL尺码表[内部尺码],ALL尺码表[通用尺码]))</f>
        <v/>
      </c>
    </row>
    <row r="1299">
      <c r="A1299" s="17" t="inlineStr">
        <is>
          <t>ALL</t>
        </is>
      </c>
      <c r="B1299" s="18" t="inlineStr">
        <is>
          <t>Toyota Sienna</t>
        </is>
      </c>
      <c r="C1299" s="18" t="inlineStr">
        <is>
          <t>Toyota</t>
        </is>
      </c>
      <c r="D1299" s="18" t="inlineStr">
        <is>
          <t>Sienna</t>
        </is>
      </c>
      <c r="E1299" s="18" t="inlineStr">
        <is>
          <t>1998-2006</t>
        </is>
      </c>
      <c r="F1299" s="18" t="inlineStr"/>
      <c r="G1299" s="18" t="inlineStr">
        <is>
          <t>Minivan</t>
        </is>
      </c>
      <c r="H1299" s="18" t="inlineStr">
        <is>
          <t>2XL+</t>
        </is>
      </c>
      <c r="I1299" s="19">
        <f t="array" ref="I1299">TRIM(_xlfn.XLOOKUP(非皮卡压缩表[[#This Row],[BACKSIZE]],ALL尺码表[内部尺码],ALL尺码表[分类],""))</f>
        <v/>
      </c>
      <c r="J1299" s="19">
        <f t="array" ref="J1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9" s="20">
        <f>LEN(非皮卡压缩表[[#This Row],[LONG-TYPE]])</f>
        <v/>
      </c>
      <c r="L1299" s="21">
        <f t="array" ref="L1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9" s="22">
        <f>LEN(非皮卡压缩表[[#This Row],[TYPE]])</f>
        <v/>
      </c>
      <c r="N1299" s="22">
        <f t="array" ref="N1299">_xlfn.XLOOKUP(非皮卡压缩表[[#This Row],[MODEL]],MODEL缩写表[长MODEL],MODEL缩写表[短MODEL],非皮卡压缩表[[#This Row],[MODEL]])</f>
        <v/>
      </c>
      <c r="O1299" s="22">
        <f>LEN(非皮卡压缩表[[#This Row],[SHORT-MODEL]])</f>
        <v/>
      </c>
      <c r="P1299" s="11">
        <f t="array" ref="P1299">TRIM(_xlfn.XLOOKUP(非皮卡压缩表[[#This Row],[BACKSIZE]],ALL尺码表[内部尺码],ALL尺码表[通用尺码]))</f>
        <v/>
      </c>
    </row>
    <row r="1300">
      <c r="A1300" s="17" t="inlineStr">
        <is>
          <t>ALL</t>
        </is>
      </c>
      <c r="B1300" s="18" t="inlineStr">
        <is>
          <t>Toyota Sienna</t>
        </is>
      </c>
      <c r="C1300" s="18" t="inlineStr">
        <is>
          <t>Toyota</t>
        </is>
      </c>
      <c r="D1300" s="18" t="inlineStr">
        <is>
          <t>Sienna</t>
        </is>
      </c>
      <c r="E1300" s="18" t="inlineStr">
        <is>
          <t>2007-2026</t>
        </is>
      </c>
      <c r="F1300" s="18" t="inlineStr">
        <is>
          <t>Incl: Woodland</t>
        </is>
      </c>
      <c r="G1300" s="18" t="inlineStr">
        <is>
          <t>Minivan</t>
        </is>
      </c>
      <c r="H1300" s="18" t="inlineStr">
        <is>
          <t>2XXL</t>
        </is>
      </c>
      <c r="I1300" s="19">
        <f t="array" ref="I1300">TRIM(_xlfn.XLOOKUP(非皮卡压缩表[[#This Row],[BACKSIZE]],ALL尺码表[内部尺码],ALL尺码表[分类],""))</f>
        <v/>
      </c>
      <c r="J1300" s="19">
        <f t="array" ref="J1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0" s="20">
        <f>LEN(非皮卡压缩表[[#This Row],[LONG-TYPE]])</f>
        <v/>
      </c>
      <c r="L1300" s="21">
        <f t="array" ref="L1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0" s="22">
        <f>LEN(非皮卡压缩表[[#This Row],[TYPE]])</f>
        <v/>
      </c>
      <c r="N1300" s="22">
        <f t="array" ref="N1300">_xlfn.XLOOKUP(非皮卡压缩表[[#This Row],[MODEL]],MODEL缩写表[长MODEL],MODEL缩写表[短MODEL],非皮卡压缩表[[#This Row],[MODEL]])</f>
        <v/>
      </c>
      <c r="O1300" s="22">
        <f>LEN(非皮卡压缩表[[#This Row],[SHORT-MODEL]])</f>
        <v/>
      </c>
      <c r="P1300" s="11">
        <f t="array" ref="P1300">TRIM(_xlfn.XLOOKUP(非皮卡压缩表[[#This Row],[BACKSIZE]],ALL尺码表[内部尺码],ALL尺码表[通用尺码]))</f>
        <v/>
      </c>
    </row>
    <row r="1301">
      <c r="A1301" s="17" t="inlineStr">
        <is>
          <t>ALL</t>
        </is>
      </c>
      <c r="B1301" s="18" t="inlineStr">
        <is>
          <t>Toyota Solara</t>
        </is>
      </c>
      <c r="C1301" s="18" t="inlineStr">
        <is>
          <t>Toyota</t>
        </is>
      </c>
      <c r="D1301" s="18" t="inlineStr">
        <is>
          <t>Solara</t>
        </is>
      </c>
      <c r="E1301" s="18" t="inlineStr">
        <is>
          <t>1999-2008</t>
        </is>
      </c>
      <c r="F1301" s="18" t="inlineStr"/>
      <c r="G1301" s="18" t="inlineStr">
        <is>
          <t>Convertible/Coupe</t>
        </is>
      </c>
      <c r="H1301" s="18" t="inlineStr">
        <is>
          <t>3XL-0</t>
        </is>
      </c>
      <c r="I1301" s="19">
        <f t="array" ref="I1301">TRIM(_xlfn.XLOOKUP(非皮卡压缩表[[#This Row],[BACKSIZE]],ALL尺码表[内部尺码],ALL尺码表[分类],""))</f>
        <v/>
      </c>
      <c r="J1301" s="19">
        <f t="array" ref="J1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1" s="20">
        <f>LEN(非皮卡压缩表[[#This Row],[LONG-TYPE]])</f>
        <v/>
      </c>
      <c r="L1301" s="21">
        <f t="array" ref="L1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1" s="22">
        <f>LEN(非皮卡压缩表[[#This Row],[TYPE]])</f>
        <v/>
      </c>
      <c r="N1301" s="22">
        <f t="array" ref="N1301">_xlfn.XLOOKUP(非皮卡压缩表[[#This Row],[MODEL]],MODEL缩写表[长MODEL],MODEL缩写表[短MODEL],非皮卡压缩表[[#This Row],[MODEL]])</f>
        <v/>
      </c>
      <c r="O1301" s="22">
        <f>LEN(非皮卡压缩表[[#This Row],[SHORT-MODEL]])</f>
        <v/>
      </c>
      <c r="P1301" s="11">
        <f t="array" ref="P1301">TRIM(_xlfn.XLOOKUP(非皮卡压缩表[[#This Row],[BACKSIZE]],ALL尺码表[内部尺码],ALL尺码表[通用尺码]))</f>
        <v/>
      </c>
    </row>
    <row r="1302">
      <c r="A1302" s="17" t="inlineStr">
        <is>
          <t>ALL</t>
        </is>
      </c>
      <c r="B1302" s="18" t="inlineStr">
        <is>
          <t>Toyota Supra</t>
        </is>
      </c>
      <c r="C1302" s="18" t="inlineStr">
        <is>
          <t>Toyota</t>
        </is>
      </c>
      <c r="D1302" s="18" t="inlineStr">
        <is>
          <t>Supra</t>
        </is>
      </c>
      <c r="E1302" s="18" t="inlineStr">
        <is>
          <t>1979-1981</t>
        </is>
      </c>
      <c r="F1302" s="18" t="inlineStr"/>
      <c r="G1302" s="18" t="inlineStr">
        <is>
          <t>Coupe</t>
        </is>
      </c>
      <c r="H1302" s="18" t="inlineStr">
        <is>
          <t>3L-0</t>
        </is>
      </c>
      <c r="I1302" s="19">
        <f t="array" ref="I1302">TRIM(_xlfn.XLOOKUP(非皮卡压缩表[[#This Row],[BACKSIZE]],ALL尺码表[内部尺码],ALL尺码表[分类],""))</f>
        <v/>
      </c>
      <c r="J1302" s="19">
        <f t="array" ref="J1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2" s="20">
        <f>LEN(非皮卡压缩表[[#This Row],[LONG-TYPE]])</f>
        <v/>
      </c>
      <c r="L1302" s="21">
        <f t="array" ref="L1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2" s="22">
        <f>LEN(非皮卡压缩表[[#This Row],[TYPE]])</f>
        <v/>
      </c>
      <c r="N1302" s="22">
        <f t="array" ref="N1302">_xlfn.XLOOKUP(非皮卡压缩表[[#This Row],[MODEL]],MODEL缩写表[长MODEL],MODEL缩写表[短MODEL],非皮卡压缩表[[#This Row],[MODEL]])</f>
        <v/>
      </c>
      <c r="O1302" s="22">
        <f>LEN(非皮卡压缩表[[#This Row],[SHORT-MODEL]])</f>
        <v/>
      </c>
      <c r="P1302" s="11">
        <f t="array" ref="P1302">TRIM(_xlfn.XLOOKUP(非皮卡压缩表[[#This Row],[BACKSIZE]],ALL尺码表[内部尺码],ALL尺码表[通用尺码]))</f>
        <v/>
      </c>
    </row>
    <row r="1303">
      <c r="A1303" s="17" t="inlineStr">
        <is>
          <t>ALL</t>
        </is>
      </c>
      <c r="B1303" s="18" t="inlineStr">
        <is>
          <t>Toyota Supra</t>
        </is>
      </c>
      <c r="C1303" s="18" t="inlineStr">
        <is>
          <t>Toyota</t>
        </is>
      </c>
      <c r="D1303" s="18" t="inlineStr">
        <is>
          <t>Supra</t>
        </is>
      </c>
      <c r="E1303" s="18" t="inlineStr">
        <is>
          <t>1982-1986</t>
        </is>
      </c>
      <c r="F1303" s="18" t="inlineStr"/>
      <c r="G1303" s="18" t="inlineStr">
        <is>
          <t>Coupe</t>
        </is>
      </c>
      <c r="H1303" s="18" t="inlineStr">
        <is>
          <t>3M-0</t>
        </is>
      </c>
      <c r="I1303" s="19">
        <f t="array" ref="I1303">TRIM(_xlfn.XLOOKUP(非皮卡压缩表[[#This Row],[BACKSIZE]],ALL尺码表[内部尺码],ALL尺码表[分类],""))</f>
        <v/>
      </c>
      <c r="J1303" s="19">
        <f t="array" ref="J1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3" s="20">
        <f>LEN(非皮卡压缩表[[#This Row],[LONG-TYPE]])</f>
        <v/>
      </c>
      <c r="L1303" s="21">
        <f t="array" ref="L1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3" s="22">
        <f>LEN(非皮卡压缩表[[#This Row],[TYPE]])</f>
        <v/>
      </c>
      <c r="N1303" s="22">
        <f t="array" ref="N1303">_xlfn.XLOOKUP(非皮卡压缩表[[#This Row],[MODEL]],MODEL缩写表[长MODEL],MODEL缩写表[短MODEL],非皮卡压缩表[[#This Row],[MODEL]])</f>
        <v/>
      </c>
      <c r="O1303" s="22">
        <f>LEN(非皮卡压缩表[[#This Row],[SHORT-MODEL]])</f>
        <v/>
      </c>
      <c r="P1303" s="11">
        <f t="array" ref="P1303">TRIM(_xlfn.XLOOKUP(非皮卡压缩表[[#This Row],[BACKSIZE]],ALL尺码表[内部尺码],ALL尺码表[通用尺码]))</f>
        <v/>
      </c>
    </row>
    <row r="1304">
      <c r="A1304" s="17" t="inlineStr">
        <is>
          <t>ALL</t>
        </is>
      </c>
      <c r="B1304" s="18" t="inlineStr">
        <is>
          <t>Toyota Supra</t>
        </is>
      </c>
      <c r="C1304" s="18" t="inlineStr">
        <is>
          <t>Toyota</t>
        </is>
      </c>
      <c r="D1304" s="18" t="inlineStr">
        <is>
          <t>Supra</t>
        </is>
      </c>
      <c r="E1304" s="18" t="inlineStr">
        <is>
          <t>1987-1992</t>
        </is>
      </c>
      <c r="F1304" s="18" t="inlineStr"/>
      <c r="G1304" s="18" t="inlineStr">
        <is>
          <t>Coupe</t>
        </is>
      </c>
      <c r="H1304" s="18" t="inlineStr">
        <is>
          <t>3L-0</t>
        </is>
      </c>
      <c r="I1304" s="19">
        <f t="array" ref="I1304">TRIM(_xlfn.XLOOKUP(非皮卡压缩表[[#This Row],[BACKSIZE]],ALL尺码表[内部尺码],ALL尺码表[分类],""))</f>
        <v/>
      </c>
      <c r="J1304" s="19">
        <f t="array" ref="J1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4" s="20">
        <f>LEN(非皮卡压缩表[[#This Row],[LONG-TYPE]])</f>
        <v/>
      </c>
      <c r="L1304" s="21">
        <f t="array" ref="L1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4" s="22">
        <f>LEN(非皮卡压缩表[[#This Row],[TYPE]])</f>
        <v/>
      </c>
      <c r="N1304" s="22">
        <f t="array" ref="N1304">_xlfn.XLOOKUP(非皮卡压缩表[[#This Row],[MODEL]],MODEL缩写表[长MODEL],MODEL缩写表[短MODEL],非皮卡压缩表[[#This Row],[MODEL]])</f>
        <v/>
      </c>
      <c r="O1304" s="22">
        <f>LEN(非皮卡压缩表[[#This Row],[SHORT-MODEL]])</f>
        <v/>
      </c>
      <c r="P1304" s="11">
        <f t="array" ref="P1304">TRIM(_xlfn.XLOOKUP(非皮卡压缩表[[#This Row],[BACKSIZE]],ALL尺码表[内部尺码],ALL尺码表[通用尺码]))</f>
        <v/>
      </c>
    </row>
    <row r="1305">
      <c r="A1305" s="17" t="inlineStr">
        <is>
          <t>ALL</t>
        </is>
      </c>
      <c r="B1305" s="18" t="inlineStr">
        <is>
          <t>Toyota Supra</t>
        </is>
      </c>
      <c r="C1305" s="18" t="inlineStr">
        <is>
          <t>Toyota</t>
        </is>
      </c>
      <c r="D1305" s="18" t="inlineStr">
        <is>
          <t>Supra</t>
        </is>
      </c>
      <c r="E1305" s="18" t="inlineStr">
        <is>
          <t>1993-2026</t>
        </is>
      </c>
      <c r="F1305" s="18" t="inlineStr"/>
      <c r="G1305" s="18" t="inlineStr">
        <is>
          <t>Coupe</t>
        </is>
      </c>
      <c r="H1305" s="18" t="inlineStr">
        <is>
          <t>3M-0</t>
        </is>
      </c>
      <c r="I1305" s="19">
        <f t="array" ref="I1305">TRIM(_xlfn.XLOOKUP(非皮卡压缩表[[#This Row],[BACKSIZE]],ALL尺码表[内部尺码],ALL尺码表[分类],""))</f>
        <v/>
      </c>
      <c r="J1305" s="19">
        <f t="array" ref="J1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5" s="20">
        <f>LEN(非皮卡压缩表[[#This Row],[LONG-TYPE]])</f>
        <v/>
      </c>
      <c r="L1305" s="21">
        <f t="array" ref="L1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5" s="22">
        <f>LEN(非皮卡压缩表[[#This Row],[TYPE]])</f>
        <v/>
      </c>
      <c r="N1305" s="22">
        <f t="array" ref="N1305">_xlfn.XLOOKUP(非皮卡压缩表[[#This Row],[MODEL]],MODEL缩写表[长MODEL],MODEL缩写表[短MODEL],非皮卡压缩表[[#This Row],[MODEL]])</f>
        <v/>
      </c>
      <c r="O1305" s="22">
        <f>LEN(非皮卡压缩表[[#This Row],[SHORT-MODEL]])</f>
        <v/>
      </c>
      <c r="P1305" s="11">
        <f t="array" ref="P1305">TRIM(_xlfn.XLOOKUP(非皮卡压缩表[[#This Row],[BACKSIZE]],ALL尺码表[内部尺码],ALL尺码表[通用尺码]))</f>
        <v/>
      </c>
    </row>
    <row r="1306">
      <c r="A1306" s="17" t="inlineStr">
        <is>
          <t>ALL</t>
        </is>
      </c>
      <c r="B1306" s="18" t="inlineStr">
        <is>
          <t>Toyota Tercel</t>
        </is>
      </c>
      <c r="C1306" s="18" t="inlineStr">
        <is>
          <t>Toyota</t>
        </is>
      </c>
      <c r="D1306" s="18" t="inlineStr">
        <is>
          <t>Tercel</t>
        </is>
      </c>
      <c r="E1306" s="18" t="inlineStr">
        <is>
          <t>1980-1988</t>
        </is>
      </c>
      <c r="F1306" s="18" t="inlineStr">
        <is>
          <t>Incl: 4WD</t>
        </is>
      </c>
      <c r="G1306" s="18" t="inlineStr">
        <is>
          <t>Hatchback/Wagon</t>
        </is>
      </c>
      <c r="H1306" s="18" t="inlineStr">
        <is>
          <t>2L+</t>
        </is>
      </c>
      <c r="I1306" s="19">
        <f t="array" ref="I1306">TRIM(_xlfn.XLOOKUP(非皮卡压缩表[[#This Row],[BACKSIZE]],ALL尺码表[内部尺码],ALL尺码表[分类],""))</f>
        <v/>
      </c>
      <c r="J1306" s="19">
        <f t="array" ref="J1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6" s="20">
        <f>LEN(非皮卡压缩表[[#This Row],[LONG-TYPE]])</f>
        <v/>
      </c>
      <c r="L1306" s="21">
        <f t="array" ref="L1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6" s="22">
        <f>LEN(非皮卡压缩表[[#This Row],[TYPE]])</f>
        <v/>
      </c>
      <c r="N1306" s="22">
        <f t="array" ref="N1306">_xlfn.XLOOKUP(非皮卡压缩表[[#This Row],[MODEL]],MODEL缩写表[长MODEL],MODEL缩写表[短MODEL],非皮卡压缩表[[#This Row],[MODEL]])</f>
        <v/>
      </c>
      <c r="O1306" s="22">
        <f>LEN(非皮卡压缩表[[#This Row],[SHORT-MODEL]])</f>
        <v/>
      </c>
      <c r="P1306" s="11">
        <f t="array" ref="P1306">TRIM(_xlfn.XLOOKUP(非皮卡压缩表[[#This Row],[BACKSIZE]],ALL尺码表[内部尺码],ALL尺码表[通用尺码]))</f>
        <v/>
      </c>
    </row>
    <row r="1307">
      <c r="A1307" s="17" t="inlineStr">
        <is>
          <t>ALL</t>
        </is>
      </c>
      <c r="B1307" s="18" t="inlineStr">
        <is>
          <t>Toyota Tercel</t>
        </is>
      </c>
      <c r="C1307" s="18" t="inlineStr">
        <is>
          <t>Toyota</t>
        </is>
      </c>
      <c r="D1307" s="18" t="inlineStr">
        <is>
          <t>Tercel</t>
        </is>
      </c>
      <c r="E1307" s="18" t="inlineStr">
        <is>
          <t>1980-1999</t>
        </is>
      </c>
      <c r="F1307" s="18" t="inlineStr"/>
      <c r="G1307" s="18" t="inlineStr">
        <is>
          <t>Sedan</t>
        </is>
      </c>
      <c r="H1307" s="18" t="inlineStr">
        <is>
          <t>3L</t>
        </is>
      </c>
      <c r="I1307" s="19">
        <f t="array" ref="I1307">TRIM(_xlfn.XLOOKUP(非皮卡压缩表[[#This Row],[BACKSIZE]],ALL尺码表[内部尺码],ALL尺码表[分类],""))</f>
        <v/>
      </c>
      <c r="J1307" s="19">
        <f t="array" ref="J1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7" s="20">
        <f>LEN(非皮卡压缩表[[#This Row],[LONG-TYPE]])</f>
        <v/>
      </c>
      <c r="L1307" s="21">
        <f t="array" ref="L1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7" s="22">
        <f>LEN(非皮卡压缩表[[#This Row],[TYPE]])</f>
        <v/>
      </c>
      <c r="N1307" s="22">
        <f t="array" ref="N1307">_xlfn.XLOOKUP(非皮卡压缩表[[#This Row],[MODEL]],MODEL缩写表[长MODEL],MODEL缩写表[短MODEL],非皮卡压缩表[[#This Row],[MODEL]])</f>
        <v/>
      </c>
      <c r="O1307" s="22">
        <f>LEN(非皮卡压缩表[[#This Row],[SHORT-MODEL]])</f>
        <v/>
      </c>
      <c r="P1307" s="11">
        <f t="array" ref="P1307">TRIM(_xlfn.XLOOKUP(非皮卡压缩表[[#This Row],[BACKSIZE]],ALL尺码表[内部尺码],ALL尺码表[通用尺码]))</f>
        <v/>
      </c>
    </row>
    <row r="1308">
      <c r="A1308" s="17" t="inlineStr">
        <is>
          <t>ALL</t>
        </is>
      </c>
      <c r="B1308" s="18" t="inlineStr">
        <is>
          <t>Toyota Tercel</t>
        </is>
      </c>
      <c r="C1308" s="18" t="inlineStr">
        <is>
          <t>Toyota</t>
        </is>
      </c>
      <c r="D1308" s="18" t="inlineStr">
        <is>
          <t>Tercel</t>
        </is>
      </c>
      <c r="E1308" s="18" t="inlineStr">
        <is>
          <t>1989-1990</t>
        </is>
      </c>
      <c r="F1308" s="18" t="inlineStr"/>
      <c r="G1308" s="18" t="inlineStr">
        <is>
          <t>Coupe</t>
        </is>
      </c>
      <c r="H1308" s="18" t="inlineStr">
        <is>
          <t>3M-0</t>
        </is>
      </c>
      <c r="I1308" s="19">
        <f t="array" ref="I1308">TRIM(_xlfn.XLOOKUP(非皮卡压缩表[[#This Row],[BACKSIZE]],ALL尺码表[内部尺码],ALL尺码表[分类],""))</f>
        <v/>
      </c>
      <c r="J1308" s="19">
        <f t="array" ref="J1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8" s="20">
        <f>LEN(非皮卡压缩表[[#This Row],[LONG-TYPE]])</f>
        <v/>
      </c>
      <c r="L1308" s="21">
        <f t="array" ref="L1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8" s="22">
        <f>LEN(非皮卡压缩表[[#This Row],[TYPE]])</f>
        <v/>
      </c>
      <c r="N1308" s="22">
        <f t="array" ref="N1308">_xlfn.XLOOKUP(非皮卡压缩表[[#This Row],[MODEL]],MODEL缩写表[长MODEL],MODEL缩写表[短MODEL],非皮卡压缩表[[#This Row],[MODEL]])</f>
        <v/>
      </c>
      <c r="O1308" s="22">
        <f>LEN(非皮卡压缩表[[#This Row],[SHORT-MODEL]])</f>
        <v/>
      </c>
      <c r="P1308" s="11">
        <f t="array" ref="P1308">TRIM(_xlfn.XLOOKUP(非皮卡压缩表[[#This Row],[BACKSIZE]],ALL尺码表[内部尺码],ALL尺码表[通用尺码]))</f>
        <v/>
      </c>
    </row>
    <row r="1309">
      <c r="A1309" s="17" t="inlineStr">
        <is>
          <t>ALL</t>
        </is>
      </c>
      <c r="B1309" s="18" t="inlineStr">
        <is>
          <t>Toyota Tercel</t>
        </is>
      </c>
      <c r="C1309" s="18" t="inlineStr">
        <is>
          <t>Toyota</t>
        </is>
      </c>
      <c r="D1309" s="18" t="inlineStr">
        <is>
          <t>Tercel</t>
        </is>
      </c>
      <c r="E1309" s="18" t="inlineStr">
        <is>
          <t>1995-1999</t>
        </is>
      </c>
      <c r="F1309" s="18" t="inlineStr"/>
      <c r="G1309" s="18" t="inlineStr">
        <is>
          <t>Coupe</t>
        </is>
      </c>
      <c r="H1309" s="18" t="inlineStr">
        <is>
          <t>3S-0</t>
        </is>
      </c>
      <c r="I1309" s="19">
        <f t="array" ref="I1309">TRIM(_xlfn.XLOOKUP(非皮卡压缩表[[#This Row],[BACKSIZE]],ALL尺码表[内部尺码],ALL尺码表[分类],""))</f>
        <v/>
      </c>
      <c r="J1309" s="19">
        <f t="array" ref="J1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9" s="20">
        <f>LEN(非皮卡压缩表[[#This Row],[LONG-TYPE]])</f>
        <v/>
      </c>
      <c r="L1309" s="21">
        <f t="array" ref="L1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9" s="22">
        <f>LEN(非皮卡压缩表[[#This Row],[TYPE]])</f>
        <v/>
      </c>
      <c r="N1309" s="22">
        <f t="array" ref="N1309">_xlfn.XLOOKUP(非皮卡压缩表[[#This Row],[MODEL]],MODEL缩写表[长MODEL],MODEL缩写表[短MODEL],非皮卡压缩表[[#This Row],[MODEL]])</f>
        <v/>
      </c>
      <c r="O1309" s="22">
        <f>LEN(非皮卡压缩表[[#This Row],[SHORT-MODEL]])</f>
        <v/>
      </c>
      <c r="P1309" s="11">
        <f t="array" ref="P1309">TRIM(_xlfn.XLOOKUP(非皮卡压缩表[[#This Row],[BACKSIZE]],ALL尺码表[内部尺码],ALL尺码表[通用尺码]))</f>
        <v/>
      </c>
    </row>
    <row r="1310">
      <c r="A1310" s="17" t="inlineStr">
        <is>
          <t>ALL</t>
        </is>
      </c>
      <c r="B1310" s="18" t="inlineStr">
        <is>
          <t>Toyota Venza</t>
        </is>
      </c>
      <c r="C1310" s="18" t="inlineStr">
        <is>
          <t>Toyota</t>
        </is>
      </c>
      <c r="D1310" s="18" t="inlineStr">
        <is>
          <t>Venza</t>
        </is>
      </c>
      <c r="E1310" s="18" t="inlineStr">
        <is>
          <t>2009-2015</t>
        </is>
      </c>
      <c r="F1310" s="18" t="inlineStr"/>
      <c r="G1310" s="18" t="inlineStr">
        <is>
          <t>Wagon</t>
        </is>
      </c>
      <c r="H1310" s="18" t="inlineStr">
        <is>
          <t>2XL</t>
        </is>
      </c>
      <c r="I1310" s="19">
        <f t="array" ref="I1310">TRIM(_xlfn.XLOOKUP(非皮卡压缩表[[#This Row],[BACKSIZE]],ALL尺码表[内部尺码],ALL尺码表[分类],""))</f>
        <v/>
      </c>
      <c r="J1310" s="19">
        <f t="array" ref="J1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0" s="20">
        <f>LEN(非皮卡压缩表[[#This Row],[LONG-TYPE]])</f>
        <v/>
      </c>
      <c r="L1310" s="21">
        <f t="array" ref="L1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0" s="22">
        <f>LEN(非皮卡压缩表[[#This Row],[TYPE]])</f>
        <v/>
      </c>
      <c r="N1310" s="22">
        <f t="array" ref="N1310">_xlfn.XLOOKUP(非皮卡压缩表[[#This Row],[MODEL]],MODEL缩写表[长MODEL],MODEL缩写表[短MODEL],非皮卡压缩表[[#This Row],[MODEL]])</f>
        <v/>
      </c>
      <c r="O1310" s="22">
        <f>LEN(非皮卡压缩表[[#This Row],[SHORT-MODEL]])</f>
        <v/>
      </c>
      <c r="P1310" s="11">
        <f t="array" ref="P1310">TRIM(_xlfn.XLOOKUP(非皮卡压缩表[[#This Row],[BACKSIZE]],ALL尺码表[内部尺码],ALL尺码表[通用尺码]))</f>
        <v/>
      </c>
    </row>
    <row r="1311">
      <c r="A1311" s="17" t="inlineStr">
        <is>
          <t>ALL</t>
        </is>
      </c>
      <c r="B1311" s="18" t="inlineStr">
        <is>
          <t>Toyota Venza</t>
        </is>
      </c>
      <c r="C1311" s="18" t="inlineStr">
        <is>
          <t>Toyota</t>
        </is>
      </c>
      <c r="D1311" s="18" t="inlineStr">
        <is>
          <t>Venza</t>
        </is>
      </c>
      <c r="E1311" s="18" t="inlineStr">
        <is>
          <t>2021-2024</t>
        </is>
      </c>
      <c r="F1311" s="18" t="inlineStr"/>
      <c r="G1311" s="18" t="inlineStr">
        <is>
          <t>SUV</t>
        </is>
      </c>
      <c r="H1311" s="18" t="inlineStr">
        <is>
          <t>YL</t>
        </is>
      </c>
      <c r="I1311" s="19">
        <f t="array" ref="I1311">TRIM(_xlfn.XLOOKUP(非皮卡压缩表[[#This Row],[BACKSIZE]],ALL尺码表[内部尺码],ALL尺码表[分类],""))</f>
        <v/>
      </c>
      <c r="J1311" s="19">
        <f t="array" ref="J1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1" s="20">
        <f>LEN(非皮卡压缩表[[#This Row],[LONG-TYPE]])</f>
        <v/>
      </c>
      <c r="L1311" s="21">
        <f t="array" ref="L1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1" s="22">
        <f>LEN(非皮卡压缩表[[#This Row],[TYPE]])</f>
        <v/>
      </c>
      <c r="N1311" s="22">
        <f t="array" ref="N1311">_xlfn.XLOOKUP(非皮卡压缩表[[#This Row],[MODEL]],MODEL缩写表[长MODEL],MODEL缩写表[短MODEL],非皮卡压缩表[[#This Row],[MODEL]])</f>
        <v/>
      </c>
      <c r="O1311" s="22">
        <f>LEN(非皮卡压缩表[[#This Row],[SHORT-MODEL]])</f>
        <v/>
      </c>
      <c r="P1311" s="11">
        <f t="array" ref="P1311">TRIM(_xlfn.XLOOKUP(非皮卡压缩表[[#This Row],[BACKSIZE]],ALL尺码表[内部尺码],ALL尺码表[通用尺码]))</f>
        <v/>
      </c>
    </row>
    <row r="1312" ht="30" customHeight="1" s="23">
      <c r="A1312" s="17" t="inlineStr">
        <is>
          <t>ALL</t>
        </is>
      </c>
      <c r="B1312" s="18" t="inlineStr">
        <is>
          <t>Toyota Yaris</t>
        </is>
      </c>
      <c r="C1312" s="18" t="inlineStr">
        <is>
          <t>Toyota</t>
        </is>
      </c>
      <c r="D1312" s="18" t="inlineStr">
        <is>
          <t>Yaris</t>
        </is>
      </c>
      <c r="E1312" s="18" t="inlineStr">
        <is>
          <t>2007-2020</t>
        </is>
      </c>
      <c r="F1312" s="18" t="inlineStr"/>
      <c r="G1312" s="18" t="inlineStr">
        <is>
          <t>Hatchback</t>
        </is>
      </c>
      <c r="H1312" s="18" t="inlineStr">
        <is>
          <t>2M</t>
        </is>
      </c>
      <c r="I1312" s="19">
        <f t="array" ref="I1312">TRIM(_xlfn.XLOOKUP(非皮卡压缩表[[#This Row],[BACKSIZE]],ALL尺码表[内部尺码],ALL尺码表[分类],""))</f>
        <v/>
      </c>
      <c r="J1312" s="19">
        <f t="array" ref="J1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2" s="20">
        <f>LEN(非皮卡压缩表[[#This Row],[LONG-TYPE]])</f>
        <v/>
      </c>
      <c r="L1312" s="21">
        <f t="array" ref="L1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2" s="22">
        <f>LEN(非皮卡压缩表[[#This Row],[TYPE]])</f>
        <v/>
      </c>
      <c r="N1312" s="22">
        <f t="array" ref="N1312">_xlfn.XLOOKUP(非皮卡压缩表[[#This Row],[MODEL]],MODEL缩写表[长MODEL],MODEL缩写表[短MODEL],非皮卡压缩表[[#This Row],[MODEL]])</f>
        <v/>
      </c>
      <c r="O1312" s="22">
        <f>LEN(非皮卡压缩表[[#This Row],[SHORT-MODEL]])</f>
        <v/>
      </c>
      <c r="P1312" s="11">
        <f t="array" ref="P1312">TRIM(_xlfn.XLOOKUP(非皮卡压缩表[[#This Row],[BACKSIZE]],ALL尺码表[内部尺码],ALL尺码表[通用尺码]))</f>
        <v/>
      </c>
    </row>
    <row r="1313">
      <c r="A1313" s="17" t="inlineStr">
        <is>
          <t>ALL</t>
        </is>
      </c>
      <c r="B1313" s="18" t="inlineStr">
        <is>
          <t>Toyota Yaris</t>
        </is>
      </c>
      <c r="C1313" s="18" t="inlineStr">
        <is>
          <t>Toyota</t>
        </is>
      </c>
      <c r="D1313" s="18" t="inlineStr">
        <is>
          <t>Yaris</t>
        </is>
      </c>
      <c r="E1313" s="18" t="inlineStr">
        <is>
          <t>2007-2020</t>
        </is>
      </c>
      <c r="F1313" s="18" t="inlineStr"/>
      <c r="G1313" s="18" t="inlineStr">
        <is>
          <t>Sedan</t>
        </is>
      </c>
      <c r="H1313" s="18" t="inlineStr">
        <is>
          <t>3L</t>
        </is>
      </c>
      <c r="I1313" s="19">
        <f t="array" ref="I1313">TRIM(_xlfn.XLOOKUP(非皮卡压缩表[[#This Row],[BACKSIZE]],ALL尺码表[内部尺码],ALL尺码表[分类],""))</f>
        <v/>
      </c>
      <c r="J1313" s="19">
        <f t="array" ref="J1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3" s="20">
        <f>LEN(非皮卡压缩表[[#This Row],[LONG-TYPE]])</f>
        <v/>
      </c>
      <c r="L1313" s="21">
        <f t="array" ref="L1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3" s="22">
        <f>LEN(非皮卡压缩表[[#This Row],[TYPE]])</f>
        <v/>
      </c>
      <c r="N1313" s="22">
        <f t="array" ref="N1313">_xlfn.XLOOKUP(非皮卡压缩表[[#This Row],[MODEL]],MODEL缩写表[长MODEL],MODEL缩写表[短MODEL],非皮卡压缩表[[#This Row],[MODEL]])</f>
        <v/>
      </c>
      <c r="O1313" s="22">
        <f>LEN(非皮卡压缩表[[#This Row],[SHORT-MODEL]])</f>
        <v/>
      </c>
      <c r="P1313" s="11">
        <f t="array" ref="P1313">TRIM(_xlfn.XLOOKUP(非皮卡压缩表[[#This Row],[BACKSIZE]],ALL尺码表[内部尺码],ALL尺码表[通用尺码]))</f>
        <v/>
      </c>
    </row>
    <row r="1314">
      <c r="A1314" s="17" t="inlineStr">
        <is>
          <t>ALL</t>
        </is>
      </c>
      <c r="B1314" s="18" t="inlineStr">
        <is>
          <t>Toyota Yaris iA</t>
        </is>
      </c>
      <c r="C1314" s="18" t="inlineStr">
        <is>
          <t>Toyota</t>
        </is>
      </c>
      <c r="D1314" s="18" t="inlineStr">
        <is>
          <t>Yaris iA</t>
        </is>
      </c>
      <c r="E1314" s="18" t="inlineStr">
        <is>
          <t>2017-2018</t>
        </is>
      </c>
      <c r="F1314" s="18" t="inlineStr"/>
      <c r="G1314" s="18" t="inlineStr">
        <is>
          <t>Sedan</t>
        </is>
      </c>
      <c r="H1314" s="18" t="inlineStr">
        <is>
          <t>3L</t>
        </is>
      </c>
      <c r="I1314" s="19">
        <f t="array" ref="I1314">TRIM(_xlfn.XLOOKUP(非皮卡压缩表[[#This Row],[BACKSIZE]],ALL尺码表[内部尺码],ALL尺码表[分类],""))</f>
        <v/>
      </c>
      <c r="J1314" s="19">
        <f t="array" ref="J1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4" s="20">
        <f>LEN(非皮卡压缩表[[#This Row],[LONG-TYPE]])</f>
        <v/>
      </c>
      <c r="L1314" s="21">
        <f t="array" ref="L1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4" s="22">
        <f>LEN(非皮卡压缩表[[#This Row],[TYPE]])</f>
        <v/>
      </c>
      <c r="N1314" s="22">
        <f t="array" ref="N1314">_xlfn.XLOOKUP(非皮卡压缩表[[#This Row],[MODEL]],MODEL缩写表[长MODEL],MODEL缩写表[短MODEL],非皮卡压缩表[[#This Row],[MODEL]])</f>
        <v/>
      </c>
      <c r="O1314" s="22">
        <f>LEN(非皮卡压缩表[[#This Row],[SHORT-MODEL]])</f>
        <v/>
      </c>
      <c r="P1314" s="11">
        <f t="array" ref="P1314">TRIM(_xlfn.XLOOKUP(非皮卡压缩表[[#This Row],[BACKSIZE]],ALL尺码表[内部尺码],ALL尺码表[通用尺码]))</f>
        <v/>
      </c>
    </row>
    <row r="1315">
      <c r="A1315" s="17" t="inlineStr">
        <is>
          <t>ALL</t>
        </is>
      </c>
      <c r="B1315" s="18" t="inlineStr">
        <is>
          <t>Toyota bZ</t>
        </is>
      </c>
      <c r="C1315" s="18" t="inlineStr">
        <is>
          <t>Toyota</t>
        </is>
      </c>
      <c r="D1315" s="18" t="inlineStr">
        <is>
          <t>bZ</t>
        </is>
      </c>
      <c r="E1315" s="18" t="inlineStr">
        <is>
          <t>2026</t>
        </is>
      </c>
      <c r="F1315" s="18" t="inlineStr"/>
      <c r="G1315" s="18" t="inlineStr">
        <is>
          <t>SUV</t>
        </is>
      </c>
      <c r="H1315" s="18" t="inlineStr">
        <is>
          <t>YL</t>
        </is>
      </c>
      <c r="I1315" s="19">
        <f t="array" ref="I1315">TRIM(_xlfn.XLOOKUP(非皮卡压缩表[[#This Row],[BACKSIZE]],ALL尺码表[内部尺码],ALL尺码表[分类],""))</f>
        <v/>
      </c>
      <c r="J1315" s="19">
        <f t="array" ref="J1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5" s="20">
        <f>LEN(非皮卡压缩表[[#This Row],[LONG-TYPE]])</f>
        <v/>
      </c>
      <c r="L1315" s="21">
        <f t="array" ref="L1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5" s="22">
        <f>LEN(非皮卡压缩表[[#This Row],[TYPE]])</f>
        <v/>
      </c>
      <c r="N1315" s="22">
        <f t="array" ref="N1315">_xlfn.XLOOKUP(非皮卡压缩表[[#This Row],[MODEL]],MODEL缩写表[长MODEL],MODEL缩写表[短MODEL],非皮卡压缩表[[#This Row],[MODEL]])</f>
        <v/>
      </c>
      <c r="O1315" s="22">
        <f>LEN(非皮卡压缩表[[#This Row],[SHORT-MODEL]])</f>
        <v/>
      </c>
      <c r="P1315" s="11">
        <f t="array" ref="P1315">TRIM(_xlfn.XLOOKUP(非皮卡压缩表[[#This Row],[BACKSIZE]],ALL尺码表[内部尺码],ALL尺码表[通用尺码]))</f>
        <v/>
      </c>
    </row>
    <row r="1316">
      <c r="A1316" s="17" t="inlineStr">
        <is>
          <t>ALL</t>
        </is>
      </c>
      <c r="B1316" s="18" t="inlineStr">
        <is>
          <t>Toyota bZ</t>
        </is>
      </c>
      <c r="C1316" s="18" t="inlineStr">
        <is>
          <t>Toyota</t>
        </is>
      </c>
      <c r="D1316" s="18" t="inlineStr">
        <is>
          <t>bZ</t>
        </is>
      </c>
      <c r="E1316" s="18" t="inlineStr">
        <is>
          <t>2026</t>
        </is>
      </c>
      <c r="F1316" s="18" t="inlineStr">
        <is>
          <t>Woodland</t>
        </is>
      </c>
      <c r="G1316" s="18" t="inlineStr">
        <is>
          <t>SUV</t>
        </is>
      </c>
      <c r="H1316" s="18" t="inlineStr">
        <is>
          <t>YXL</t>
        </is>
      </c>
      <c r="I1316" s="19">
        <f t="array" ref="I1316">TRIM(_xlfn.XLOOKUP(非皮卡压缩表[[#This Row],[BACKSIZE]],ALL尺码表[内部尺码],ALL尺码表[分类],""))</f>
        <v/>
      </c>
      <c r="J1316" s="19">
        <f t="array" ref="J1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6" s="20">
        <f>LEN(非皮卡压缩表[[#This Row],[LONG-TYPE]])</f>
        <v/>
      </c>
      <c r="L1316" s="21">
        <f t="array" ref="L1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6" s="22">
        <f>LEN(非皮卡压缩表[[#This Row],[TYPE]])</f>
        <v/>
      </c>
      <c r="N1316" s="22">
        <f t="array" ref="N1316">_xlfn.XLOOKUP(非皮卡压缩表[[#This Row],[MODEL]],MODEL缩写表[长MODEL],MODEL缩写表[短MODEL],非皮卡压缩表[[#This Row],[MODEL]])</f>
        <v/>
      </c>
      <c r="O1316" s="22">
        <f>LEN(非皮卡压缩表[[#This Row],[SHORT-MODEL]])</f>
        <v/>
      </c>
      <c r="P1316" s="11">
        <f t="array" ref="P1316">TRIM(_xlfn.XLOOKUP(非皮卡压缩表[[#This Row],[BACKSIZE]],ALL尺码表[内部尺码],ALL尺码表[通用尺码]))</f>
        <v/>
      </c>
    </row>
    <row r="1317">
      <c r="A1317" s="17" t="inlineStr">
        <is>
          <t>ALL</t>
        </is>
      </c>
      <c r="B1317" s="18" t="inlineStr">
        <is>
          <t>Toyota bZ4X</t>
        </is>
      </c>
      <c r="C1317" s="18" t="inlineStr">
        <is>
          <t>Toyota</t>
        </is>
      </c>
      <c r="D1317" s="18" t="inlineStr">
        <is>
          <t>bZ4X</t>
        </is>
      </c>
      <c r="E1317" s="18" t="inlineStr">
        <is>
          <t>2023-2025</t>
        </is>
      </c>
      <c r="F1317" s="18" t="inlineStr"/>
      <c r="G1317" s="18" t="inlineStr">
        <is>
          <t>SUV</t>
        </is>
      </c>
      <c r="H1317" s="18" t="inlineStr">
        <is>
          <t>YL</t>
        </is>
      </c>
      <c r="I1317" s="19">
        <f t="array" ref="I1317">TRIM(_xlfn.XLOOKUP(非皮卡压缩表[[#This Row],[BACKSIZE]],ALL尺码表[内部尺码],ALL尺码表[分类],""))</f>
        <v/>
      </c>
      <c r="J1317" s="19">
        <f t="array" ref="J1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7" s="20">
        <f>LEN(非皮卡压缩表[[#This Row],[LONG-TYPE]])</f>
        <v/>
      </c>
      <c r="L1317" s="21">
        <f t="array" ref="L1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7" s="22">
        <f>LEN(非皮卡压缩表[[#This Row],[TYPE]])</f>
        <v/>
      </c>
      <c r="N1317" s="22">
        <f t="array" ref="N1317">_xlfn.XLOOKUP(非皮卡压缩表[[#This Row],[MODEL]],MODEL缩写表[长MODEL],MODEL缩写表[短MODEL],非皮卡压缩表[[#This Row],[MODEL]])</f>
        <v/>
      </c>
      <c r="O1317" s="22">
        <f>LEN(非皮卡压缩表[[#This Row],[SHORT-MODEL]])</f>
        <v/>
      </c>
      <c r="P1317" s="11">
        <f t="array" ref="P1317">TRIM(_xlfn.XLOOKUP(非皮卡压缩表[[#This Row],[BACKSIZE]],ALL尺码表[内部尺码],ALL尺码表[通用尺码]))</f>
        <v/>
      </c>
    </row>
    <row r="1318">
      <c r="A1318" s="17" t="inlineStr">
        <is>
          <t>ALL</t>
        </is>
      </c>
      <c r="B1318" s="18" t="inlineStr">
        <is>
          <t>VinFast VF8</t>
        </is>
      </c>
      <c r="C1318" s="18" t="inlineStr">
        <is>
          <t>VinFast</t>
        </is>
      </c>
      <c r="D1318" s="18" t="inlineStr">
        <is>
          <t>VF8</t>
        </is>
      </c>
      <c r="E1318" s="18" t="inlineStr">
        <is>
          <t>2023-2025</t>
        </is>
      </c>
      <c r="F1318" s="18" t="inlineStr"/>
      <c r="G1318" s="18" t="inlineStr">
        <is>
          <t>SUV</t>
        </is>
      </c>
      <c r="H1318" s="18" t="inlineStr">
        <is>
          <t>YL</t>
        </is>
      </c>
      <c r="I1318" s="19">
        <f t="array" ref="I1318">TRIM(_xlfn.XLOOKUP(非皮卡压缩表[[#This Row],[BACKSIZE]],ALL尺码表[内部尺码],ALL尺码表[分类],""))</f>
        <v/>
      </c>
      <c r="J1318" s="19">
        <f t="array" ref="J1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8" s="20">
        <f>LEN(非皮卡压缩表[[#This Row],[LONG-TYPE]])</f>
        <v/>
      </c>
      <c r="L1318" s="21">
        <f t="array" ref="L1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8" s="22">
        <f>LEN(非皮卡压缩表[[#This Row],[TYPE]])</f>
        <v/>
      </c>
      <c r="N1318" s="22">
        <f t="array" ref="N1318">_xlfn.XLOOKUP(非皮卡压缩表[[#This Row],[MODEL]],MODEL缩写表[长MODEL],MODEL缩写表[短MODEL],非皮卡压缩表[[#This Row],[MODEL]])</f>
        <v/>
      </c>
      <c r="O1318" s="22">
        <f>LEN(非皮卡压缩表[[#This Row],[SHORT-MODEL]])</f>
        <v/>
      </c>
      <c r="P1318" s="11">
        <f t="array" ref="P1318">TRIM(_xlfn.XLOOKUP(非皮卡压缩表[[#This Row],[BACKSIZE]],ALL尺码表[内部尺码],ALL尺码表[通用尺码]))</f>
        <v/>
      </c>
    </row>
    <row r="1319">
      <c r="A1319" s="17" t="inlineStr">
        <is>
          <t>ALL</t>
        </is>
      </c>
      <c r="B1319" s="18" t="inlineStr">
        <is>
          <t>Volkswagen Arteon</t>
        </is>
      </c>
      <c r="C1319" s="18" t="inlineStr">
        <is>
          <t>Volkswagen</t>
        </is>
      </c>
      <c r="D1319" s="18" t="inlineStr">
        <is>
          <t>Arteon</t>
        </is>
      </c>
      <c r="E1319" s="18" t="inlineStr">
        <is>
          <t>2019-2024</t>
        </is>
      </c>
      <c r="F1319" s="18" t="inlineStr"/>
      <c r="G1319" s="18" t="inlineStr">
        <is>
          <t>Hatchback</t>
        </is>
      </c>
      <c r="H1319" s="18" t="inlineStr">
        <is>
          <t>2XL+</t>
        </is>
      </c>
      <c r="I1319" s="19">
        <f t="array" ref="I1319">TRIM(_xlfn.XLOOKUP(非皮卡压缩表[[#This Row],[BACKSIZE]],ALL尺码表[内部尺码],ALL尺码表[分类],""))</f>
        <v/>
      </c>
      <c r="J1319" s="19">
        <f t="array" ref="J1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9" s="20">
        <f>LEN(非皮卡压缩表[[#This Row],[LONG-TYPE]])</f>
        <v/>
      </c>
      <c r="L1319" s="21">
        <f t="array" ref="L1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9" s="22">
        <f>LEN(非皮卡压缩表[[#This Row],[TYPE]])</f>
        <v/>
      </c>
      <c r="N1319" s="22">
        <f t="array" ref="N1319">_xlfn.XLOOKUP(非皮卡压缩表[[#This Row],[MODEL]],MODEL缩写表[长MODEL],MODEL缩写表[短MODEL],非皮卡压缩表[[#This Row],[MODEL]])</f>
        <v/>
      </c>
      <c r="O1319" s="22">
        <f>LEN(非皮卡压缩表[[#This Row],[SHORT-MODEL]])</f>
        <v/>
      </c>
      <c r="P1319" s="11">
        <f t="array" ref="P1319">TRIM(_xlfn.XLOOKUP(非皮卡压缩表[[#This Row],[BACKSIZE]],ALL尺码表[内部尺码],ALL尺码表[通用尺码]))</f>
        <v/>
      </c>
    </row>
    <row r="1320">
      <c r="A1320" s="17" t="inlineStr">
        <is>
          <t>ALL</t>
        </is>
      </c>
      <c r="B1320" s="18" t="inlineStr">
        <is>
          <t>Volkswagen Atlas</t>
        </is>
      </c>
      <c r="C1320" s="18" t="inlineStr">
        <is>
          <t>Volkswagen</t>
        </is>
      </c>
      <c r="D1320" s="18" t="inlineStr">
        <is>
          <t>Atlas</t>
        </is>
      </c>
      <c r="E1320" s="18" t="inlineStr">
        <is>
          <t>2018-2026</t>
        </is>
      </c>
      <c r="F1320" s="18" t="inlineStr">
        <is>
          <t>Incl: Cross Sport</t>
        </is>
      </c>
      <c r="G1320" s="18" t="inlineStr">
        <is>
          <t>SUV</t>
        </is>
      </c>
      <c r="H1320" s="18" t="inlineStr">
        <is>
          <t>YXL</t>
        </is>
      </c>
      <c r="I1320" s="19">
        <f t="array" ref="I1320">TRIM(_xlfn.XLOOKUP(非皮卡压缩表[[#This Row],[BACKSIZE]],ALL尺码表[内部尺码],ALL尺码表[分类],""))</f>
        <v/>
      </c>
      <c r="J1320" s="19">
        <f t="array" ref="J1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0" s="20">
        <f>LEN(非皮卡压缩表[[#This Row],[LONG-TYPE]])</f>
        <v/>
      </c>
      <c r="L1320" s="21">
        <f t="array" ref="L1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0" s="22">
        <f>LEN(非皮卡压缩表[[#This Row],[TYPE]])</f>
        <v/>
      </c>
      <c r="N1320" s="22">
        <f t="array" ref="N1320">_xlfn.XLOOKUP(非皮卡压缩表[[#This Row],[MODEL]],MODEL缩写表[长MODEL],MODEL缩写表[短MODEL],非皮卡压缩表[[#This Row],[MODEL]])</f>
        <v/>
      </c>
      <c r="O1320" s="22">
        <f>LEN(非皮卡压缩表[[#This Row],[SHORT-MODEL]])</f>
        <v/>
      </c>
      <c r="P1320" s="11">
        <f t="array" ref="P1320">TRIM(_xlfn.XLOOKUP(非皮卡压缩表[[#This Row],[BACKSIZE]],ALL尺码表[内部尺码],ALL尺码表[通用尺码]))</f>
        <v/>
      </c>
    </row>
    <row r="1321">
      <c r="A1321" s="17" t="inlineStr">
        <is>
          <t>ALL</t>
        </is>
      </c>
      <c r="B1321" s="18" t="inlineStr">
        <is>
          <t>Volkswagen Atlas Cross</t>
        </is>
      </c>
      <c r="C1321" s="18" t="inlineStr">
        <is>
          <t>Volkswagen</t>
        </is>
      </c>
      <c r="D1321" s="18" t="inlineStr">
        <is>
          <t>Atlas Cross</t>
        </is>
      </c>
      <c r="E1321" s="18" t="inlineStr">
        <is>
          <t>2021-2026</t>
        </is>
      </c>
      <c r="F1321" s="18" t="inlineStr">
        <is>
          <t>Cross Sport</t>
        </is>
      </c>
      <c r="G1321" s="18" t="inlineStr">
        <is>
          <t>SUV</t>
        </is>
      </c>
      <c r="H1321" s="18" t="inlineStr">
        <is>
          <t>YXL</t>
        </is>
      </c>
      <c r="I1321" s="19">
        <f t="array" ref="I1321">TRIM(_xlfn.XLOOKUP(非皮卡压缩表[[#This Row],[BACKSIZE]],ALL尺码表[内部尺码],ALL尺码表[分类],""))</f>
        <v/>
      </c>
      <c r="J1321" s="19">
        <f t="array" ref="J1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1" s="20">
        <f>LEN(非皮卡压缩表[[#This Row],[LONG-TYPE]])</f>
        <v/>
      </c>
      <c r="L1321" s="21">
        <f t="array" ref="L1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1" s="22">
        <f>LEN(非皮卡压缩表[[#This Row],[TYPE]])</f>
        <v/>
      </c>
      <c r="N1321" s="22">
        <f t="array" ref="N1321">_xlfn.XLOOKUP(非皮卡压缩表[[#This Row],[MODEL]],MODEL缩写表[长MODEL],MODEL缩写表[短MODEL],非皮卡压缩表[[#This Row],[MODEL]])</f>
        <v/>
      </c>
      <c r="O1321" s="22">
        <f>LEN(非皮卡压缩表[[#This Row],[SHORT-MODEL]])</f>
        <v/>
      </c>
      <c r="P1321" s="11">
        <f t="array" ref="P1321">TRIM(_xlfn.XLOOKUP(非皮卡压缩表[[#This Row],[BACKSIZE]],ALL尺码表[内部尺码],ALL尺码表[通用尺码]))</f>
        <v/>
      </c>
    </row>
    <row r="1322">
      <c r="A1322" s="17" t="inlineStr">
        <is>
          <t>ALL</t>
        </is>
      </c>
      <c r="B1322" s="18" t="inlineStr">
        <is>
          <t>Volkswagen Beetle</t>
        </is>
      </c>
      <c r="C1322" s="18" t="inlineStr">
        <is>
          <t>Volkswagen</t>
        </is>
      </c>
      <c r="D1322" s="18" t="inlineStr">
        <is>
          <t>Beetle</t>
        </is>
      </c>
      <c r="E1322" s="18" t="inlineStr">
        <is>
          <t>1998-2010</t>
        </is>
      </c>
      <c r="F1322" s="18" t="inlineStr"/>
      <c r="G1322" s="18" t="inlineStr">
        <is>
          <t>Hatchback</t>
        </is>
      </c>
      <c r="H1322" s="18" t="inlineStr">
        <is>
          <t>2M</t>
        </is>
      </c>
      <c r="I1322" s="19">
        <f t="array" ref="I1322">TRIM(_xlfn.XLOOKUP(非皮卡压缩表[[#This Row],[BACKSIZE]],ALL尺码表[内部尺码],ALL尺码表[分类],""))</f>
        <v/>
      </c>
      <c r="J1322" s="19">
        <f t="array" ref="J1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2" s="20">
        <f>LEN(非皮卡压缩表[[#This Row],[LONG-TYPE]])</f>
        <v/>
      </c>
      <c r="L1322" s="21">
        <f t="array" ref="L1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2" s="22">
        <f>LEN(非皮卡压缩表[[#This Row],[TYPE]])</f>
        <v/>
      </c>
      <c r="N1322" s="22">
        <f t="array" ref="N1322">_xlfn.XLOOKUP(非皮卡压缩表[[#This Row],[MODEL]],MODEL缩写表[长MODEL],MODEL缩写表[短MODEL],非皮卡压缩表[[#This Row],[MODEL]])</f>
        <v/>
      </c>
      <c r="O1322" s="22">
        <f>LEN(非皮卡压缩表[[#This Row],[SHORT-MODEL]])</f>
        <v/>
      </c>
      <c r="P1322" s="11">
        <f t="array" ref="P1322">TRIM(_xlfn.XLOOKUP(非皮卡压缩表[[#This Row],[BACKSIZE]],ALL尺码表[内部尺码],ALL尺码表[通用尺码]))</f>
        <v/>
      </c>
    </row>
    <row r="1323">
      <c r="A1323" s="17" t="inlineStr">
        <is>
          <t>ALL</t>
        </is>
      </c>
      <c r="B1323" s="18" t="inlineStr">
        <is>
          <t>Volkswagen Beetle</t>
        </is>
      </c>
      <c r="C1323" s="18" t="inlineStr">
        <is>
          <t>Volkswagen</t>
        </is>
      </c>
      <c r="D1323" s="18" t="inlineStr">
        <is>
          <t>Beetle</t>
        </is>
      </c>
      <c r="E1323" s="18" t="inlineStr">
        <is>
          <t>1998-2010</t>
        </is>
      </c>
      <c r="F1323" s="18" t="inlineStr"/>
      <c r="G1323" s="18" t="inlineStr">
        <is>
          <t>Convertible</t>
        </is>
      </c>
      <c r="H1323" s="18" t="inlineStr">
        <is>
          <t>3S-0</t>
        </is>
      </c>
      <c r="I1323" s="19">
        <f t="array" ref="I1323">TRIM(_xlfn.XLOOKUP(非皮卡压缩表[[#This Row],[BACKSIZE]],ALL尺码表[内部尺码],ALL尺码表[分类],""))</f>
        <v/>
      </c>
      <c r="J1323" s="19">
        <f t="array" ref="J1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3" s="20">
        <f>LEN(非皮卡压缩表[[#This Row],[LONG-TYPE]])</f>
        <v/>
      </c>
      <c r="L1323" s="21">
        <f t="array" ref="L1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3" s="22">
        <f>LEN(非皮卡压缩表[[#This Row],[TYPE]])</f>
        <v/>
      </c>
      <c r="N1323" s="22">
        <f t="array" ref="N1323">_xlfn.XLOOKUP(非皮卡压缩表[[#This Row],[MODEL]],MODEL缩写表[长MODEL],MODEL缩写表[短MODEL],非皮卡压缩表[[#This Row],[MODEL]])</f>
        <v/>
      </c>
      <c r="O1323" s="22">
        <f>LEN(非皮卡压缩表[[#This Row],[SHORT-MODEL]])</f>
        <v/>
      </c>
      <c r="P1323" s="11">
        <f t="array" ref="P1323">TRIM(_xlfn.XLOOKUP(非皮卡压缩表[[#This Row],[BACKSIZE]],ALL尺码表[内部尺码],ALL尺码表[通用尺码]))</f>
        <v/>
      </c>
    </row>
    <row r="1324">
      <c r="A1324" s="17" t="inlineStr">
        <is>
          <t>ALL</t>
        </is>
      </c>
      <c r="B1324" s="18" t="inlineStr">
        <is>
          <t>Volkswagen Beetle</t>
        </is>
      </c>
      <c r="C1324" s="18" t="inlineStr">
        <is>
          <t>Volkswagen</t>
        </is>
      </c>
      <c r="D1324" s="18" t="inlineStr">
        <is>
          <t>Beetle</t>
        </is>
      </c>
      <c r="E1324" s="18" t="inlineStr">
        <is>
          <t>2012-2019</t>
        </is>
      </c>
      <c r="F1324" s="18" t="inlineStr">
        <is>
          <t>Incl: Dune</t>
        </is>
      </c>
      <c r="G1324" s="18" t="inlineStr">
        <is>
          <t>Hatchback</t>
        </is>
      </c>
      <c r="H1324" s="18" t="inlineStr">
        <is>
          <t>2L+</t>
        </is>
      </c>
      <c r="I1324" s="19">
        <f t="array" ref="I1324">TRIM(_xlfn.XLOOKUP(非皮卡压缩表[[#This Row],[BACKSIZE]],ALL尺码表[内部尺码],ALL尺码表[分类],""))</f>
        <v/>
      </c>
      <c r="J1324" s="19">
        <f t="array" ref="J1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4" s="20">
        <f>LEN(非皮卡压缩表[[#This Row],[LONG-TYPE]])</f>
        <v/>
      </c>
      <c r="L1324" s="21">
        <f t="array" ref="L1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4" s="22">
        <f>LEN(非皮卡压缩表[[#This Row],[TYPE]])</f>
        <v/>
      </c>
      <c r="N1324" s="22">
        <f t="array" ref="N1324">_xlfn.XLOOKUP(非皮卡压缩表[[#This Row],[MODEL]],MODEL缩写表[长MODEL],MODEL缩写表[短MODEL],非皮卡压缩表[[#This Row],[MODEL]])</f>
        <v/>
      </c>
      <c r="O1324" s="22">
        <f>LEN(非皮卡压缩表[[#This Row],[SHORT-MODEL]])</f>
        <v/>
      </c>
      <c r="P1324" s="11">
        <f t="array" ref="P1324">TRIM(_xlfn.XLOOKUP(非皮卡压缩表[[#This Row],[BACKSIZE]],ALL尺码表[内部尺码],ALL尺码表[通用尺码]))</f>
        <v/>
      </c>
    </row>
    <row r="1325">
      <c r="A1325" s="17" t="inlineStr">
        <is>
          <t>ALL</t>
        </is>
      </c>
      <c r="B1325" s="18" t="inlineStr">
        <is>
          <t>Volkswagen Beetle</t>
        </is>
      </c>
      <c r="C1325" s="18" t="inlineStr">
        <is>
          <t>Volkswagen</t>
        </is>
      </c>
      <c r="D1325" s="18" t="inlineStr">
        <is>
          <t>Beetle</t>
        </is>
      </c>
      <c r="E1325" s="18" t="inlineStr">
        <is>
          <t>2012-2019</t>
        </is>
      </c>
      <c r="F1325" s="18" t="inlineStr">
        <is>
          <t>Incl: Dune</t>
        </is>
      </c>
      <c r="G1325" s="18" t="inlineStr">
        <is>
          <t>Convertible</t>
        </is>
      </c>
      <c r="H1325" s="18" t="inlineStr">
        <is>
          <t>3M-0</t>
        </is>
      </c>
      <c r="I1325" s="19">
        <f t="array" ref="I1325">TRIM(_xlfn.XLOOKUP(非皮卡压缩表[[#This Row],[BACKSIZE]],ALL尺码表[内部尺码],ALL尺码表[分类],""))</f>
        <v/>
      </c>
      <c r="J1325" s="19">
        <f t="array" ref="J1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5" s="20">
        <f>LEN(非皮卡压缩表[[#This Row],[LONG-TYPE]])</f>
        <v/>
      </c>
      <c r="L1325" s="21">
        <f t="array" ref="L1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5" s="22">
        <f>LEN(非皮卡压缩表[[#This Row],[TYPE]])</f>
        <v/>
      </c>
      <c r="N1325" s="22">
        <f t="array" ref="N1325">_xlfn.XLOOKUP(非皮卡压缩表[[#This Row],[MODEL]],MODEL缩写表[长MODEL],MODEL缩写表[短MODEL],非皮卡压缩表[[#This Row],[MODEL]])</f>
        <v/>
      </c>
      <c r="O1325" s="22">
        <f>LEN(非皮卡压缩表[[#This Row],[SHORT-MODEL]])</f>
        <v/>
      </c>
      <c r="P1325" s="11">
        <f t="array" ref="P1325">TRIM(_xlfn.XLOOKUP(非皮卡压缩表[[#This Row],[BACKSIZE]],ALL尺码表[内部尺码],ALL尺码表[通用尺码]))</f>
        <v/>
      </c>
    </row>
    <row r="1326">
      <c r="A1326" s="17" t="inlineStr">
        <is>
          <t>ALL</t>
        </is>
      </c>
      <c r="B1326" s="18" t="inlineStr">
        <is>
          <t>Volkswagen Eos</t>
        </is>
      </c>
      <c r="C1326" s="18" t="inlineStr">
        <is>
          <t>Volkswagen</t>
        </is>
      </c>
      <c r="D1326" s="18" t="inlineStr">
        <is>
          <t>Eos</t>
        </is>
      </c>
      <c r="E1326" s="18" t="inlineStr">
        <is>
          <t>2007-2016</t>
        </is>
      </c>
      <c r="F1326" s="18" t="inlineStr"/>
      <c r="G1326" s="18" t="inlineStr">
        <is>
          <t>Convertible</t>
        </is>
      </c>
      <c r="H1326" s="18" t="inlineStr">
        <is>
          <t>3M-0</t>
        </is>
      </c>
      <c r="I1326" s="19">
        <f t="array" ref="I1326">TRIM(_xlfn.XLOOKUP(非皮卡压缩表[[#This Row],[BACKSIZE]],ALL尺码表[内部尺码],ALL尺码表[分类],""))</f>
        <v/>
      </c>
      <c r="J1326" s="19">
        <f t="array" ref="J1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6" s="20">
        <f>LEN(非皮卡压缩表[[#This Row],[LONG-TYPE]])</f>
        <v/>
      </c>
      <c r="L1326" s="21">
        <f t="array" ref="L1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6" s="22">
        <f>LEN(非皮卡压缩表[[#This Row],[TYPE]])</f>
        <v/>
      </c>
      <c r="N1326" s="22">
        <f t="array" ref="N1326">_xlfn.XLOOKUP(非皮卡压缩表[[#This Row],[MODEL]],MODEL缩写表[长MODEL],MODEL缩写表[短MODEL],非皮卡压缩表[[#This Row],[MODEL]])</f>
        <v/>
      </c>
      <c r="O1326" s="22">
        <f>LEN(非皮卡压缩表[[#This Row],[SHORT-MODEL]])</f>
        <v/>
      </c>
      <c r="P1326" s="11">
        <f t="array" ref="P1326">TRIM(_xlfn.XLOOKUP(非皮卡压缩表[[#This Row],[BACKSIZE]],ALL尺码表[内部尺码],ALL尺码表[通用尺码]))</f>
        <v/>
      </c>
    </row>
    <row r="1327">
      <c r="A1327" s="17" t="inlineStr">
        <is>
          <t>ALL</t>
        </is>
      </c>
      <c r="B1327" s="18" t="inlineStr">
        <is>
          <t>Volkswagen Golf</t>
        </is>
      </c>
      <c r="C1327" s="18" t="inlineStr">
        <is>
          <t>Volkswagen</t>
        </is>
      </c>
      <c r="D1327" s="18" t="inlineStr">
        <is>
          <t>Golf</t>
        </is>
      </c>
      <c r="E1327" s="18" t="inlineStr">
        <is>
          <t>1999</t>
        </is>
      </c>
      <c r="F1327" s="18" t="inlineStr"/>
      <c r="G1327" s="18" t="inlineStr">
        <is>
          <t>Hatchback</t>
        </is>
      </c>
      <c r="H1327" s="18" t="inlineStr">
        <is>
          <t>2M</t>
        </is>
      </c>
      <c r="I1327" s="19">
        <f t="array" ref="I1327">TRIM(_xlfn.XLOOKUP(非皮卡压缩表[[#This Row],[BACKSIZE]],ALL尺码表[内部尺码],ALL尺码表[分类],""))</f>
        <v/>
      </c>
      <c r="J1327" s="19">
        <f t="array" ref="J1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7" s="20">
        <f>LEN(非皮卡压缩表[[#This Row],[LONG-TYPE]])</f>
        <v/>
      </c>
      <c r="L1327" s="21">
        <f t="array" ref="L1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7" s="22">
        <f>LEN(非皮卡压缩表[[#This Row],[TYPE]])</f>
        <v/>
      </c>
      <c r="N1327" s="22">
        <f t="array" ref="N1327">_xlfn.XLOOKUP(非皮卡压缩表[[#This Row],[MODEL]],MODEL缩写表[长MODEL],MODEL缩写表[短MODEL],非皮卡压缩表[[#This Row],[MODEL]])</f>
        <v/>
      </c>
      <c r="O1327" s="22">
        <f>LEN(非皮卡压缩表[[#This Row],[SHORT-MODEL]])</f>
        <v/>
      </c>
      <c r="P1327" s="11">
        <f t="array" ref="P1327">TRIM(_xlfn.XLOOKUP(非皮卡压缩表[[#This Row],[BACKSIZE]],ALL尺码表[内部尺码],ALL尺码表[通用尺码]))</f>
        <v/>
      </c>
    </row>
    <row r="1328">
      <c r="A1328" s="17" t="inlineStr">
        <is>
          <t>ALL</t>
        </is>
      </c>
      <c r="B1328" s="18" t="inlineStr">
        <is>
          <t>Volkswagen Golf</t>
        </is>
      </c>
      <c r="C1328" s="18" t="inlineStr">
        <is>
          <t>Volkswagen</t>
        </is>
      </c>
      <c r="D1328" s="18" t="inlineStr">
        <is>
          <t>Golf</t>
        </is>
      </c>
      <c r="E1328" s="18" t="inlineStr">
        <is>
          <t>2000-2021</t>
        </is>
      </c>
      <c r="F1328" s="18" t="inlineStr">
        <is>
          <t>Incl: Diesel/R</t>
        </is>
      </c>
      <c r="G1328" s="18" t="inlineStr">
        <is>
          <t>Hatchback</t>
        </is>
      </c>
      <c r="H1328" s="18" t="inlineStr">
        <is>
          <t>2L+</t>
        </is>
      </c>
      <c r="I1328" s="19">
        <f t="array" ref="I1328">TRIM(_xlfn.XLOOKUP(非皮卡压缩表[[#This Row],[BACKSIZE]],ALL尺码表[内部尺码],ALL尺码表[分类],""))</f>
        <v/>
      </c>
      <c r="J1328" s="19">
        <f t="array" ref="J1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8" s="20">
        <f>LEN(非皮卡压缩表[[#This Row],[LONG-TYPE]])</f>
        <v/>
      </c>
      <c r="L1328" s="21">
        <f t="array" ref="L1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8" s="22">
        <f>LEN(非皮卡压缩表[[#This Row],[TYPE]])</f>
        <v/>
      </c>
      <c r="N1328" s="22">
        <f t="array" ref="N1328">_xlfn.XLOOKUP(非皮卡压缩表[[#This Row],[MODEL]],MODEL缩写表[长MODEL],MODEL缩写表[短MODEL],非皮卡压缩表[[#This Row],[MODEL]])</f>
        <v/>
      </c>
      <c r="O1328" s="22">
        <f>LEN(非皮卡压缩表[[#This Row],[SHORT-MODEL]])</f>
        <v/>
      </c>
      <c r="P1328" s="11">
        <f t="array" ref="P1328">TRIM(_xlfn.XLOOKUP(非皮卡压缩表[[#This Row],[BACKSIZE]],ALL尺码表[内部尺码],ALL尺码表[通用尺码]))</f>
        <v/>
      </c>
    </row>
    <row r="1329">
      <c r="A1329" s="17" t="inlineStr">
        <is>
          <t>ALL</t>
        </is>
      </c>
      <c r="B1329" s="18" t="inlineStr">
        <is>
          <t>Volkswagen Golf</t>
        </is>
      </c>
      <c r="C1329" s="18" t="inlineStr">
        <is>
          <t>Volkswagen</t>
        </is>
      </c>
      <c r="D1329" s="18" t="inlineStr">
        <is>
          <t>Golf</t>
        </is>
      </c>
      <c r="E1329" s="18" t="inlineStr">
        <is>
          <t>2015-2026</t>
        </is>
      </c>
      <c r="F1329" s="18" t="inlineStr">
        <is>
          <t>GTI</t>
        </is>
      </c>
      <c r="G1329" s="18" t="inlineStr">
        <is>
          <t>Hatchback</t>
        </is>
      </c>
      <c r="H1329" s="18" t="inlineStr">
        <is>
          <t>2L+</t>
        </is>
      </c>
      <c r="I1329" s="19">
        <f t="array" ref="I1329">TRIM(_xlfn.XLOOKUP(非皮卡压缩表[[#This Row],[BACKSIZE]],ALL尺码表[内部尺码],ALL尺码表[分类],""))</f>
        <v/>
      </c>
      <c r="J1329" s="19">
        <f t="array" ref="J1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9" s="20">
        <f>LEN(非皮卡压缩表[[#This Row],[LONG-TYPE]])</f>
        <v/>
      </c>
      <c r="L1329" s="21">
        <f t="array" ref="L1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9" s="22">
        <f>LEN(非皮卡压缩表[[#This Row],[TYPE]])</f>
        <v/>
      </c>
      <c r="N1329" s="22">
        <f t="array" ref="N1329">_xlfn.XLOOKUP(非皮卡压缩表[[#This Row],[MODEL]],MODEL缩写表[长MODEL],MODEL缩写表[短MODEL],非皮卡压缩表[[#This Row],[MODEL]])</f>
        <v/>
      </c>
      <c r="O1329" s="22">
        <f>LEN(非皮卡压缩表[[#This Row],[SHORT-MODEL]])</f>
        <v/>
      </c>
      <c r="P1329" s="11">
        <f t="array" ref="P1329">TRIM(_xlfn.XLOOKUP(非皮卡压缩表[[#This Row],[BACKSIZE]],ALL尺码表[内部尺码],ALL尺码表[通用尺码]))</f>
        <v/>
      </c>
    </row>
    <row r="1330">
      <c r="A1330" s="17" t="inlineStr">
        <is>
          <t>ALL</t>
        </is>
      </c>
      <c r="B1330" s="18" t="inlineStr">
        <is>
          <t>Volkswagen Golf</t>
        </is>
      </c>
      <c r="C1330" s="18" t="inlineStr">
        <is>
          <t>Volkswagen</t>
        </is>
      </c>
      <c r="D1330" s="18" t="inlineStr">
        <is>
          <t>Golf</t>
        </is>
      </c>
      <c r="E1330" s="18" t="inlineStr">
        <is>
          <t>2015-2019</t>
        </is>
      </c>
      <c r="F1330" s="18" t="inlineStr"/>
      <c r="G1330" s="18" t="inlineStr">
        <is>
          <t>Wagon</t>
        </is>
      </c>
      <c r="H1330" s="18" t="inlineStr">
        <is>
          <t>2XL</t>
        </is>
      </c>
      <c r="I1330" s="19">
        <f t="array" ref="I1330">TRIM(_xlfn.XLOOKUP(非皮卡压缩表[[#This Row],[BACKSIZE]],ALL尺码表[内部尺码],ALL尺码表[分类],""))</f>
        <v/>
      </c>
      <c r="J1330" s="19">
        <f t="array" ref="J1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0" s="20">
        <f>LEN(非皮卡压缩表[[#This Row],[LONG-TYPE]])</f>
        <v/>
      </c>
      <c r="L1330" s="21">
        <f t="array" ref="L1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0" s="22">
        <f>LEN(非皮卡压缩表[[#This Row],[TYPE]])</f>
        <v/>
      </c>
      <c r="N1330" s="22">
        <f t="array" ref="N1330">_xlfn.XLOOKUP(非皮卡压缩表[[#This Row],[MODEL]],MODEL缩写表[长MODEL],MODEL缩写表[短MODEL],非皮卡压缩表[[#This Row],[MODEL]])</f>
        <v/>
      </c>
      <c r="O1330" s="22">
        <f>LEN(非皮卡压缩表[[#This Row],[SHORT-MODEL]])</f>
        <v/>
      </c>
      <c r="P1330" s="11">
        <f t="array" ref="P1330">TRIM(_xlfn.XLOOKUP(非皮卡压缩表[[#This Row],[BACKSIZE]],ALL尺码表[内部尺码],ALL尺码表[通用尺码]))</f>
        <v/>
      </c>
    </row>
    <row r="1331">
      <c r="A1331" s="17" t="inlineStr">
        <is>
          <t>ALL</t>
        </is>
      </c>
      <c r="B1331" s="18" t="inlineStr">
        <is>
          <t>Volkswagen Golf</t>
        </is>
      </c>
      <c r="C1331" s="18" t="inlineStr">
        <is>
          <t>Volkswagen</t>
        </is>
      </c>
      <c r="D1331" s="18" t="inlineStr">
        <is>
          <t>Golf</t>
        </is>
      </c>
      <c r="E1331" s="18" t="inlineStr">
        <is>
          <t>2022-2026</t>
        </is>
      </c>
      <c r="F1331" s="18" t="inlineStr">
        <is>
          <t>GTI/R</t>
        </is>
      </c>
      <c r="G1331" s="18" t="inlineStr">
        <is>
          <t>Hatchback</t>
        </is>
      </c>
      <c r="H1331" s="18" t="inlineStr">
        <is>
          <t>2L+</t>
        </is>
      </c>
      <c r="I1331" s="19">
        <f t="array" ref="I1331">TRIM(_xlfn.XLOOKUP(非皮卡压缩表[[#This Row],[BACKSIZE]],ALL尺码表[内部尺码],ALL尺码表[分类],""))</f>
        <v/>
      </c>
      <c r="J1331" s="19">
        <f t="array" ref="J1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1" s="20">
        <f>LEN(非皮卡压缩表[[#This Row],[LONG-TYPE]])</f>
        <v/>
      </c>
      <c r="L1331" s="21">
        <f t="array" ref="L1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1" s="22">
        <f>LEN(非皮卡压缩表[[#This Row],[TYPE]])</f>
        <v/>
      </c>
      <c r="N1331" s="22">
        <f t="array" ref="N1331">_xlfn.XLOOKUP(非皮卡压缩表[[#This Row],[MODEL]],MODEL缩写表[长MODEL],MODEL缩写表[短MODEL],非皮卡压缩表[[#This Row],[MODEL]])</f>
        <v/>
      </c>
      <c r="O1331" s="22">
        <f>LEN(非皮卡压缩表[[#This Row],[SHORT-MODEL]])</f>
        <v/>
      </c>
      <c r="P1331" s="11">
        <f t="array" ref="P1331">TRIM(_xlfn.XLOOKUP(非皮卡压缩表[[#This Row],[BACKSIZE]],ALL尺码表[内部尺码],ALL尺码表[通用尺码]))</f>
        <v/>
      </c>
    </row>
    <row r="1332">
      <c r="A1332" s="17" t="inlineStr">
        <is>
          <t>ALL</t>
        </is>
      </c>
      <c r="B1332" s="18" t="inlineStr">
        <is>
          <t>Volkswagen Golf</t>
        </is>
      </c>
      <c r="C1332" s="18" t="inlineStr">
        <is>
          <t>Volkswagen</t>
        </is>
      </c>
      <c r="D1332" s="18" t="inlineStr">
        <is>
          <t>Golf</t>
        </is>
      </c>
      <c r="E1332" s="18" t="inlineStr">
        <is>
          <t>2022-2026</t>
        </is>
      </c>
      <c r="F1332" s="18" t="inlineStr">
        <is>
          <t>R</t>
        </is>
      </c>
      <c r="G1332" s="18" t="inlineStr">
        <is>
          <t>Hatchback</t>
        </is>
      </c>
      <c r="H1332" s="18" t="inlineStr">
        <is>
          <t>2L+</t>
        </is>
      </c>
      <c r="I1332" s="19">
        <f t="array" ref="I1332">TRIM(_xlfn.XLOOKUP(非皮卡压缩表[[#This Row],[BACKSIZE]],ALL尺码表[内部尺码],ALL尺码表[分类],""))</f>
        <v/>
      </c>
      <c r="J1332" s="19">
        <f t="array" ref="J1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2" s="20">
        <f>LEN(非皮卡压缩表[[#This Row],[LONG-TYPE]])</f>
        <v/>
      </c>
      <c r="L1332" s="21">
        <f t="array" ref="L1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2" s="22">
        <f>LEN(非皮卡压缩表[[#This Row],[TYPE]])</f>
        <v/>
      </c>
      <c r="N1332" s="22">
        <f t="array" ref="N1332">_xlfn.XLOOKUP(非皮卡压缩表[[#This Row],[MODEL]],MODEL缩写表[长MODEL],MODEL缩写表[短MODEL],非皮卡压缩表[[#This Row],[MODEL]])</f>
        <v/>
      </c>
      <c r="O1332" s="22">
        <f>LEN(非皮卡压缩表[[#This Row],[SHORT-MODEL]])</f>
        <v/>
      </c>
      <c r="P1332" s="11">
        <f t="array" ref="P1332">TRIM(_xlfn.XLOOKUP(非皮卡压缩表[[#This Row],[BACKSIZE]],ALL尺码表[内部尺码],ALL尺码表[通用尺码]))</f>
        <v/>
      </c>
    </row>
    <row r="1333">
      <c r="A1333" s="17" t="inlineStr">
        <is>
          <t>ALL</t>
        </is>
      </c>
      <c r="B1333" s="18" t="inlineStr">
        <is>
          <t>Volkswagen ID.4</t>
        </is>
      </c>
      <c r="C1333" s="18" t="inlineStr">
        <is>
          <t>Volkswagen</t>
        </is>
      </c>
      <c r="D1333" s="18" t="inlineStr">
        <is>
          <t>ID.4</t>
        </is>
      </c>
      <c r="E1333" s="18" t="inlineStr">
        <is>
          <t>2021-2026</t>
        </is>
      </c>
      <c r="F1333" s="18" t="inlineStr"/>
      <c r="G1333" s="18" t="inlineStr">
        <is>
          <t>SUV</t>
        </is>
      </c>
      <c r="H1333" s="18" t="inlineStr">
        <is>
          <t>YM+</t>
        </is>
      </c>
      <c r="I1333" s="19">
        <f t="array" ref="I1333">TRIM(_xlfn.XLOOKUP(非皮卡压缩表[[#This Row],[BACKSIZE]],ALL尺码表[内部尺码],ALL尺码表[分类],""))</f>
        <v/>
      </c>
      <c r="J1333" s="19">
        <f t="array" ref="J1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3" s="20">
        <f>LEN(非皮卡压缩表[[#This Row],[LONG-TYPE]])</f>
        <v/>
      </c>
      <c r="L1333" s="21">
        <f t="array" ref="L1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3" s="22">
        <f>LEN(非皮卡压缩表[[#This Row],[TYPE]])</f>
        <v/>
      </c>
      <c r="N1333" s="22">
        <f t="array" ref="N1333">_xlfn.XLOOKUP(非皮卡压缩表[[#This Row],[MODEL]],MODEL缩写表[长MODEL],MODEL缩写表[短MODEL],非皮卡压缩表[[#This Row],[MODEL]])</f>
        <v/>
      </c>
      <c r="O1333" s="22">
        <f>LEN(非皮卡压缩表[[#This Row],[SHORT-MODEL]])</f>
        <v/>
      </c>
      <c r="P1333" s="11">
        <f t="array" ref="P1333">TRIM(_xlfn.XLOOKUP(非皮卡压缩表[[#This Row],[BACKSIZE]],ALL尺码表[内部尺码],ALL尺码表[通用尺码]))</f>
        <v/>
      </c>
    </row>
    <row r="1334">
      <c r="A1334" s="17" t="inlineStr">
        <is>
          <t>ALL</t>
        </is>
      </c>
      <c r="B1334" s="18" t="inlineStr">
        <is>
          <t>Volkswagen Jetta</t>
        </is>
      </c>
      <c r="C1334" s="18" t="inlineStr">
        <is>
          <t>Volkswagen</t>
        </is>
      </c>
      <c r="D1334" s="18" t="inlineStr">
        <is>
          <t>Jetta</t>
        </is>
      </c>
      <c r="E1334" s="18" t="inlineStr">
        <is>
          <t>1980-2018</t>
        </is>
      </c>
      <c r="F1334" s="18" t="inlineStr">
        <is>
          <t>Incl: Diesel</t>
        </is>
      </c>
      <c r="G1334" s="18" t="inlineStr">
        <is>
          <t>Sedan</t>
        </is>
      </c>
      <c r="H1334" s="18" t="inlineStr">
        <is>
          <t>3L</t>
        </is>
      </c>
      <c r="I1334" s="19">
        <f t="array" ref="I1334">TRIM(_xlfn.XLOOKUP(非皮卡压缩表[[#This Row],[BACKSIZE]],ALL尺码表[内部尺码],ALL尺码表[分类],""))</f>
        <v/>
      </c>
      <c r="J1334" s="19">
        <f t="array" ref="J1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4" s="20">
        <f>LEN(非皮卡压缩表[[#This Row],[LONG-TYPE]])</f>
        <v/>
      </c>
      <c r="L1334" s="21">
        <f t="array" ref="L1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4" s="22">
        <f>LEN(非皮卡压缩表[[#This Row],[TYPE]])</f>
        <v/>
      </c>
      <c r="N1334" s="22">
        <f t="array" ref="N1334">_xlfn.XLOOKUP(非皮卡压缩表[[#This Row],[MODEL]],MODEL缩写表[长MODEL],MODEL缩写表[短MODEL],非皮卡压缩表[[#This Row],[MODEL]])</f>
        <v/>
      </c>
      <c r="O1334" s="22">
        <f>LEN(非皮卡压缩表[[#This Row],[SHORT-MODEL]])</f>
        <v/>
      </c>
      <c r="P1334" s="11">
        <f t="array" ref="P1334">TRIM(_xlfn.XLOOKUP(非皮卡压缩表[[#This Row],[BACKSIZE]],ALL尺码表[内部尺码],ALL尺码表[通用尺码]))</f>
        <v/>
      </c>
    </row>
    <row r="1335">
      <c r="A1335" s="17" t="inlineStr">
        <is>
          <t>ALL</t>
        </is>
      </c>
      <c r="B1335" s="18" t="inlineStr">
        <is>
          <t>Volkswagen Jetta</t>
        </is>
      </c>
      <c r="C1335" s="18" t="inlineStr">
        <is>
          <t>Volkswagen</t>
        </is>
      </c>
      <c r="D1335" s="18" t="inlineStr">
        <is>
          <t>Jetta</t>
        </is>
      </c>
      <c r="E1335" s="18" t="inlineStr">
        <is>
          <t>2009-2014</t>
        </is>
      </c>
      <c r="F1335" s="18" t="inlineStr"/>
      <c r="G1335" s="18" t="inlineStr">
        <is>
          <t>Wagon</t>
        </is>
      </c>
      <c r="H1335" s="18" t="inlineStr">
        <is>
          <t>2XL</t>
        </is>
      </c>
      <c r="I1335" s="19">
        <f t="array" ref="I1335">TRIM(_xlfn.XLOOKUP(非皮卡压缩表[[#This Row],[BACKSIZE]],ALL尺码表[内部尺码],ALL尺码表[分类],""))</f>
        <v/>
      </c>
      <c r="J1335" s="19">
        <f t="array" ref="J1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5" s="20">
        <f>LEN(非皮卡压缩表[[#This Row],[LONG-TYPE]])</f>
        <v/>
      </c>
      <c r="L1335" s="21">
        <f t="array" ref="L1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5" s="22">
        <f>LEN(非皮卡压缩表[[#This Row],[TYPE]])</f>
        <v/>
      </c>
      <c r="N1335" s="22">
        <f t="array" ref="N1335">_xlfn.XLOOKUP(非皮卡压缩表[[#This Row],[MODEL]],MODEL缩写表[长MODEL],MODEL缩写表[短MODEL],非皮卡压缩表[[#This Row],[MODEL]])</f>
        <v/>
      </c>
      <c r="O1335" s="22">
        <f>LEN(非皮卡压缩表[[#This Row],[SHORT-MODEL]])</f>
        <v/>
      </c>
      <c r="P1335" s="11">
        <f t="array" ref="P1335">TRIM(_xlfn.XLOOKUP(非皮卡压缩表[[#This Row],[BACKSIZE]],ALL尺码表[内部尺码],ALL尺码表[通用尺码]))</f>
        <v/>
      </c>
    </row>
    <row r="1336">
      <c r="A1336" s="17" t="inlineStr">
        <is>
          <t>ALL</t>
        </is>
      </c>
      <c r="B1336" s="18" t="inlineStr">
        <is>
          <t>Volkswagen Jetta</t>
        </is>
      </c>
      <c r="C1336" s="18" t="inlineStr">
        <is>
          <t>Volkswagen</t>
        </is>
      </c>
      <c r="D1336" s="18" t="inlineStr">
        <is>
          <t>Jetta</t>
        </is>
      </c>
      <c r="E1336" s="18" t="inlineStr">
        <is>
          <t>2019-2026</t>
        </is>
      </c>
      <c r="F1336" s="18" t="inlineStr">
        <is>
          <t>GLI</t>
        </is>
      </c>
      <c r="G1336" s="18" t="inlineStr">
        <is>
          <t>Sedan</t>
        </is>
      </c>
      <c r="H1336" s="18" t="inlineStr">
        <is>
          <t>3XL</t>
        </is>
      </c>
      <c r="I1336" s="19">
        <f t="array" ref="I1336">TRIM(_xlfn.XLOOKUP(非皮卡压缩表[[#This Row],[BACKSIZE]],ALL尺码表[内部尺码],ALL尺码表[分类],""))</f>
        <v/>
      </c>
      <c r="J1336" s="19">
        <f t="array" ref="J1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6" s="20">
        <f>LEN(非皮卡压缩表[[#This Row],[LONG-TYPE]])</f>
        <v/>
      </c>
      <c r="L1336" s="21">
        <f t="array" ref="L1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6" s="22">
        <f>LEN(非皮卡压缩表[[#This Row],[TYPE]])</f>
        <v/>
      </c>
      <c r="N1336" s="22">
        <f t="array" ref="N1336">_xlfn.XLOOKUP(非皮卡压缩表[[#This Row],[MODEL]],MODEL缩写表[长MODEL],MODEL缩写表[短MODEL],非皮卡压缩表[[#This Row],[MODEL]])</f>
        <v/>
      </c>
      <c r="O1336" s="22">
        <f>LEN(非皮卡压缩表[[#This Row],[SHORT-MODEL]])</f>
        <v/>
      </c>
      <c r="P1336" s="11">
        <f t="array" ref="P1336">TRIM(_xlfn.XLOOKUP(非皮卡压缩表[[#This Row],[BACKSIZE]],ALL尺码表[内部尺码],ALL尺码表[通用尺码]))</f>
        <v/>
      </c>
    </row>
    <row r="1337">
      <c r="A1337" s="17" t="inlineStr">
        <is>
          <t>ALL</t>
        </is>
      </c>
      <c r="B1337" s="18" t="inlineStr">
        <is>
          <t>Volkswagen Passat</t>
        </is>
      </c>
      <c r="C1337" s="18" t="inlineStr">
        <is>
          <t>Volkswagen</t>
        </is>
      </c>
      <c r="D1337" s="18" t="inlineStr">
        <is>
          <t>Passat</t>
        </is>
      </c>
      <c r="E1337" s="18" t="inlineStr">
        <is>
          <t>1974-1981</t>
        </is>
      </c>
      <c r="F1337" s="18" t="inlineStr"/>
      <c r="G1337" s="18" t="inlineStr">
        <is>
          <t>Hatchback/Wagon</t>
        </is>
      </c>
      <c r="H1337" s="18" t="inlineStr">
        <is>
          <t>2L+</t>
        </is>
      </c>
      <c r="I1337" s="19">
        <f t="array" ref="I1337">TRIM(_xlfn.XLOOKUP(非皮卡压缩表[[#This Row],[BACKSIZE]],ALL尺码表[内部尺码],ALL尺码表[分类],""))</f>
        <v/>
      </c>
      <c r="J1337" s="19">
        <f t="array" ref="J1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7" s="20">
        <f>LEN(非皮卡压缩表[[#This Row],[LONG-TYPE]])</f>
        <v/>
      </c>
      <c r="L1337" s="21">
        <f t="array" ref="L1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7" s="22">
        <f>LEN(非皮卡压缩表[[#This Row],[TYPE]])</f>
        <v/>
      </c>
      <c r="N1337" s="22">
        <f t="array" ref="N1337">_xlfn.XLOOKUP(非皮卡压缩表[[#This Row],[MODEL]],MODEL缩写表[长MODEL],MODEL缩写表[短MODEL],非皮卡压缩表[[#This Row],[MODEL]])</f>
        <v/>
      </c>
      <c r="O1337" s="22">
        <f>LEN(非皮卡压缩表[[#This Row],[SHORT-MODEL]])</f>
        <v/>
      </c>
      <c r="P1337" s="11">
        <f t="array" ref="P1337">TRIM(_xlfn.XLOOKUP(非皮卡压缩表[[#This Row],[BACKSIZE]],ALL尺码表[内部尺码],ALL尺码表[通用尺码]))</f>
        <v/>
      </c>
    </row>
    <row r="1338">
      <c r="A1338" s="17" t="inlineStr">
        <is>
          <t>ALL</t>
        </is>
      </c>
      <c r="B1338" s="18" t="inlineStr">
        <is>
          <t>Volkswagen Passat</t>
        </is>
      </c>
      <c r="C1338" s="18" t="inlineStr">
        <is>
          <t>Volkswagen</t>
        </is>
      </c>
      <c r="D1338" s="18" t="inlineStr">
        <is>
          <t>Passat</t>
        </is>
      </c>
      <c r="E1338" s="18" t="inlineStr">
        <is>
          <t>1982-2010</t>
        </is>
      </c>
      <c r="F1338" s="18" t="inlineStr"/>
      <c r="G1338" s="18" t="inlineStr">
        <is>
          <t>Wagon</t>
        </is>
      </c>
      <c r="H1338" s="18" t="inlineStr">
        <is>
          <t>2XL</t>
        </is>
      </c>
      <c r="I1338" s="19">
        <f t="array" ref="I1338">TRIM(_xlfn.XLOOKUP(非皮卡压缩表[[#This Row],[BACKSIZE]],ALL尺码表[内部尺码],ALL尺码表[分类],""))</f>
        <v/>
      </c>
      <c r="J1338" s="19">
        <f t="array" ref="J1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8" s="20">
        <f>LEN(非皮卡压缩表[[#This Row],[LONG-TYPE]])</f>
        <v/>
      </c>
      <c r="L1338" s="21">
        <f t="array" ref="L1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8" s="22">
        <f>LEN(非皮卡压缩表[[#This Row],[TYPE]])</f>
        <v/>
      </c>
      <c r="N1338" s="22">
        <f t="array" ref="N1338">_xlfn.XLOOKUP(非皮卡压缩表[[#This Row],[MODEL]],MODEL缩写表[长MODEL],MODEL缩写表[短MODEL],非皮卡压缩表[[#This Row],[MODEL]])</f>
        <v/>
      </c>
      <c r="O1338" s="22">
        <f>LEN(非皮卡压缩表[[#This Row],[SHORT-MODEL]])</f>
        <v/>
      </c>
      <c r="P1338" s="11">
        <f t="array" ref="P1338">TRIM(_xlfn.XLOOKUP(非皮卡压缩表[[#This Row],[BACKSIZE]],ALL尺码表[内部尺码],ALL尺码表[通用尺码]))</f>
        <v/>
      </c>
    </row>
    <row r="1339">
      <c r="A1339" s="17" t="inlineStr">
        <is>
          <t>ALL</t>
        </is>
      </c>
      <c r="B1339" s="18" t="inlineStr">
        <is>
          <t>Volkswagen Passat</t>
        </is>
      </c>
      <c r="C1339" s="18" t="inlineStr">
        <is>
          <t>Volkswagen</t>
        </is>
      </c>
      <c r="D1339" s="18" t="inlineStr">
        <is>
          <t>Passat</t>
        </is>
      </c>
      <c r="E1339" s="18" t="inlineStr">
        <is>
          <t>1982-1997</t>
        </is>
      </c>
      <c r="F1339" s="18" t="inlineStr"/>
      <c r="G1339" s="18" t="inlineStr">
        <is>
          <t>Sedan</t>
        </is>
      </c>
      <c r="H1339" s="18" t="inlineStr">
        <is>
          <t>3L</t>
        </is>
      </c>
      <c r="I1339" s="19">
        <f t="array" ref="I1339">TRIM(_xlfn.XLOOKUP(非皮卡压缩表[[#This Row],[BACKSIZE]],ALL尺码表[内部尺码],ALL尺码表[分类],""))</f>
        <v/>
      </c>
      <c r="J1339" s="19">
        <f t="array" ref="J1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9" s="20">
        <f>LEN(非皮卡压缩表[[#This Row],[LONG-TYPE]])</f>
        <v/>
      </c>
      <c r="L1339" s="21">
        <f t="array" ref="L1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9" s="22">
        <f>LEN(非皮卡压缩表[[#This Row],[TYPE]])</f>
        <v/>
      </c>
      <c r="N1339" s="22">
        <f t="array" ref="N1339">_xlfn.XLOOKUP(非皮卡压缩表[[#This Row],[MODEL]],MODEL缩写表[长MODEL],MODEL缩写表[短MODEL],非皮卡压缩表[[#This Row],[MODEL]])</f>
        <v/>
      </c>
      <c r="O1339" s="22">
        <f>LEN(非皮卡压缩表[[#This Row],[SHORT-MODEL]])</f>
        <v/>
      </c>
      <c r="P1339" s="11">
        <f t="array" ref="P1339">TRIM(_xlfn.XLOOKUP(非皮卡压缩表[[#This Row],[BACKSIZE]],ALL尺码表[内部尺码],ALL尺码表[通用尺码]))</f>
        <v/>
      </c>
    </row>
    <row r="1340">
      <c r="A1340" s="17" t="inlineStr">
        <is>
          <t>ALL</t>
        </is>
      </c>
      <c r="B1340" s="18" t="inlineStr">
        <is>
          <t>Volkswagen Passat</t>
        </is>
      </c>
      <c r="C1340" s="18" t="inlineStr">
        <is>
          <t>Volkswagen</t>
        </is>
      </c>
      <c r="D1340" s="18" t="inlineStr">
        <is>
          <t>Passat</t>
        </is>
      </c>
      <c r="E1340" s="18" t="inlineStr">
        <is>
          <t>1998-2019</t>
        </is>
      </c>
      <c r="F1340" s="18" t="inlineStr"/>
      <c r="G1340" s="18" t="inlineStr">
        <is>
          <t>Sedan</t>
        </is>
      </c>
      <c r="H1340" s="18" t="inlineStr">
        <is>
          <t>3XL</t>
        </is>
      </c>
      <c r="I1340" s="19">
        <f t="array" ref="I1340">TRIM(_xlfn.XLOOKUP(非皮卡压缩表[[#This Row],[BACKSIZE]],ALL尺码表[内部尺码],ALL尺码表[分类],""))</f>
        <v/>
      </c>
      <c r="J1340" s="19">
        <f t="array" ref="J1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0" s="20">
        <f>LEN(非皮卡压缩表[[#This Row],[LONG-TYPE]])</f>
        <v/>
      </c>
      <c r="L1340" s="21">
        <f t="array" ref="L1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0" s="22">
        <f>LEN(非皮卡压缩表[[#This Row],[TYPE]])</f>
        <v/>
      </c>
      <c r="N1340" s="22">
        <f t="array" ref="N1340">_xlfn.XLOOKUP(非皮卡压缩表[[#This Row],[MODEL]],MODEL缩写表[长MODEL],MODEL缩写表[短MODEL],非皮卡压缩表[[#This Row],[MODEL]])</f>
        <v/>
      </c>
      <c r="O1340" s="22">
        <f>LEN(非皮卡压缩表[[#This Row],[SHORT-MODEL]])</f>
        <v/>
      </c>
      <c r="P1340" s="11">
        <f t="array" ref="P1340">TRIM(_xlfn.XLOOKUP(非皮卡压缩表[[#This Row],[BACKSIZE]],ALL尺码表[内部尺码],ALL尺码表[通用尺码]))</f>
        <v/>
      </c>
    </row>
    <row r="1341">
      <c r="A1341" s="17" t="inlineStr">
        <is>
          <t>ALL</t>
        </is>
      </c>
      <c r="B1341" s="18" t="inlineStr">
        <is>
          <t>Volkswagen Passat</t>
        </is>
      </c>
      <c r="C1341" s="18" t="inlineStr">
        <is>
          <t>Volkswagen</t>
        </is>
      </c>
      <c r="D1341" s="18" t="inlineStr">
        <is>
          <t>Passat</t>
        </is>
      </c>
      <c r="E1341" s="18" t="inlineStr">
        <is>
          <t>2020-2022</t>
        </is>
      </c>
      <c r="F1341" s="18" t="inlineStr"/>
      <c r="G1341" s="18" t="inlineStr">
        <is>
          <t>Sedan</t>
        </is>
      </c>
      <c r="H1341" s="18" t="inlineStr">
        <is>
          <t>3XXL</t>
        </is>
      </c>
      <c r="I1341" s="19">
        <f t="array" ref="I1341">TRIM(_xlfn.XLOOKUP(非皮卡压缩表[[#This Row],[BACKSIZE]],ALL尺码表[内部尺码],ALL尺码表[分类],""))</f>
        <v/>
      </c>
      <c r="J1341" s="19">
        <f t="array" ref="J1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1" s="20">
        <f>LEN(非皮卡压缩表[[#This Row],[LONG-TYPE]])</f>
        <v/>
      </c>
      <c r="L1341" s="21">
        <f t="array" ref="L1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1" s="22">
        <f>LEN(非皮卡压缩表[[#This Row],[TYPE]])</f>
        <v/>
      </c>
      <c r="N1341" s="22">
        <f t="array" ref="N1341">_xlfn.XLOOKUP(非皮卡压缩表[[#This Row],[MODEL]],MODEL缩写表[长MODEL],MODEL缩写表[短MODEL],非皮卡压缩表[[#This Row],[MODEL]])</f>
        <v/>
      </c>
      <c r="O1341" s="22">
        <f>LEN(非皮卡压缩表[[#This Row],[SHORT-MODEL]])</f>
        <v/>
      </c>
      <c r="P1341" s="11">
        <f t="array" ref="P1341">TRIM(_xlfn.XLOOKUP(非皮卡压缩表[[#This Row],[BACKSIZE]],ALL尺码表[内部尺码],ALL尺码表[通用尺码]))</f>
        <v/>
      </c>
    </row>
    <row r="1342">
      <c r="A1342" s="17" t="inlineStr">
        <is>
          <t>ALL</t>
        </is>
      </c>
      <c r="B1342" s="18" t="inlineStr">
        <is>
          <t>Volkswagen Passat CC</t>
        </is>
      </c>
      <c r="C1342" s="18" t="inlineStr">
        <is>
          <t>Volkswagen</t>
        </is>
      </c>
      <c r="D1342" s="18" t="inlineStr">
        <is>
          <t>Passat CC</t>
        </is>
      </c>
      <c r="E1342" s="18" t="inlineStr">
        <is>
          <t>2009-2017</t>
        </is>
      </c>
      <c r="F1342" s="18" t="inlineStr"/>
      <c r="G1342" s="18" t="inlineStr">
        <is>
          <t>Sportback</t>
        </is>
      </c>
      <c r="H1342" s="18" t="inlineStr">
        <is>
          <t>3XL</t>
        </is>
      </c>
      <c r="I1342" s="19">
        <f t="array" ref="I1342">TRIM(_xlfn.XLOOKUP(非皮卡压缩表[[#This Row],[BACKSIZE]],ALL尺码表[内部尺码],ALL尺码表[分类],""))</f>
        <v/>
      </c>
      <c r="J1342" s="19">
        <f t="array" ref="J1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2" s="20">
        <f>LEN(非皮卡压缩表[[#This Row],[LONG-TYPE]])</f>
        <v/>
      </c>
      <c r="L1342" s="21">
        <f t="array" ref="L1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2" s="22">
        <f>LEN(非皮卡压缩表[[#This Row],[TYPE]])</f>
        <v/>
      </c>
      <c r="N1342" s="22">
        <f t="array" ref="N1342">_xlfn.XLOOKUP(非皮卡压缩表[[#This Row],[MODEL]],MODEL缩写表[长MODEL],MODEL缩写表[短MODEL],非皮卡压缩表[[#This Row],[MODEL]])</f>
        <v/>
      </c>
      <c r="O1342" s="22">
        <f>LEN(非皮卡压缩表[[#This Row],[SHORT-MODEL]])</f>
        <v/>
      </c>
      <c r="P1342" s="11">
        <f t="array" ref="P1342">TRIM(_xlfn.XLOOKUP(非皮卡压缩表[[#This Row],[BACKSIZE]],ALL尺码表[内部尺码],ALL尺码表[通用尺码]))</f>
        <v/>
      </c>
    </row>
    <row r="1343">
      <c r="A1343" s="17" t="inlineStr">
        <is>
          <t>ALL</t>
        </is>
      </c>
      <c r="B1343" s="18" t="inlineStr">
        <is>
          <t>Volkswagen Phaeton</t>
        </is>
      </c>
      <c r="C1343" s="18" t="inlineStr">
        <is>
          <t>Volkswagen</t>
        </is>
      </c>
      <c r="D1343" s="18" t="inlineStr">
        <is>
          <t>Phaeton</t>
        </is>
      </c>
      <c r="E1343" s="18" t="inlineStr">
        <is>
          <t>2004-2006</t>
        </is>
      </c>
      <c r="F1343" s="18" t="inlineStr"/>
      <c r="G1343" s="18" t="inlineStr">
        <is>
          <t>Sedan</t>
        </is>
      </c>
      <c r="H1343" s="18" t="inlineStr">
        <is>
          <t>3XXL</t>
        </is>
      </c>
      <c r="I1343" s="19">
        <f t="array" ref="I1343">TRIM(_xlfn.XLOOKUP(非皮卡压缩表[[#This Row],[BACKSIZE]],ALL尺码表[内部尺码],ALL尺码表[分类],""))</f>
        <v/>
      </c>
      <c r="J1343" s="19">
        <f t="array" ref="J1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3" s="20">
        <f>LEN(非皮卡压缩表[[#This Row],[LONG-TYPE]])</f>
        <v/>
      </c>
      <c r="L1343" s="21">
        <f t="array" ref="L1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3" s="22">
        <f>LEN(非皮卡压缩表[[#This Row],[TYPE]])</f>
        <v/>
      </c>
      <c r="N1343" s="22">
        <f t="array" ref="N1343">_xlfn.XLOOKUP(非皮卡压缩表[[#This Row],[MODEL]],MODEL缩写表[长MODEL],MODEL缩写表[短MODEL],非皮卡压缩表[[#This Row],[MODEL]])</f>
        <v/>
      </c>
      <c r="O1343" s="22">
        <f>LEN(非皮卡压缩表[[#This Row],[SHORT-MODEL]])</f>
        <v/>
      </c>
      <c r="P1343" s="11">
        <f t="array" ref="P1343">TRIM(_xlfn.XLOOKUP(非皮卡压缩表[[#This Row],[BACKSIZE]],ALL尺码表[内部尺码],ALL尺码表[通用尺码]))</f>
        <v/>
      </c>
    </row>
    <row r="1344">
      <c r="A1344" s="17" t="inlineStr">
        <is>
          <t>ALL</t>
        </is>
      </c>
      <c r="B1344" s="18" t="inlineStr">
        <is>
          <t>Volkswagen Rabbit</t>
        </is>
      </c>
      <c r="C1344" s="18" t="inlineStr">
        <is>
          <t>Volkswagen</t>
        </is>
      </c>
      <c r="D1344" s="18" t="inlineStr">
        <is>
          <t>Rabbit</t>
        </is>
      </c>
      <c r="E1344" s="18" t="inlineStr">
        <is>
          <t>1975-1984</t>
        </is>
      </c>
      <c r="F1344" s="18" t="inlineStr">
        <is>
          <t>Incl: GTI</t>
        </is>
      </c>
      <c r="G1344" s="18" t="inlineStr">
        <is>
          <t>Hatchback</t>
        </is>
      </c>
      <c r="H1344" s="18" t="inlineStr">
        <is>
          <t>2M</t>
        </is>
      </c>
      <c r="I1344" s="19">
        <f t="array" ref="I1344">TRIM(_xlfn.XLOOKUP(非皮卡压缩表[[#This Row],[BACKSIZE]],ALL尺码表[内部尺码],ALL尺码表[分类],""))</f>
        <v/>
      </c>
      <c r="J1344" s="19">
        <f t="array" ref="J1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4" s="20">
        <f>LEN(非皮卡压缩表[[#This Row],[LONG-TYPE]])</f>
        <v/>
      </c>
      <c r="L1344" s="21">
        <f t="array" ref="L1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4" s="22">
        <f>LEN(非皮卡压缩表[[#This Row],[TYPE]])</f>
        <v/>
      </c>
      <c r="N1344" s="22">
        <f t="array" ref="N1344">_xlfn.XLOOKUP(非皮卡压缩表[[#This Row],[MODEL]],MODEL缩写表[长MODEL],MODEL缩写表[短MODEL],非皮卡压缩表[[#This Row],[MODEL]])</f>
        <v/>
      </c>
      <c r="O1344" s="22">
        <f>LEN(非皮卡压缩表[[#This Row],[SHORT-MODEL]])</f>
        <v/>
      </c>
      <c r="P1344" s="11">
        <f t="array" ref="P1344">TRIM(_xlfn.XLOOKUP(非皮卡压缩表[[#This Row],[BACKSIZE]],ALL尺码表[内部尺码],ALL尺码表[通用尺码]))</f>
        <v/>
      </c>
    </row>
    <row r="1345">
      <c r="A1345" s="17" t="inlineStr">
        <is>
          <t>ALL</t>
        </is>
      </c>
      <c r="B1345" s="18" t="inlineStr">
        <is>
          <t>Volkswagen Rabbit</t>
        </is>
      </c>
      <c r="C1345" s="18" t="inlineStr">
        <is>
          <t>Volkswagen</t>
        </is>
      </c>
      <c r="D1345" s="18" t="inlineStr">
        <is>
          <t>Rabbit</t>
        </is>
      </c>
      <c r="E1345" s="18" t="inlineStr">
        <is>
          <t>1980</t>
        </is>
      </c>
      <c r="F1345" s="18" t="inlineStr"/>
      <c r="G1345" s="18" t="inlineStr">
        <is>
          <t>Convertible</t>
        </is>
      </c>
      <c r="H1345" s="18" t="inlineStr">
        <is>
          <t>3S-0</t>
        </is>
      </c>
      <c r="I1345" s="19">
        <f t="array" ref="I1345">TRIM(_xlfn.XLOOKUP(非皮卡压缩表[[#This Row],[BACKSIZE]],ALL尺码表[内部尺码],ALL尺码表[分类],""))</f>
        <v/>
      </c>
      <c r="J1345" s="19">
        <f t="array" ref="J1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5" s="20">
        <f>LEN(非皮卡压缩表[[#This Row],[LONG-TYPE]])</f>
        <v/>
      </c>
      <c r="L1345" s="21">
        <f t="array" ref="L1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5" s="22">
        <f>LEN(非皮卡压缩表[[#This Row],[TYPE]])</f>
        <v/>
      </c>
      <c r="N1345" s="22">
        <f t="array" ref="N1345">_xlfn.XLOOKUP(非皮卡压缩表[[#This Row],[MODEL]],MODEL缩写表[长MODEL],MODEL缩写表[短MODEL],非皮卡压缩表[[#This Row],[MODEL]])</f>
        <v/>
      </c>
      <c r="O1345" s="22">
        <f>LEN(非皮卡压缩表[[#This Row],[SHORT-MODEL]])</f>
        <v/>
      </c>
      <c r="P1345" s="11">
        <f t="array" ref="P1345">TRIM(_xlfn.XLOOKUP(非皮卡压缩表[[#This Row],[BACKSIZE]],ALL尺码表[内部尺码],ALL尺码表[通用尺码]))</f>
        <v/>
      </c>
    </row>
    <row r="1346">
      <c r="A1346" s="17" t="inlineStr">
        <is>
          <t>ALL</t>
        </is>
      </c>
      <c r="B1346" s="18" t="inlineStr">
        <is>
          <t>Volkswagen Rabbit</t>
        </is>
      </c>
      <c r="C1346" s="18" t="inlineStr">
        <is>
          <t>Volkswagen</t>
        </is>
      </c>
      <c r="D1346" s="18" t="inlineStr">
        <is>
          <t>Rabbit</t>
        </is>
      </c>
      <c r="E1346" s="18" t="inlineStr">
        <is>
          <t>2006-2009</t>
        </is>
      </c>
      <c r="F1346" s="18" t="inlineStr"/>
      <c r="G1346" s="18" t="inlineStr">
        <is>
          <t>Hatchback</t>
        </is>
      </c>
      <c r="H1346" s="18" t="inlineStr">
        <is>
          <t>2L+</t>
        </is>
      </c>
      <c r="I1346" s="19">
        <f t="array" ref="I1346">TRIM(_xlfn.XLOOKUP(非皮卡压缩表[[#This Row],[BACKSIZE]],ALL尺码表[内部尺码],ALL尺码表[分类],""))</f>
        <v/>
      </c>
      <c r="J1346" s="19">
        <f t="array" ref="J1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6" s="20">
        <f>LEN(非皮卡压缩表[[#This Row],[LONG-TYPE]])</f>
        <v/>
      </c>
      <c r="L1346" s="21">
        <f t="array" ref="L1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6" s="22">
        <f>LEN(非皮卡压缩表[[#This Row],[TYPE]])</f>
        <v/>
      </c>
      <c r="N1346" s="22">
        <f t="array" ref="N1346">_xlfn.XLOOKUP(非皮卡压缩表[[#This Row],[MODEL]],MODEL缩写表[长MODEL],MODEL缩写表[短MODEL],非皮卡压缩表[[#This Row],[MODEL]])</f>
        <v/>
      </c>
      <c r="O1346" s="22">
        <f>LEN(非皮卡压缩表[[#This Row],[SHORT-MODEL]])</f>
        <v/>
      </c>
      <c r="P1346" s="11">
        <f t="array" ref="P1346">TRIM(_xlfn.XLOOKUP(非皮卡压缩表[[#This Row],[BACKSIZE]],ALL尺码表[内部尺码],ALL尺码表[通用尺码]))</f>
        <v/>
      </c>
    </row>
    <row r="1347">
      <c r="A1347" s="17" t="inlineStr">
        <is>
          <t>ALL</t>
        </is>
      </c>
      <c r="B1347" s="18" t="inlineStr">
        <is>
          <t>Volkswagen Taos</t>
        </is>
      </c>
      <c r="C1347" s="18" t="inlineStr">
        <is>
          <t>Volkswagen</t>
        </is>
      </c>
      <c r="D1347" s="18" t="inlineStr">
        <is>
          <t>Taos</t>
        </is>
      </c>
      <c r="E1347" s="18" t="inlineStr">
        <is>
          <t>2022-2026</t>
        </is>
      </c>
      <c r="F1347" s="18" t="inlineStr"/>
      <c r="G1347" s="18" t="inlineStr">
        <is>
          <t>SUV</t>
        </is>
      </c>
      <c r="H1347" s="18" t="inlineStr">
        <is>
          <t>YM+</t>
        </is>
      </c>
      <c r="I1347" s="19">
        <f t="array" ref="I1347">TRIM(_xlfn.XLOOKUP(非皮卡压缩表[[#This Row],[BACKSIZE]],ALL尺码表[内部尺码],ALL尺码表[分类],""))</f>
        <v/>
      </c>
      <c r="J1347" s="19">
        <f t="array" ref="J1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7" s="20">
        <f>LEN(非皮卡压缩表[[#This Row],[LONG-TYPE]])</f>
        <v/>
      </c>
      <c r="L1347" s="21">
        <f t="array" ref="L1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7" s="22">
        <f>LEN(非皮卡压缩表[[#This Row],[TYPE]])</f>
        <v/>
      </c>
      <c r="N1347" s="22">
        <f t="array" ref="N1347">_xlfn.XLOOKUP(非皮卡压缩表[[#This Row],[MODEL]],MODEL缩写表[长MODEL],MODEL缩写表[短MODEL],非皮卡压缩表[[#This Row],[MODEL]])</f>
        <v/>
      </c>
      <c r="O1347" s="22">
        <f>LEN(非皮卡压缩表[[#This Row],[SHORT-MODEL]])</f>
        <v/>
      </c>
      <c r="P1347" s="11">
        <f t="array" ref="P1347">TRIM(_xlfn.XLOOKUP(非皮卡压缩表[[#This Row],[BACKSIZE]],ALL尺码表[内部尺码],ALL尺码表[通用尺码]))</f>
        <v/>
      </c>
    </row>
    <row r="1348">
      <c r="A1348" s="17" t="inlineStr">
        <is>
          <t>ALL</t>
        </is>
      </c>
      <c r="B1348" s="18" t="inlineStr">
        <is>
          <t>Volkswagen Tiguan</t>
        </is>
      </c>
      <c r="C1348" s="18" t="inlineStr">
        <is>
          <t>Volkswagen</t>
        </is>
      </c>
      <c r="D1348" s="18" t="inlineStr">
        <is>
          <t>Tiguan</t>
        </is>
      </c>
      <c r="E1348" s="18" t="inlineStr">
        <is>
          <t>2009-2017</t>
        </is>
      </c>
      <c r="F1348" s="18" t="inlineStr"/>
      <c r="G1348" s="18" t="inlineStr">
        <is>
          <t>SUV</t>
        </is>
      </c>
      <c r="H1348" s="18" t="inlineStr">
        <is>
          <t>YM+</t>
        </is>
      </c>
      <c r="I1348" s="19">
        <f t="array" ref="I1348">TRIM(_xlfn.XLOOKUP(非皮卡压缩表[[#This Row],[BACKSIZE]],ALL尺码表[内部尺码],ALL尺码表[分类],""))</f>
        <v/>
      </c>
      <c r="J1348" s="19">
        <f t="array" ref="J1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8" s="20">
        <f>LEN(非皮卡压缩表[[#This Row],[LONG-TYPE]])</f>
        <v/>
      </c>
      <c r="L1348" s="21">
        <f t="array" ref="L1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8" s="22">
        <f>LEN(非皮卡压缩表[[#This Row],[TYPE]])</f>
        <v/>
      </c>
      <c r="N1348" s="22">
        <f t="array" ref="N1348">_xlfn.XLOOKUP(非皮卡压缩表[[#This Row],[MODEL]],MODEL缩写表[长MODEL],MODEL缩写表[短MODEL],非皮卡压缩表[[#This Row],[MODEL]])</f>
        <v/>
      </c>
      <c r="O1348" s="22">
        <f>LEN(非皮卡压缩表[[#This Row],[SHORT-MODEL]])</f>
        <v/>
      </c>
      <c r="P1348" s="11">
        <f t="array" ref="P1348">TRIM(_xlfn.XLOOKUP(非皮卡压缩表[[#This Row],[BACKSIZE]],ALL尺码表[内部尺码],ALL尺码表[通用尺码]))</f>
        <v/>
      </c>
    </row>
    <row r="1349">
      <c r="A1349" s="17" t="inlineStr">
        <is>
          <t>ALL</t>
        </is>
      </c>
      <c r="B1349" s="18" t="inlineStr">
        <is>
          <t>Volkswagen Tiguan</t>
        </is>
      </c>
      <c r="C1349" s="18" t="inlineStr">
        <is>
          <t>Volkswagen</t>
        </is>
      </c>
      <c r="D1349" s="18" t="inlineStr">
        <is>
          <t>Tiguan</t>
        </is>
      </c>
      <c r="E1349" s="18" t="inlineStr">
        <is>
          <t>2018-2026</t>
        </is>
      </c>
      <c r="F1349" s="18" t="inlineStr"/>
      <c r="G1349" s="18" t="inlineStr">
        <is>
          <t>SUV</t>
        </is>
      </c>
      <c r="H1349" s="18" t="inlineStr">
        <is>
          <t>YL</t>
        </is>
      </c>
      <c r="I1349" s="19">
        <f t="array" ref="I1349">TRIM(_xlfn.XLOOKUP(非皮卡压缩表[[#This Row],[BACKSIZE]],ALL尺码表[内部尺码],ALL尺码表[分类],""))</f>
        <v/>
      </c>
      <c r="J1349" s="19">
        <f t="array" ref="J1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9" s="20">
        <f>LEN(非皮卡压缩表[[#This Row],[LONG-TYPE]])</f>
        <v/>
      </c>
      <c r="L1349" s="21">
        <f t="array" ref="L1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9" s="22">
        <f>LEN(非皮卡压缩表[[#This Row],[TYPE]])</f>
        <v/>
      </c>
      <c r="N1349" s="22">
        <f t="array" ref="N1349">_xlfn.XLOOKUP(非皮卡压缩表[[#This Row],[MODEL]],MODEL缩写表[长MODEL],MODEL缩写表[短MODEL],非皮卡压缩表[[#This Row],[MODEL]])</f>
        <v/>
      </c>
      <c r="O1349" s="22">
        <f>LEN(非皮卡压缩表[[#This Row],[SHORT-MODEL]])</f>
        <v/>
      </c>
      <c r="P1349" s="11">
        <f t="array" ref="P1349">TRIM(_xlfn.XLOOKUP(非皮卡压缩表[[#This Row],[BACKSIZE]],ALL尺码表[内部尺码],ALL尺码表[通用尺码]))</f>
        <v/>
      </c>
    </row>
    <row r="1350">
      <c r="A1350" s="17" t="inlineStr">
        <is>
          <t>ALL</t>
        </is>
      </c>
      <c r="B1350" s="18" t="inlineStr">
        <is>
          <t>Volkswagen Touareg</t>
        </is>
      </c>
      <c r="C1350" s="18" t="inlineStr">
        <is>
          <t>Volkswagen</t>
        </is>
      </c>
      <c r="D1350" s="18" t="inlineStr">
        <is>
          <t>Touareg</t>
        </is>
      </c>
      <c r="E1350" s="18" t="inlineStr">
        <is>
          <t>2004-2017</t>
        </is>
      </c>
      <c r="F1350" s="18" t="inlineStr"/>
      <c r="G1350" s="18" t="inlineStr">
        <is>
          <t>SUV</t>
        </is>
      </c>
      <c r="H1350" s="18" t="inlineStr">
        <is>
          <t>YL</t>
        </is>
      </c>
      <c r="I1350" s="19">
        <f t="array" ref="I1350">TRIM(_xlfn.XLOOKUP(非皮卡压缩表[[#This Row],[BACKSIZE]],ALL尺码表[内部尺码],ALL尺码表[分类],""))</f>
        <v/>
      </c>
      <c r="J1350" s="19">
        <f t="array" ref="J1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0" s="20">
        <f>LEN(非皮卡压缩表[[#This Row],[LONG-TYPE]])</f>
        <v/>
      </c>
      <c r="L1350" s="21">
        <f t="array" ref="L1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0" s="22">
        <f>LEN(非皮卡压缩表[[#This Row],[TYPE]])</f>
        <v/>
      </c>
      <c r="N1350" s="22">
        <f t="array" ref="N1350">_xlfn.XLOOKUP(非皮卡压缩表[[#This Row],[MODEL]],MODEL缩写表[长MODEL],MODEL缩写表[短MODEL],非皮卡压缩表[[#This Row],[MODEL]])</f>
        <v/>
      </c>
      <c r="O1350" s="22">
        <f>LEN(非皮卡压缩表[[#This Row],[SHORT-MODEL]])</f>
        <v/>
      </c>
      <c r="P1350" s="11">
        <f t="array" ref="P1350">TRIM(_xlfn.XLOOKUP(非皮卡压缩表[[#This Row],[BACKSIZE]],ALL尺码表[内部尺码],ALL尺码表[通用尺码]))</f>
        <v/>
      </c>
    </row>
    <row r="1351">
      <c r="A1351" s="17" t="inlineStr">
        <is>
          <t>ALL</t>
        </is>
      </c>
      <c r="B1351" s="18" t="inlineStr">
        <is>
          <t>Volvo C30</t>
        </is>
      </c>
      <c r="C1351" s="18" t="inlineStr">
        <is>
          <t>Volvo</t>
        </is>
      </c>
      <c r="D1351" s="18" t="inlineStr">
        <is>
          <t>C30</t>
        </is>
      </c>
      <c r="E1351" s="18" t="inlineStr">
        <is>
          <t>2008-2013</t>
        </is>
      </c>
      <c r="F1351" s="18" t="inlineStr"/>
      <c r="G1351" s="18" t="inlineStr">
        <is>
          <t>Hatchback</t>
        </is>
      </c>
      <c r="H1351" s="18" t="inlineStr">
        <is>
          <t>2L+</t>
        </is>
      </c>
      <c r="I1351" s="19">
        <f t="array" ref="I1351">TRIM(_xlfn.XLOOKUP(非皮卡压缩表[[#This Row],[BACKSIZE]],ALL尺码表[内部尺码],ALL尺码表[分类],""))</f>
        <v/>
      </c>
      <c r="J1351" s="19">
        <f t="array" ref="J1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1" s="20">
        <f>LEN(非皮卡压缩表[[#This Row],[LONG-TYPE]])</f>
        <v/>
      </c>
      <c r="L1351" s="21">
        <f t="array" ref="L1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1" s="22">
        <f>LEN(非皮卡压缩表[[#This Row],[TYPE]])</f>
        <v/>
      </c>
      <c r="N1351" s="22">
        <f t="array" ref="N1351">_xlfn.XLOOKUP(非皮卡压缩表[[#This Row],[MODEL]],MODEL缩写表[长MODEL],MODEL缩写表[短MODEL],非皮卡压缩表[[#This Row],[MODEL]])</f>
        <v/>
      </c>
      <c r="O1351" s="22">
        <f>LEN(非皮卡压缩表[[#This Row],[SHORT-MODEL]])</f>
        <v/>
      </c>
      <c r="P1351" s="11">
        <f t="array" ref="P1351">TRIM(_xlfn.XLOOKUP(非皮卡压缩表[[#This Row],[BACKSIZE]],ALL尺码表[内部尺码],ALL尺码表[通用尺码]))</f>
        <v/>
      </c>
    </row>
    <row r="1352">
      <c r="A1352" s="17" t="inlineStr">
        <is>
          <t>ALL</t>
        </is>
      </c>
      <c r="B1352" s="18" t="inlineStr">
        <is>
          <t>Volvo C40</t>
        </is>
      </c>
      <c r="C1352" s="18" t="inlineStr">
        <is>
          <t>Volvo</t>
        </is>
      </c>
      <c r="D1352" s="18" t="inlineStr">
        <is>
          <t>C40</t>
        </is>
      </c>
      <c r="E1352" s="18" t="inlineStr">
        <is>
          <t>2022-2024</t>
        </is>
      </c>
      <c r="F1352" s="18" t="inlineStr"/>
      <c r="G1352" s="18" t="inlineStr">
        <is>
          <t>Coupe SUV</t>
        </is>
      </c>
      <c r="H1352" s="18" t="inlineStr">
        <is>
          <t>YM+</t>
        </is>
      </c>
      <c r="I1352" s="19">
        <f t="array" ref="I1352">TRIM(_xlfn.XLOOKUP(非皮卡压缩表[[#This Row],[BACKSIZE]],ALL尺码表[内部尺码],ALL尺码表[分类],""))</f>
        <v/>
      </c>
      <c r="J1352" s="19">
        <f t="array" ref="J1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2" s="20">
        <f>LEN(非皮卡压缩表[[#This Row],[LONG-TYPE]])</f>
        <v/>
      </c>
      <c r="L1352" s="21">
        <f t="array" ref="L1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2" s="22">
        <f>LEN(非皮卡压缩表[[#This Row],[TYPE]])</f>
        <v/>
      </c>
      <c r="N1352" s="22">
        <f t="array" ref="N1352">_xlfn.XLOOKUP(非皮卡压缩表[[#This Row],[MODEL]],MODEL缩写表[长MODEL],MODEL缩写表[短MODEL],非皮卡压缩表[[#This Row],[MODEL]])</f>
        <v/>
      </c>
      <c r="O1352" s="22">
        <f>LEN(非皮卡压缩表[[#This Row],[SHORT-MODEL]])</f>
        <v/>
      </c>
      <c r="P1352" s="11">
        <f t="array" ref="P1352">TRIM(_xlfn.XLOOKUP(非皮卡压缩表[[#This Row],[BACKSIZE]],ALL尺码表[内部尺码],ALL尺码表[通用尺码]))</f>
        <v/>
      </c>
    </row>
    <row r="1353">
      <c r="A1353" s="17" t="inlineStr">
        <is>
          <t>ALL</t>
        </is>
      </c>
      <c r="B1353" s="18" t="inlineStr">
        <is>
          <t>Volvo C40 Recharge</t>
        </is>
      </c>
      <c r="C1353" s="18" t="inlineStr">
        <is>
          <t>Volvo</t>
        </is>
      </c>
      <c r="D1353" s="18" t="inlineStr">
        <is>
          <t>C40 Recharge</t>
        </is>
      </c>
      <c r="E1353" s="18" t="inlineStr">
        <is>
          <t>2022-2024</t>
        </is>
      </c>
      <c r="F1353" s="18" t="inlineStr"/>
      <c r="G1353" s="18" t="inlineStr">
        <is>
          <t>Coupe SUV</t>
        </is>
      </c>
      <c r="H1353" s="18" t="inlineStr">
        <is>
          <t>YM+</t>
        </is>
      </c>
      <c r="I1353" s="19">
        <f t="array" ref="I1353">TRIM(_xlfn.XLOOKUP(非皮卡压缩表[[#This Row],[BACKSIZE]],ALL尺码表[内部尺码],ALL尺码表[分类],""))</f>
        <v/>
      </c>
      <c r="J1353" s="19">
        <f t="array" ref="J1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3" s="20">
        <f>LEN(非皮卡压缩表[[#This Row],[LONG-TYPE]])</f>
        <v/>
      </c>
      <c r="L1353" s="21">
        <f t="array" ref="L1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3" s="22">
        <f>LEN(非皮卡压缩表[[#This Row],[TYPE]])</f>
        <v/>
      </c>
      <c r="N1353" s="22">
        <f t="array" ref="N1353">_xlfn.XLOOKUP(非皮卡压缩表[[#This Row],[MODEL]],MODEL缩写表[长MODEL],MODEL缩写表[短MODEL],非皮卡压缩表[[#This Row],[MODEL]])</f>
        <v/>
      </c>
      <c r="O1353" s="22">
        <f>LEN(非皮卡压缩表[[#This Row],[SHORT-MODEL]])</f>
        <v/>
      </c>
      <c r="P1353" s="11">
        <f t="array" ref="P1353">TRIM(_xlfn.XLOOKUP(非皮卡压缩表[[#This Row],[BACKSIZE]],ALL尺码表[内部尺码],ALL尺码表[通用尺码]))</f>
        <v/>
      </c>
    </row>
    <row r="1354">
      <c r="A1354" s="17" t="inlineStr">
        <is>
          <t>ALL</t>
        </is>
      </c>
      <c r="B1354" s="18" t="inlineStr">
        <is>
          <t>Volvo C70</t>
        </is>
      </c>
      <c r="C1354" s="18" t="inlineStr">
        <is>
          <t>Volvo</t>
        </is>
      </c>
      <c r="D1354" s="18" t="inlineStr">
        <is>
          <t>C70</t>
        </is>
      </c>
      <c r="E1354" s="18" t="inlineStr">
        <is>
          <t>1998-2004</t>
        </is>
      </c>
      <c r="F1354" s="18" t="inlineStr"/>
      <c r="G1354" s="18" t="inlineStr">
        <is>
          <t>Convertible</t>
        </is>
      </c>
      <c r="H1354" s="18" t="inlineStr">
        <is>
          <t>3XL-0</t>
        </is>
      </c>
      <c r="I1354" s="19">
        <f t="array" ref="I1354">TRIM(_xlfn.XLOOKUP(非皮卡压缩表[[#This Row],[BACKSIZE]],ALL尺码表[内部尺码],ALL尺码表[分类],""))</f>
        <v/>
      </c>
      <c r="J1354" s="19">
        <f t="array" ref="J1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4" s="20">
        <f>LEN(非皮卡压缩表[[#This Row],[LONG-TYPE]])</f>
        <v/>
      </c>
      <c r="L1354" s="21">
        <f t="array" ref="L1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4" s="22">
        <f>LEN(非皮卡压缩表[[#This Row],[TYPE]])</f>
        <v/>
      </c>
      <c r="N1354" s="22">
        <f t="array" ref="N1354">_xlfn.XLOOKUP(非皮卡压缩表[[#This Row],[MODEL]],MODEL缩写表[长MODEL],MODEL缩写表[短MODEL],非皮卡压缩表[[#This Row],[MODEL]])</f>
        <v/>
      </c>
      <c r="O1354" s="22">
        <f>LEN(非皮卡压缩表[[#This Row],[SHORT-MODEL]])</f>
        <v/>
      </c>
      <c r="P1354" s="11">
        <f t="array" ref="P1354">TRIM(_xlfn.XLOOKUP(非皮卡压缩表[[#This Row],[BACKSIZE]],ALL尺码表[内部尺码],ALL尺码表[通用尺码]))</f>
        <v/>
      </c>
    </row>
    <row r="1355">
      <c r="A1355" s="17" t="inlineStr">
        <is>
          <t>ALL</t>
        </is>
      </c>
      <c r="B1355" s="18" t="inlineStr">
        <is>
          <t>Volvo C70</t>
        </is>
      </c>
      <c r="C1355" s="18" t="inlineStr">
        <is>
          <t>Volvo</t>
        </is>
      </c>
      <c r="D1355" s="18" t="inlineStr">
        <is>
          <t>C70</t>
        </is>
      </c>
      <c r="E1355" s="18" t="inlineStr">
        <is>
          <t>2006-2013</t>
        </is>
      </c>
      <c r="F1355" s="18" t="inlineStr"/>
      <c r="G1355" s="18" t="inlineStr">
        <is>
          <t>Convertible</t>
        </is>
      </c>
      <c r="H1355" s="18" t="inlineStr">
        <is>
          <t>3L-0</t>
        </is>
      </c>
      <c r="I1355" s="19">
        <f t="array" ref="I1355">TRIM(_xlfn.XLOOKUP(非皮卡压缩表[[#This Row],[BACKSIZE]],ALL尺码表[内部尺码],ALL尺码表[分类],""))</f>
        <v/>
      </c>
      <c r="J1355" s="19">
        <f t="array" ref="J1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5" s="20">
        <f>LEN(非皮卡压缩表[[#This Row],[LONG-TYPE]])</f>
        <v/>
      </c>
      <c r="L1355" s="21">
        <f t="array" ref="L1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5" s="22">
        <f>LEN(非皮卡压缩表[[#This Row],[TYPE]])</f>
        <v/>
      </c>
      <c r="N1355" s="22">
        <f t="array" ref="N1355">_xlfn.XLOOKUP(非皮卡压缩表[[#This Row],[MODEL]],MODEL缩写表[长MODEL],MODEL缩写表[短MODEL],非皮卡压缩表[[#This Row],[MODEL]])</f>
        <v/>
      </c>
      <c r="O1355" s="22">
        <f>LEN(非皮卡压缩表[[#This Row],[SHORT-MODEL]])</f>
        <v/>
      </c>
      <c r="P1355" s="11">
        <f t="array" ref="P1355">TRIM(_xlfn.XLOOKUP(非皮卡压缩表[[#This Row],[BACKSIZE]],ALL尺码表[内部尺码],ALL尺码表[通用尺码]))</f>
        <v/>
      </c>
    </row>
    <row r="1356">
      <c r="A1356" s="17" t="inlineStr">
        <is>
          <t>ALL</t>
        </is>
      </c>
      <c r="B1356" s="18" t="inlineStr">
        <is>
          <t>Volvo EC40</t>
        </is>
      </c>
      <c r="C1356" s="18" t="inlineStr">
        <is>
          <t>Volvo</t>
        </is>
      </c>
      <c r="D1356" s="18" t="inlineStr">
        <is>
          <t>EC40</t>
        </is>
      </c>
      <c r="E1356" s="18" t="inlineStr">
        <is>
          <t>2025-2026</t>
        </is>
      </c>
      <c r="F1356" s="18" t="inlineStr"/>
      <c r="G1356" s="18" t="inlineStr">
        <is>
          <t>CUV</t>
        </is>
      </c>
      <c r="H1356" s="18" t="inlineStr">
        <is>
          <t>YM+</t>
        </is>
      </c>
      <c r="I1356" s="19">
        <f t="array" ref="I1356">TRIM(_xlfn.XLOOKUP(非皮卡压缩表[[#This Row],[BACKSIZE]],ALL尺码表[内部尺码],ALL尺码表[分类],""))</f>
        <v/>
      </c>
      <c r="J1356" s="19">
        <f t="array" ref="J1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6" s="20">
        <f>LEN(非皮卡压缩表[[#This Row],[LONG-TYPE]])</f>
        <v/>
      </c>
      <c r="L1356" s="21">
        <f t="array" ref="L1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6" s="22">
        <f>LEN(非皮卡压缩表[[#This Row],[TYPE]])</f>
        <v/>
      </c>
      <c r="N1356" s="22">
        <f t="array" ref="N1356">_xlfn.XLOOKUP(非皮卡压缩表[[#This Row],[MODEL]],MODEL缩写表[长MODEL],MODEL缩写表[短MODEL],非皮卡压缩表[[#This Row],[MODEL]])</f>
        <v/>
      </c>
      <c r="O1356" s="22">
        <f>LEN(非皮卡压缩表[[#This Row],[SHORT-MODEL]])</f>
        <v/>
      </c>
      <c r="P1356" s="11">
        <f t="array" ref="P1356">TRIM(_xlfn.XLOOKUP(非皮卡压缩表[[#This Row],[BACKSIZE]],ALL尺码表[内部尺码],ALL尺码表[通用尺码]))</f>
        <v/>
      </c>
    </row>
    <row r="1357">
      <c r="A1357" s="17" t="inlineStr">
        <is>
          <t>ALL</t>
        </is>
      </c>
      <c r="B1357" s="18" t="inlineStr">
        <is>
          <t>Volvo EX30</t>
        </is>
      </c>
      <c r="C1357" s="18" t="inlineStr">
        <is>
          <t>Volvo</t>
        </is>
      </c>
      <c r="D1357" s="18" t="inlineStr">
        <is>
          <t>EX30</t>
        </is>
      </c>
      <c r="E1357" s="18" t="inlineStr">
        <is>
          <t>2025-2026</t>
        </is>
      </c>
      <c r="F1357" s="18" t="inlineStr"/>
      <c r="G1357" s="18" t="inlineStr">
        <is>
          <t>SUV</t>
        </is>
      </c>
      <c r="H1357" s="18" t="inlineStr">
        <is>
          <t>YM+</t>
        </is>
      </c>
      <c r="I1357" s="19">
        <f t="array" ref="I1357">TRIM(_xlfn.XLOOKUP(非皮卡压缩表[[#This Row],[BACKSIZE]],ALL尺码表[内部尺码],ALL尺码表[分类],""))</f>
        <v/>
      </c>
      <c r="J1357" s="19">
        <f t="array" ref="J1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7" s="20">
        <f>LEN(非皮卡压缩表[[#This Row],[LONG-TYPE]])</f>
        <v/>
      </c>
      <c r="L1357" s="21">
        <f t="array" ref="L1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7" s="22">
        <f>LEN(非皮卡压缩表[[#This Row],[TYPE]])</f>
        <v/>
      </c>
      <c r="N1357" s="22">
        <f t="array" ref="N1357">_xlfn.XLOOKUP(非皮卡压缩表[[#This Row],[MODEL]],MODEL缩写表[长MODEL],MODEL缩写表[短MODEL],非皮卡压缩表[[#This Row],[MODEL]])</f>
        <v/>
      </c>
      <c r="O1357" s="22">
        <f>LEN(非皮卡压缩表[[#This Row],[SHORT-MODEL]])</f>
        <v/>
      </c>
      <c r="P1357" s="11">
        <f t="array" ref="P1357">TRIM(_xlfn.XLOOKUP(非皮卡压缩表[[#This Row],[BACKSIZE]],ALL尺码表[内部尺码],ALL尺码表[通用尺码]))</f>
        <v/>
      </c>
    </row>
    <row r="1358">
      <c r="A1358" s="17" t="inlineStr">
        <is>
          <t>ALL</t>
        </is>
      </c>
      <c r="B1358" s="18" t="inlineStr">
        <is>
          <t>Volvo EX40</t>
        </is>
      </c>
      <c r="C1358" s="18" t="inlineStr">
        <is>
          <t>Volvo</t>
        </is>
      </c>
      <c r="D1358" s="18" t="inlineStr">
        <is>
          <t>EX40</t>
        </is>
      </c>
      <c r="E1358" s="18" t="inlineStr">
        <is>
          <t>2025-2026</t>
        </is>
      </c>
      <c r="F1358" s="18" t="inlineStr"/>
      <c r="G1358" s="18" t="inlineStr">
        <is>
          <t>SUV</t>
        </is>
      </c>
      <c r="H1358" s="18" t="inlineStr">
        <is>
          <t>YM+</t>
        </is>
      </c>
      <c r="I1358" s="19">
        <f t="array" ref="I1358">TRIM(_xlfn.XLOOKUP(非皮卡压缩表[[#This Row],[BACKSIZE]],ALL尺码表[内部尺码],ALL尺码表[分类],""))</f>
        <v/>
      </c>
      <c r="J1358" s="19">
        <f t="array" ref="J1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8" s="20">
        <f>LEN(非皮卡压缩表[[#This Row],[LONG-TYPE]])</f>
        <v/>
      </c>
      <c r="L1358" s="21">
        <f t="array" ref="L1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8" s="22">
        <f>LEN(非皮卡压缩表[[#This Row],[TYPE]])</f>
        <v/>
      </c>
      <c r="N1358" s="22">
        <f t="array" ref="N1358">_xlfn.XLOOKUP(非皮卡压缩表[[#This Row],[MODEL]],MODEL缩写表[长MODEL],MODEL缩写表[短MODEL],非皮卡压缩表[[#This Row],[MODEL]])</f>
        <v/>
      </c>
      <c r="O1358" s="22">
        <f>LEN(非皮卡压缩表[[#This Row],[SHORT-MODEL]])</f>
        <v/>
      </c>
      <c r="P1358" s="11">
        <f t="array" ref="P1358">TRIM(_xlfn.XLOOKUP(非皮卡压缩表[[#This Row],[BACKSIZE]],ALL尺码表[内部尺码],ALL尺码表[通用尺码]))</f>
        <v/>
      </c>
    </row>
    <row r="1359">
      <c r="A1359" s="17" t="inlineStr">
        <is>
          <t>ALL</t>
        </is>
      </c>
      <c r="B1359" s="18" t="inlineStr">
        <is>
          <t>Volvo EX90</t>
        </is>
      </c>
      <c r="C1359" s="18" t="inlineStr">
        <is>
          <t>Volvo</t>
        </is>
      </c>
      <c r="D1359" s="18" t="inlineStr">
        <is>
          <t>EX90</t>
        </is>
      </c>
      <c r="E1359" s="18" t="inlineStr">
        <is>
          <t>2025-2026</t>
        </is>
      </c>
      <c r="F1359" s="18" t="inlineStr"/>
      <c r="G1359" s="18" t="inlineStr">
        <is>
          <t>SUV</t>
        </is>
      </c>
      <c r="H1359" s="18" t="inlineStr">
        <is>
          <t>YXL</t>
        </is>
      </c>
      <c r="I1359" s="19">
        <f t="array" ref="I1359">TRIM(_xlfn.XLOOKUP(非皮卡压缩表[[#This Row],[BACKSIZE]],ALL尺码表[内部尺码],ALL尺码表[分类],""))</f>
        <v/>
      </c>
      <c r="J1359" s="19">
        <f t="array" ref="J1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9" s="20">
        <f>LEN(非皮卡压缩表[[#This Row],[LONG-TYPE]])</f>
        <v/>
      </c>
      <c r="L1359" s="21">
        <f t="array" ref="L1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9" s="22">
        <f>LEN(非皮卡压缩表[[#This Row],[TYPE]])</f>
        <v/>
      </c>
      <c r="N1359" s="22">
        <f t="array" ref="N1359">_xlfn.XLOOKUP(非皮卡压缩表[[#This Row],[MODEL]],MODEL缩写表[长MODEL],MODEL缩写表[短MODEL],非皮卡压缩表[[#This Row],[MODEL]])</f>
        <v/>
      </c>
      <c r="O1359" s="22">
        <f>LEN(非皮卡压缩表[[#This Row],[SHORT-MODEL]])</f>
        <v/>
      </c>
      <c r="P1359" s="11">
        <f t="array" ref="P1359">TRIM(_xlfn.XLOOKUP(非皮卡压缩表[[#This Row],[BACKSIZE]],ALL尺码表[内部尺码],ALL尺码表[通用尺码]))</f>
        <v/>
      </c>
    </row>
    <row r="1360">
      <c r="A1360" s="17" t="inlineStr">
        <is>
          <t>ALL</t>
        </is>
      </c>
      <c r="B1360" s="18" t="inlineStr">
        <is>
          <t>Volvo S40</t>
        </is>
      </c>
      <c r="C1360" s="18" t="inlineStr">
        <is>
          <t>Volvo</t>
        </is>
      </c>
      <c r="D1360" s="18" t="inlineStr">
        <is>
          <t>S40</t>
        </is>
      </c>
      <c r="E1360" s="18" t="inlineStr">
        <is>
          <t>2000-2011</t>
        </is>
      </c>
      <c r="F1360" s="18" t="inlineStr"/>
      <c r="G1360" s="18" t="inlineStr">
        <is>
          <t>Sedan</t>
        </is>
      </c>
      <c r="H1360" s="18" t="inlineStr">
        <is>
          <t>3L</t>
        </is>
      </c>
      <c r="I1360" s="19">
        <f t="array" ref="I1360">TRIM(_xlfn.XLOOKUP(非皮卡压缩表[[#This Row],[BACKSIZE]],ALL尺码表[内部尺码],ALL尺码表[分类],""))</f>
        <v/>
      </c>
      <c r="J1360" s="19">
        <f t="array" ref="J1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0" s="20">
        <f>LEN(非皮卡压缩表[[#This Row],[LONG-TYPE]])</f>
        <v/>
      </c>
      <c r="L1360" s="21">
        <f t="array" ref="L1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0" s="22">
        <f>LEN(非皮卡压缩表[[#This Row],[TYPE]])</f>
        <v/>
      </c>
      <c r="N1360" s="22">
        <f t="array" ref="N1360">_xlfn.XLOOKUP(非皮卡压缩表[[#This Row],[MODEL]],MODEL缩写表[长MODEL],MODEL缩写表[短MODEL],非皮卡压缩表[[#This Row],[MODEL]])</f>
        <v/>
      </c>
      <c r="O1360" s="22">
        <f>LEN(非皮卡压缩表[[#This Row],[SHORT-MODEL]])</f>
        <v/>
      </c>
      <c r="P1360" s="11">
        <f t="array" ref="P1360">TRIM(_xlfn.XLOOKUP(非皮卡压缩表[[#This Row],[BACKSIZE]],ALL尺码表[内部尺码],ALL尺码表[通用尺码]))</f>
        <v/>
      </c>
    </row>
    <row r="1361">
      <c r="A1361" s="17" t="inlineStr">
        <is>
          <t>ALL</t>
        </is>
      </c>
      <c r="B1361" s="18" t="inlineStr">
        <is>
          <t>Volvo S60</t>
        </is>
      </c>
      <c r="C1361" s="18" t="inlineStr">
        <is>
          <t>Volvo</t>
        </is>
      </c>
      <c r="D1361" s="18" t="inlineStr">
        <is>
          <t>S60</t>
        </is>
      </c>
      <c r="E1361" s="18" t="inlineStr">
        <is>
          <t>2001-2018</t>
        </is>
      </c>
      <c r="F1361" s="18" t="inlineStr"/>
      <c r="G1361" s="18" t="inlineStr">
        <is>
          <t>Sedan</t>
        </is>
      </c>
      <c r="H1361" s="18" t="inlineStr">
        <is>
          <t>3L</t>
        </is>
      </c>
      <c r="I1361" s="19">
        <f t="array" ref="I1361">TRIM(_xlfn.XLOOKUP(非皮卡压缩表[[#This Row],[BACKSIZE]],ALL尺码表[内部尺码],ALL尺码表[分类],""))</f>
        <v/>
      </c>
      <c r="J1361" s="19">
        <f t="array" ref="J1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1" s="20">
        <f>LEN(非皮卡压缩表[[#This Row],[LONG-TYPE]])</f>
        <v/>
      </c>
      <c r="L1361" s="21">
        <f t="array" ref="L1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1" s="22">
        <f>LEN(非皮卡压缩表[[#This Row],[TYPE]])</f>
        <v/>
      </c>
      <c r="N1361" s="22">
        <f t="array" ref="N1361">_xlfn.XLOOKUP(非皮卡压缩表[[#This Row],[MODEL]],MODEL缩写表[长MODEL],MODEL缩写表[短MODEL],非皮卡压缩表[[#This Row],[MODEL]])</f>
        <v/>
      </c>
      <c r="O1361" s="22">
        <f>LEN(非皮卡压缩表[[#This Row],[SHORT-MODEL]])</f>
        <v/>
      </c>
      <c r="P1361" s="11">
        <f t="array" ref="P1361">TRIM(_xlfn.XLOOKUP(非皮卡压缩表[[#This Row],[BACKSIZE]],ALL尺码表[内部尺码],ALL尺码表[通用尺码]))</f>
        <v/>
      </c>
    </row>
    <row r="1362">
      <c r="A1362" s="17" t="inlineStr">
        <is>
          <t>ALL</t>
        </is>
      </c>
      <c r="B1362" s="18" t="inlineStr">
        <is>
          <t>Volvo S60</t>
        </is>
      </c>
      <c r="C1362" s="18" t="inlineStr">
        <is>
          <t>Volvo</t>
        </is>
      </c>
      <c r="D1362" s="18" t="inlineStr">
        <is>
          <t>S60</t>
        </is>
      </c>
      <c r="E1362" s="18" t="inlineStr">
        <is>
          <t>2019-2025</t>
        </is>
      </c>
      <c r="F1362" s="18" t="inlineStr"/>
      <c r="G1362" s="18" t="inlineStr">
        <is>
          <t>Sedan</t>
        </is>
      </c>
      <c r="H1362" s="18" t="inlineStr">
        <is>
          <t>3XL</t>
        </is>
      </c>
      <c r="I1362" s="19">
        <f t="array" ref="I1362">TRIM(_xlfn.XLOOKUP(非皮卡压缩表[[#This Row],[BACKSIZE]],ALL尺码表[内部尺码],ALL尺码表[分类],""))</f>
        <v/>
      </c>
      <c r="J1362" s="19">
        <f t="array" ref="J1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2" s="20">
        <f>LEN(非皮卡压缩表[[#This Row],[LONG-TYPE]])</f>
        <v/>
      </c>
      <c r="L1362" s="21">
        <f t="array" ref="L1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2" s="22">
        <f>LEN(非皮卡压缩表[[#This Row],[TYPE]])</f>
        <v/>
      </c>
      <c r="N1362" s="22">
        <f t="array" ref="N1362">_xlfn.XLOOKUP(非皮卡压缩表[[#This Row],[MODEL]],MODEL缩写表[长MODEL],MODEL缩写表[短MODEL],非皮卡压缩表[[#This Row],[MODEL]])</f>
        <v/>
      </c>
      <c r="O1362" s="22">
        <f>LEN(非皮卡压缩表[[#This Row],[SHORT-MODEL]])</f>
        <v/>
      </c>
      <c r="P1362" s="11">
        <f t="array" ref="P1362">TRIM(_xlfn.XLOOKUP(非皮卡压缩表[[#This Row],[BACKSIZE]],ALL尺码表[内部尺码],ALL尺码表[通用尺码]))</f>
        <v/>
      </c>
    </row>
    <row r="1363">
      <c r="A1363" s="17" t="inlineStr">
        <is>
          <t>ALL</t>
        </is>
      </c>
      <c r="B1363" s="18" t="inlineStr">
        <is>
          <t>Volvo S70</t>
        </is>
      </c>
      <c r="C1363" s="18" t="inlineStr">
        <is>
          <t>Volvo</t>
        </is>
      </c>
      <c r="D1363" s="18" t="inlineStr">
        <is>
          <t>S70</t>
        </is>
      </c>
      <c r="E1363" s="18" t="inlineStr">
        <is>
          <t>1998-2000</t>
        </is>
      </c>
      <c r="F1363" s="18" t="inlineStr"/>
      <c r="G1363" s="18" t="inlineStr">
        <is>
          <t>Sedan</t>
        </is>
      </c>
      <c r="H1363" s="18" t="inlineStr">
        <is>
          <t>3XL</t>
        </is>
      </c>
      <c r="I1363" s="19">
        <f t="array" ref="I1363">TRIM(_xlfn.XLOOKUP(非皮卡压缩表[[#This Row],[BACKSIZE]],ALL尺码表[内部尺码],ALL尺码表[分类],""))</f>
        <v/>
      </c>
      <c r="J1363" s="19">
        <f t="array" ref="J1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3" s="20">
        <f>LEN(非皮卡压缩表[[#This Row],[LONG-TYPE]])</f>
        <v/>
      </c>
      <c r="L1363" s="21">
        <f t="array" ref="L1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3" s="22">
        <f>LEN(非皮卡压缩表[[#This Row],[TYPE]])</f>
        <v/>
      </c>
      <c r="N1363" s="22">
        <f t="array" ref="N1363">_xlfn.XLOOKUP(非皮卡压缩表[[#This Row],[MODEL]],MODEL缩写表[长MODEL],MODEL缩写表[短MODEL],非皮卡压缩表[[#This Row],[MODEL]])</f>
        <v/>
      </c>
      <c r="O1363" s="22">
        <f>LEN(非皮卡压缩表[[#This Row],[SHORT-MODEL]])</f>
        <v/>
      </c>
      <c r="P1363" s="11">
        <f t="array" ref="P1363">TRIM(_xlfn.XLOOKUP(非皮卡压缩表[[#This Row],[BACKSIZE]],ALL尺码表[内部尺码],ALL尺码表[通用尺码]))</f>
        <v/>
      </c>
    </row>
    <row r="1364">
      <c r="A1364" s="17" t="inlineStr">
        <is>
          <t>ALL</t>
        </is>
      </c>
      <c r="B1364" s="18" t="inlineStr">
        <is>
          <t>Volvo S80</t>
        </is>
      </c>
      <c r="C1364" s="18" t="inlineStr">
        <is>
          <t>Volvo</t>
        </is>
      </c>
      <c r="D1364" s="18" t="inlineStr">
        <is>
          <t>S80</t>
        </is>
      </c>
      <c r="E1364" s="18" t="inlineStr">
        <is>
          <t>1999-2016</t>
        </is>
      </c>
      <c r="F1364" s="18" t="inlineStr"/>
      <c r="G1364" s="18" t="inlineStr">
        <is>
          <t>Sedan</t>
        </is>
      </c>
      <c r="H1364" s="18" t="inlineStr">
        <is>
          <t>3XL</t>
        </is>
      </c>
      <c r="I1364" s="19">
        <f t="array" ref="I1364">TRIM(_xlfn.XLOOKUP(非皮卡压缩表[[#This Row],[BACKSIZE]],ALL尺码表[内部尺码],ALL尺码表[分类],""))</f>
        <v/>
      </c>
      <c r="J1364" s="19">
        <f t="array" ref="J1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4" s="20">
        <f>LEN(非皮卡压缩表[[#This Row],[LONG-TYPE]])</f>
        <v/>
      </c>
      <c r="L1364" s="21">
        <f t="array" ref="L1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4" s="22">
        <f>LEN(非皮卡压缩表[[#This Row],[TYPE]])</f>
        <v/>
      </c>
      <c r="N1364" s="22">
        <f t="array" ref="N1364">_xlfn.XLOOKUP(非皮卡压缩表[[#This Row],[MODEL]],MODEL缩写表[长MODEL],MODEL缩写表[短MODEL],非皮卡压缩表[[#This Row],[MODEL]])</f>
        <v/>
      </c>
      <c r="O1364" s="22">
        <f>LEN(非皮卡压缩表[[#This Row],[SHORT-MODEL]])</f>
        <v/>
      </c>
      <c r="P1364" s="11">
        <f t="array" ref="P1364">TRIM(_xlfn.XLOOKUP(非皮卡压缩表[[#This Row],[BACKSIZE]],ALL尺码表[内部尺码],ALL尺码表[通用尺码]))</f>
        <v/>
      </c>
    </row>
    <row r="1365">
      <c r="A1365" s="17" t="inlineStr">
        <is>
          <t>ALL</t>
        </is>
      </c>
      <c r="B1365" s="18" t="inlineStr">
        <is>
          <t>Volvo S90</t>
        </is>
      </c>
      <c r="C1365" s="18" t="inlineStr">
        <is>
          <t>Volvo</t>
        </is>
      </c>
      <c r="D1365" s="18" t="inlineStr">
        <is>
          <t>S90</t>
        </is>
      </c>
      <c r="E1365" s="18" t="inlineStr">
        <is>
          <t>1997-1998</t>
        </is>
      </c>
      <c r="F1365" s="18" t="inlineStr"/>
      <c r="G1365" s="18" t="inlineStr">
        <is>
          <t>Sedan</t>
        </is>
      </c>
      <c r="H1365" s="18" t="inlineStr">
        <is>
          <t>3XL</t>
        </is>
      </c>
      <c r="I1365" s="19">
        <f t="array" ref="I1365">TRIM(_xlfn.XLOOKUP(非皮卡压缩表[[#This Row],[BACKSIZE]],ALL尺码表[内部尺码],ALL尺码表[分类],""))</f>
        <v/>
      </c>
      <c r="J1365" s="19">
        <f t="array" ref="J1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5" s="20">
        <f>LEN(非皮卡压缩表[[#This Row],[LONG-TYPE]])</f>
        <v/>
      </c>
      <c r="L1365" s="21">
        <f t="array" ref="L1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5" s="22">
        <f>LEN(非皮卡压缩表[[#This Row],[TYPE]])</f>
        <v/>
      </c>
      <c r="N1365" s="22">
        <f t="array" ref="N1365">_xlfn.XLOOKUP(非皮卡压缩表[[#This Row],[MODEL]],MODEL缩写表[长MODEL],MODEL缩写表[短MODEL],非皮卡压缩表[[#This Row],[MODEL]])</f>
        <v/>
      </c>
      <c r="O1365" s="22">
        <f>LEN(非皮卡压缩表[[#This Row],[SHORT-MODEL]])</f>
        <v/>
      </c>
      <c r="P1365" s="11">
        <f t="array" ref="P1365">TRIM(_xlfn.XLOOKUP(非皮卡压缩表[[#This Row],[BACKSIZE]],ALL尺码表[内部尺码],ALL尺码表[通用尺码]))</f>
        <v/>
      </c>
    </row>
    <row r="1366">
      <c r="A1366" s="17" t="inlineStr">
        <is>
          <t>ALL</t>
        </is>
      </c>
      <c r="B1366" s="18" t="inlineStr">
        <is>
          <t>Volvo S90</t>
        </is>
      </c>
      <c r="C1366" s="18" t="inlineStr">
        <is>
          <t>Volvo</t>
        </is>
      </c>
      <c r="D1366" s="18" t="inlineStr">
        <is>
          <t>S90</t>
        </is>
      </c>
      <c r="E1366" s="18" t="inlineStr">
        <is>
          <t>2017-2025</t>
        </is>
      </c>
      <c r="F1366" s="18" t="inlineStr"/>
      <c r="G1366" s="18" t="inlineStr">
        <is>
          <t>Sedan</t>
        </is>
      </c>
      <c r="H1366" s="18" t="inlineStr">
        <is>
          <t>3XXL</t>
        </is>
      </c>
      <c r="I1366" s="19">
        <f t="array" ref="I1366">TRIM(_xlfn.XLOOKUP(非皮卡压缩表[[#This Row],[BACKSIZE]],ALL尺码表[内部尺码],ALL尺码表[分类],""))</f>
        <v/>
      </c>
      <c r="J1366" s="19">
        <f t="array" ref="J1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6" s="20">
        <f>LEN(非皮卡压缩表[[#This Row],[LONG-TYPE]])</f>
        <v/>
      </c>
      <c r="L1366" s="21">
        <f t="array" ref="L1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6" s="22">
        <f>LEN(非皮卡压缩表[[#This Row],[TYPE]])</f>
        <v/>
      </c>
      <c r="N1366" s="22">
        <f t="array" ref="N1366">_xlfn.XLOOKUP(非皮卡压缩表[[#This Row],[MODEL]],MODEL缩写表[长MODEL],MODEL缩写表[短MODEL],非皮卡压缩表[[#This Row],[MODEL]])</f>
        <v/>
      </c>
      <c r="O1366" s="22">
        <f>LEN(非皮卡压缩表[[#This Row],[SHORT-MODEL]])</f>
        <v/>
      </c>
      <c r="P1366" s="11">
        <f t="array" ref="P1366">TRIM(_xlfn.XLOOKUP(非皮卡压缩表[[#This Row],[BACKSIZE]],ALL尺码表[内部尺码],ALL尺码表[通用尺码]))</f>
        <v/>
      </c>
    </row>
    <row r="1367">
      <c r="A1367" s="17" t="inlineStr">
        <is>
          <t>ALL</t>
        </is>
      </c>
      <c r="B1367" s="18" t="inlineStr">
        <is>
          <t>Volvo V40</t>
        </is>
      </c>
      <c r="C1367" s="18" t="inlineStr">
        <is>
          <t>Volvo</t>
        </is>
      </c>
      <c r="D1367" s="18" t="inlineStr">
        <is>
          <t>V40</t>
        </is>
      </c>
      <c r="E1367" s="18" t="inlineStr">
        <is>
          <t>2000-2001</t>
        </is>
      </c>
      <c r="F1367" s="18" t="inlineStr"/>
      <c r="G1367" s="18" t="inlineStr">
        <is>
          <t>Wagon</t>
        </is>
      </c>
      <c r="H1367" s="18" t="inlineStr">
        <is>
          <t>2L+</t>
        </is>
      </c>
      <c r="I1367" s="19">
        <f t="array" ref="I1367">TRIM(_xlfn.XLOOKUP(非皮卡压缩表[[#This Row],[BACKSIZE]],ALL尺码表[内部尺码],ALL尺码表[分类],""))</f>
        <v/>
      </c>
      <c r="J1367" s="19">
        <f t="array" ref="J1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7" s="20">
        <f>LEN(非皮卡压缩表[[#This Row],[LONG-TYPE]])</f>
        <v/>
      </c>
      <c r="L1367" s="21">
        <f t="array" ref="L1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7" s="22">
        <f>LEN(非皮卡压缩表[[#This Row],[TYPE]])</f>
        <v/>
      </c>
      <c r="N1367" s="22">
        <f t="array" ref="N1367">_xlfn.XLOOKUP(非皮卡压缩表[[#This Row],[MODEL]],MODEL缩写表[长MODEL],MODEL缩写表[短MODEL],非皮卡压缩表[[#This Row],[MODEL]])</f>
        <v/>
      </c>
      <c r="O1367" s="22">
        <f>LEN(非皮卡压缩表[[#This Row],[SHORT-MODEL]])</f>
        <v/>
      </c>
      <c r="P1367" s="11">
        <f t="array" ref="P1367">TRIM(_xlfn.XLOOKUP(非皮卡压缩表[[#This Row],[BACKSIZE]],ALL尺码表[内部尺码],ALL尺码表[通用尺码]))</f>
        <v/>
      </c>
    </row>
    <row r="1368">
      <c r="A1368" s="17" t="inlineStr">
        <is>
          <t>ALL</t>
        </is>
      </c>
      <c r="B1368" s="18" t="inlineStr">
        <is>
          <t>Volvo V40</t>
        </is>
      </c>
      <c r="C1368" s="18" t="inlineStr">
        <is>
          <t>Volvo</t>
        </is>
      </c>
      <c r="D1368" s="18" t="inlineStr">
        <is>
          <t>V40</t>
        </is>
      </c>
      <c r="E1368" s="18" t="inlineStr">
        <is>
          <t>2002-2003</t>
        </is>
      </c>
      <c r="F1368" s="18" t="inlineStr"/>
      <c r="G1368" s="18" t="inlineStr">
        <is>
          <t>Wagon</t>
        </is>
      </c>
      <c r="H1368" s="18" t="inlineStr">
        <is>
          <t>2XL</t>
        </is>
      </c>
      <c r="I1368" s="19">
        <f t="array" ref="I1368">TRIM(_xlfn.XLOOKUP(非皮卡压缩表[[#This Row],[BACKSIZE]],ALL尺码表[内部尺码],ALL尺码表[分类],""))</f>
        <v/>
      </c>
      <c r="J1368" s="19">
        <f t="array" ref="J1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8" s="20">
        <f>LEN(非皮卡压缩表[[#This Row],[LONG-TYPE]])</f>
        <v/>
      </c>
      <c r="L1368" s="21">
        <f t="array" ref="L1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8" s="22">
        <f>LEN(非皮卡压缩表[[#This Row],[TYPE]])</f>
        <v/>
      </c>
      <c r="N1368" s="22">
        <f t="array" ref="N1368">_xlfn.XLOOKUP(非皮卡压缩表[[#This Row],[MODEL]],MODEL缩写表[长MODEL],MODEL缩写表[短MODEL],非皮卡压缩表[[#This Row],[MODEL]])</f>
        <v/>
      </c>
      <c r="O1368" s="22">
        <f>LEN(非皮卡压缩表[[#This Row],[SHORT-MODEL]])</f>
        <v/>
      </c>
      <c r="P1368" s="11">
        <f t="array" ref="P1368">TRIM(_xlfn.XLOOKUP(非皮卡压缩表[[#This Row],[BACKSIZE]],ALL尺码表[内部尺码],ALL尺码表[通用尺码]))</f>
        <v/>
      </c>
    </row>
    <row r="1369">
      <c r="A1369" s="17" t="inlineStr">
        <is>
          <t>ALL</t>
        </is>
      </c>
      <c r="B1369" s="18" t="inlineStr">
        <is>
          <t>Volvo V40</t>
        </is>
      </c>
      <c r="C1369" s="18" t="inlineStr">
        <is>
          <t>Volvo</t>
        </is>
      </c>
      <c r="D1369" s="18" t="inlineStr">
        <is>
          <t>V40</t>
        </is>
      </c>
      <c r="E1369" s="18" t="inlineStr">
        <is>
          <t>2004</t>
        </is>
      </c>
      <c r="F1369" s="18" t="inlineStr"/>
      <c r="G1369" s="18" t="inlineStr">
        <is>
          <t>Wagon</t>
        </is>
      </c>
      <c r="H1369" s="18" t="inlineStr">
        <is>
          <t>2L+</t>
        </is>
      </c>
      <c r="I1369" s="19">
        <f t="array" ref="I1369">TRIM(_xlfn.XLOOKUP(非皮卡压缩表[[#This Row],[BACKSIZE]],ALL尺码表[内部尺码],ALL尺码表[分类],""))</f>
        <v/>
      </c>
      <c r="J1369" s="19">
        <f t="array" ref="J1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9" s="20">
        <f>LEN(非皮卡压缩表[[#This Row],[LONG-TYPE]])</f>
        <v/>
      </c>
      <c r="L1369" s="21">
        <f t="array" ref="L1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9" s="22">
        <f>LEN(非皮卡压缩表[[#This Row],[TYPE]])</f>
        <v/>
      </c>
      <c r="N1369" s="22">
        <f t="array" ref="N1369">_xlfn.XLOOKUP(非皮卡压缩表[[#This Row],[MODEL]],MODEL缩写表[长MODEL],MODEL缩写表[短MODEL],非皮卡压缩表[[#This Row],[MODEL]])</f>
        <v/>
      </c>
      <c r="O1369" s="22">
        <f>LEN(非皮卡压缩表[[#This Row],[SHORT-MODEL]])</f>
        <v/>
      </c>
      <c r="P1369" s="11">
        <f t="array" ref="P1369">TRIM(_xlfn.XLOOKUP(非皮卡压缩表[[#This Row],[BACKSIZE]],ALL尺码表[内部尺码],ALL尺码表[通用尺码]))</f>
        <v/>
      </c>
    </row>
    <row r="1370">
      <c r="A1370" s="17" t="inlineStr">
        <is>
          <t>ALL</t>
        </is>
      </c>
      <c r="B1370" s="18" t="inlineStr">
        <is>
          <t>Volvo V50</t>
        </is>
      </c>
      <c r="C1370" s="18" t="inlineStr">
        <is>
          <t>Volvo</t>
        </is>
      </c>
      <c r="D1370" s="18" t="inlineStr">
        <is>
          <t>V50</t>
        </is>
      </c>
      <c r="E1370" s="18" t="inlineStr">
        <is>
          <t>2005-2009</t>
        </is>
      </c>
      <c r="F1370" s="18" t="inlineStr"/>
      <c r="G1370" s="18" t="inlineStr">
        <is>
          <t>Wagon</t>
        </is>
      </c>
      <c r="H1370" s="18" t="inlineStr">
        <is>
          <t>2L+</t>
        </is>
      </c>
      <c r="I1370" s="19">
        <f t="array" ref="I1370">TRIM(_xlfn.XLOOKUP(非皮卡压缩表[[#This Row],[BACKSIZE]],ALL尺码表[内部尺码],ALL尺码表[分类],""))</f>
        <v/>
      </c>
      <c r="J1370" s="19">
        <f t="array" ref="J1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0" s="20">
        <f>LEN(非皮卡压缩表[[#This Row],[LONG-TYPE]])</f>
        <v/>
      </c>
      <c r="L1370" s="21">
        <f t="array" ref="L1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0" s="22">
        <f>LEN(非皮卡压缩表[[#This Row],[TYPE]])</f>
        <v/>
      </c>
      <c r="N1370" s="22">
        <f t="array" ref="N1370">_xlfn.XLOOKUP(非皮卡压缩表[[#This Row],[MODEL]],MODEL缩写表[长MODEL],MODEL缩写表[短MODEL],非皮卡压缩表[[#This Row],[MODEL]])</f>
        <v/>
      </c>
      <c r="O1370" s="22">
        <f>LEN(非皮卡压缩表[[#This Row],[SHORT-MODEL]])</f>
        <v/>
      </c>
      <c r="P1370" s="11">
        <f t="array" ref="P1370">TRIM(_xlfn.XLOOKUP(非皮卡压缩表[[#This Row],[BACKSIZE]],ALL尺码表[内部尺码],ALL尺码表[通用尺码]))</f>
        <v/>
      </c>
    </row>
    <row r="1371">
      <c r="A1371" s="17" t="inlineStr">
        <is>
          <t>ALL</t>
        </is>
      </c>
      <c r="B1371" s="18" t="inlineStr">
        <is>
          <t>Volvo V60</t>
        </is>
      </c>
      <c r="C1371" s="18" t="inlineStr">
        <is>
          <t>Volvo</t>
        </is>
      </c>
      <c r="D1371" s="18" t="inlineStr">
        <is>
          <t>V60</t>
        </is>
      </c>
      <c r="E1371" s="18" t="inlineStr">
        <is>
          <t>2015-2026</t>
        </is>
      </c>
      <c r="F1371" s="18" t="inlineStr">
        <is>
          <t>Incl: Cross Country</t>
        </is>
      </c>
      <c r="G1371" s="18" t="inlineStr">
        <is>
          <t>Wagon</t>
        </is>
      </c>
      <c r="H1371" s="18" t="inlineStr">
        <is>
          <t>2XL</t>
        </is>
      </c>
      <c r="I1371" s="19">
        <f t="array" ref="I1371">TRIM(_xlfn.XLOOKUP(非皮卡压缩表[[#This Row],[BACKSIZE]],ALL尺码表[内部尺码],ALL尺码表[分类],""))</f>
        <v/>
      </c>
      <c r="J1371" s="19">
        <f t="array" ref="J1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1" s="20">
        <f>LEN(非皮卡压缩表[[#This Row],[LONG-TYPE]])</f>
        <v/>
      </c>
      <c r="L1371" s="21">
        <f t="array" ref="L1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1" s="22">
        <f>LEN(非皮卡压缩表[[#This Row],[TYPE]])</f>
        <v/>
      </c>
      <c r="N1371" s="22">
        <f t="array" ref="N1371">_xlfn.XLOOKUP(非皮卡压缩表[[#This Row],[MODEL]],MODEL缩写表[长MODEL],MODEL缩写表[短MODEL],非皮卡压缩表[[#This Row],[MODEL]])</f>
        <v/>
      </c>
      <c r="O1371" s="22">
        <f>LEN(非皮卡压缩表[[#This Row],[SHORT-MODEL]])</f>
        <v/>
      </c>
      <c r="P1371" s="11">
        <f t="array" ref="P1371">TRIM(_xlfn.XLOOKUP(非皮卡压缩表[[#This Row],[BACKSIZE]],ALL尺码表[内部尺码],ALL尺码表[通用尺码]))</f>
        <v/>
      </c>
    </row>
    <row r="1372">
      <c r="A1372" s="17" t="inlineStr">
        <is>
          <t>ALL</t>
        </is>
      </c>
      <c r="B1372" s="18" t="inlineStr">
        <is>
          <t>Volvo V70</t>
        </is>
      </c>
      <c r="C1372" s="18" t="inlineStr">
        <is>
          <t>Volvo</t>
        </is>
      </c>
      <c r="D1372" s="18" t="inlineStr">
        <is>
          <t>V70</t>
        </is>
      </c>
      <c r="E1372" s="18" t="inlineStr">
        <is>
          <t>1998-2010</t>
        </is>
      </c>
      <c r="F1372" s="18" t="inlineStr">
        <is>
          <t>Incl: XC</t>
        </is>
      </c>
      <c r="G1372" s="18" t="inlineStr">
        <is>
          <t>Hatchback/Wagon</t>
        </is>
      </c>
      <c r="H1372" s="18" t="inlineStr">
        <is>
          <t>2XL</t>
        </is>
      </c>
      <c r="I1372" s="19">
        <f t="array" ref="I1372">TRIM(_xlfn.XLOOKUP(非皮卡压缩表[[#This Row],[BACKSIZE]],ALL尺码表[内部尺码],ALL尺码表[分类],""))</f>
        <v/>
      </c>
      <c r="J1372" s="19">
        <f t="array" ref="J1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2" s="20">
        <f>LEN(非皮卡压缩表[[#This Row],[LONG-TYPE]])</f>
        <v/>
      </c>
      <c r="L1372" s="21">
        <f t="array" ref="L1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2" s="22">
        <f>LEN(非皮卡压缩表[[#This Row],[TYPE]])</f>
        <v/>
      </c>
      <c r="N1372" s="22">
        <f t="array" ref="N1372">_xlfn.XLOOKUP(非皮卡压缩表[[#This Row],[MODEL]],MODEL缩写表[长MODEL],MODEL缩写表[短MODEL],非皮卡压缩表[[#This Row],[MODEL]])</f>
        <v/>
      </c>
      <c r="O1372" s="22">
        <f>LEN(非皮卡压缩表[[#This Row],[SHORT-MODEL]])</f>
        <v/>
      </c>
      <c r="P1372" s="11">
        <f t="array" ref="P1372">TRIM(_xlfn.XLOOKUP(非皮卡压缩表[[#This Row],[BACKSIZE]],ALL尺码表[内部尺码],ALL尺码表[通用尺码]))</f>
        <v/>
      </c>
    </row>
    <row r="1373">
      <c r="A1373" s="17" t="inlineStr">
        <is>
          <t>ALL</t>
        </is>
      </c>
      <c r="B1373" s="18" t="inlineStr">
        <is>
          <t>Volvo V90</t>
        </is>
      </c>
      <c r="C1373" s="18" t="inlineStr">
        <is>
          <t>Volvo</t>
        </is>
      </c>
      <c r="D1373" s="18" t="inlineStr">
        <is>
          <t>V90</t>
        </is>
      </c>
      <c r="E1373" s="18" t="inlineStr">
        <is>
          <t>1997-2026</t>
        </is>
      </c>
      <c r="F1373" s="18" t="inlineStr">
        <is>
          <t>Incl: Cross Country</t>
        </is>
      </c>
      <c r="G1373" s="18" t="inlineStr">
        <is>
          <t>Wagon</t>
        </is>
      </c>
      <c r="H1373" s="18" t="inlineStr">
        <is>
          <t>2XL+</t>
        </is>
      </c>
      <c r="I1373" s="19">
        <f t="array" ref="I1373">TRIM(_xlfn.XLOOKUP(非皮卡压缩表[[#This Row],[BACKSIZE]],ALL尺码表[内部尺码],ALL尺码表[分类],""))</f>
        <v/>
      </c>
      <c r="J1373" s="19">
        <f t="array" ref="J1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3" s="20">
        <f>LEN(非皮卡压缩表[[#This Row],[LONG-TYPE]])</f>
        <v/>
      </c>
      <c r="L1373" s="21">
        <f t="array" ref="L1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3" s="22">
        <f>LEN(非皮卡压缩表[[#This Row],[TYPE]])</f>
        <v/>
      </c>
      <c r="N1373" s="22">
        <f t="array" ref="N1373">_xlfn.XLOOKUP(非皮卡压缩表[[#This Row],[MODEL]],MODEL缩写表[长MODEL],MODEL缩写表[短MODEL],非皮卡压缩表[[#This Row],[MODEL]])</f>
        <v/>
      </c>
      <c r="O1373" s="22">
        <f>LEN(非皮卡压缩表[[#This Row],[SHORT-MODEL]])</f>
        <v/>
      </c>
      <c r="P1373" s="11">
        <f t="array" ref="P1373">TRIM(_xlfn.XLOOKUP(非皮卡压缩表[[#This Row],[BACKSIZE]],ALL尺码表[内部尺码],ALL尺码表[通用尺码]))</f>
        <v/>
      </c>
    </row>
    <row r="1374">
      <c r="A1374" s="17" t="inlineStr">
        <is>
          <t>ALL</t>
        </is>
      </c>
      <c r="B1374" s="18" t="inlineStr">
        <is>
          <t>Volvo XC40</t>
        </is>
      </c>
      <c r="C1374" s="18" t="inlineStr">
        <is>
          <t>Volvo</t>
        </is>
      </c>
      <c r="D1374" s="18" t="inlineStr">
        <is>
          <t>XC40</t>
        </is>
      </c>
      <c r="E1374" s="18" t="inlineStr">
        <is>
          <t>2019-2025</t>
        </is>
      </c>
      <c r="F1374" s="18" t="inlineStr"/>
      <c r="G1374" s="18" t="inlineStr">
        <is>
          <t>SUV</t>
        </is>
      </c>
      <c r="H1374" s="18" t="inlineStr">
        <is>
          <t>YM+</t>
        </is>
      </c>
      <c r="I1374" s="19">
        <f t="array" ref="I1374">TRIM(_xlfn.XLOOKUP(非皮卡压缩表[[#This Row],[BACKSIZE]],ALL尺码表[内部尺码],ALL尺码表[分类],""))</f>
        <v/>
      </c>
      <c r="J1374" s="19">
        <f t="array" ref="J1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4" s="20">
        <f>LEN(非皮卡压缩表[[#This Row],[LONG-TYPE]])</f>
        <v/>
      </c>
      <c r="L1374" s="21">
        <f t="array" ref="L1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4" s="22">
        <f>LEN(非皮卡压缩表[[#This Row],[TYPE]])</f>
        <v/>
      </c>
      <c r="N1374" s="22">
        <f t="array" ref="N1374">_xlfn.XLOOKUP(非皮卡压缩表[[#This Row],[MODEL]],MODEL缩写表[长MODEL],MODEL缩写表[短MODEL],非皮卡压缩表[[#This Row],[MODEL]])</f>
        <v/>
      </c>
      <c r="O1374" s="22">
        <f>LEN(非皮卡压缩表[[#This Row],[SHORT-MODEL]])</f>
        <v/>
      </c>
      <c r="P1374" s="11">
        <f t="array" ref="P1374">TRIM(_xlfn.XLOOKUP(非皮卡压缩表[[#This Row],[BACKSIZE]],ALL尺码表[内部尺码],ALL尺码表[通用尺码]))</f>
        <v/>
      </c>
    </row>
    <row r="1375">
      <c r="A1375" s="17" t="inlineStr">
        <is>
          <t>ALL</t>
        </is>
      </c>
      <c r="B1375" s="18" t="inlineStr">
        <is>
          <t>Volvo XC60</t>
        </is>
      </c>
      <c r="C1375" s="18" t="inlineStr">
        <is>
          <t>Volvo</t>
        </is>
      </c>
      <c r="D1375" s="18" t="inlineStr">
        <is>
          <t>XC60</t>
        </is>
      </c>
      <c r="E1375" s="18" t="inlineStr">
        <is>
          <t>2010-2026</t>
        </is>
      </c>
      <c r="F1375" s="18" t="inlineStr"/>
      <c r="G1375" s="18" t="inlineStr">
        <is>
          <t>SUV</t>
        </is>
      </c>
      <c r="H1375" s="18" t="inlineStr">
        <is>
          <t>YL</t>
        </is>
      </c>
      <c r="I1375" s="19">
        <f t="array" ref="I1375">TRIM(_xlfn.XLOOKUP(非皮卡压缩表[[#This Row],[BACKSIZE]],ALL尺码表[内部尺码],ALL尺码表[分类],""))</f>
        <v/>
      </c>
      <c r="J1375" s="19">
        <f t="array" ref="J1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5" s="20">
        <f>LEN(非皮卡压缩表[[#This Row],[LONG-TYPE]])</f>
        <v/>
      </c>
      <c r="L1375" s="21">
        <f t="array" ref="L1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5" s="22">
        <f>LEN(非皮卡压缩表[[#This Row],[TYPE]])</f>
        <v/>
      </c>
      <c r="N1375" s="22">
        <f t="array" ref="N1375">_xlfn.XLOOKUP(非皮卡压缩表[[#This Row],[MODEL]],MODEL缩写表[长MODEL],MODEL缩写表[短MODEL],非皮卡压缩表[[#This Row],[MODEL]])</f>
        <v/>
      </c>
      <c r="O1375" s="22">
        <f>LEN(非皮卡压缩表[[#This Row],[SHORT-MODEL]])</f>
        <v/>
      </c>
      <c r="P1375" s="11">
        <f t="array" ref="P1375">TRIM(_xlfn.XLOOKUP(非皮卡压缩表[[#This Row],[BACKSIZE]],ALL尺码表[内部尺码],ALL尺码表[通用尺码]))</f>
        <v/>
      </c>
    </row>
    <row r="1376">
      <c r="A1376" s="17" t="inlineStr">
        <is>
          <t>ALL</t>
        </is>
      </c>
      <c r="B1376" s="18" t="inlineStr">
        <is>
          <t>Volvo XC70</t>
        </is>
      </c>
      <c r="C1376" s="18" t="inlineStr">
        <is>
          <t>Volvo</t>
        </is>
      </c>
      <c r="D1376" s="18" t="inlineStr">
        <is>
          <t>XC70</t>
        </is>
      </c>
      <c r="E1376" s="18" t="inlineStr">
        <is>
          <t>2003-2007</t>
        </is>
      </c>
      <c r="F1376" s="18" t="inlineStr"/>
      <c r="G1376" s="18" t="inlineStr">
        <is>
          <t>Wagon</t>
        </is>
      </c>
      <c r="H1376" s="18" t="inlineStr">
        <is>
          <t>2XL</t>
        </is>
      </c>
      <c r="I1376" s="19">
        <f t="array" ref="I1376">TRIM(_xlfn.XLOOKUP(非皮卡压缩表[[#This Row],[BACKSIZE]],ALL尺码表[内部尺码],ALL尺码表[分类],""))</f>
        <v/>
      </c>
      <c r="J1376" s="19">
        <f t="array" ref="J1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6" s="20">
        <f>LEN(非皮卡压缩表[[#This Row],[LONG-TYPE]])</f>
        <v/>
      </c>
      <c r="L1376" s="21">
        <f t="array" ref="L1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6" s="22">
        <f>LEN(非皮卡压缩表[[#This Row],[TYPE]])</f>
        <v/>
      </c>
      <c r="N1376" s="22">
        <f t="array" ref="N1376">_xlfn.XLOOKUP(非皮卡压缩表[[#This Row],[MODEL]],MODEL缩写表[长MODEL],MODEL缩写表[短MODEL],非皮卡压缩表[[#This Row],[MODEL]])</f>
        <v/>
      </c>
      <c r="O1376" s="22">
        <f>LEN(非皮卡压缩表[[#This Row],[SHORT-MODEL]])</f>
        <v/>
      </c>
      <c r="P1376" s="11">
        <f t="array" ref="P1376">TRIM(_xlfn.XLOOKUP(非皮卡压缩表[[#This Row],[BACKSIZE]],ALL尺码表[内部尺码],ALL尺码表[通用尺码]))</f>
        <v/>
      </c>
    </row>
    <row r="1377">
      <c r="A1377" s="17" t="inlineStr">
        <is>
          <t>ALL</t>
        </is>
      </c>
      <c r="B1377" s="18" t="inlineStr">
        <is>
          <t>Volvo XC70</t>
        </is>
      </c>
      <c r="C1377" s="18" t="inlineStr">
        <is>
          <t>Volvo</t>
        </is>
      </c>
      <c r="D1377" s="18" t="inlineStr">
        <is>
          <t>XC70</t>
        </is>
      </c>
      <c r="E1377" s="18" t="inlineStr">
        <is>
          <t>2008-2016</t>
        </is>
      </c>
      <c r="F1377" s="18" t="inlineStr"/>
      <c r="G1377" s="18" t="inlineStr">
        <is>
          <t>Wagon</t>
        </is>
      </c>
      <c r="H1377" s="18" t="inlineStr">
        <is>
          <t>2XL+</t>
        </is>
      </c>
      <c r="I1377" s="19">
        <f t="array" ref="I1377">TRIM(_xlfn.XLOOKUP(非皮卡压缩表[[#This Row],[BACKSIZE]],ALL尺码表[内部尺码],ALL尺码表[分类],""))</f>
        <v/>
      </c>
      <c r="J1377" s="19">
        <f t="array" ref="J1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7" s="20">
        <f>LEN(非皮卡压缩表[[#This Row],[LONG-TYPE]])</f>
        <v/>
      </c>
      <c r="L1377" s="21">
        <f t="array" ref="L1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7" s="22">
        <f>LEN(非皮卡压缩表[[#This Row],[TYPE]])</f>
        <v/>
      </c>
      <c r="N1377" s="22">
        <f t="array" ref="N1377">_xlfn.XLOOKUP(非皮卡压缩表[[#This Row],[MODEL]],MODEL缩写表[长MODEL],MODEL缩写表[短MODEL],非皮卡压缩表[[#This Row],[MODEL]])</f>
        <v/>
      </c>
      <c r="O1377" s="22">
        <f>LEN(非皮卡压缩表[[#This Row],[SHORT-MODEL]])</f>
        <v/>
      </c>
      <c r="P1377" s="11">
        <f t="array" ref="P1377">TRIM(_xlfn.XLOOKUP(非皮卡压缩表[[#This Row],[BACKSIZE]],ALL尺码表[内部尺码],ALL尺码表[通用尺码]))</f>
        <v/>
      </c>
    </row>
    <row r="1378">
      <c r="A1378" s="17" t="inlineStr">
        <is>
          <t>ALL</t>
        </is>
      </c>
      <c r="B1378" s="18" t="inlineStr">
        <is>
          <t>Volvo XC90</t>
        </is>
      </c>
      <c r="C1378" s="18" t="inlineStr">
        <is>
          <t>Volvo</t>
        </is>
      </c>
      <c r="D1378" s="18" t="inlineStr">
        <is>
          <t>XC90</t>
        </is>
      </c>
      <c r="E1378" s="18" t="inlineStr">
        <is>
          <t>2003-2014</t>
        </is>
      </c>
      <c r="F1378" s="18" t="inlineStr"/>
      <c r="G1378" s="18" t="inlineStr">
        <is>
          <t>SUV</t>
        </is>
      </c>
      <c r="H1378" s="18" t="inlineStr">
        <is>
          <t>YL</t>
        </is>
      </c>
      <c r="I1378" s="19">
        <f t="array" ref="I1378">TRIM(_xlfn.XLOOKUP(非皮卡压缩表[[#This Row],[BACKSIZE]],ALL尺码表[内部尺码],ALL尺码表[分类],""))</f>
        <v/>
      </c>
      <c r="J1378" s="19">
        <f t="array" ref="J1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8" s="20">
        <f>LEN(非皮卡压缩表[[#This Row],[LONG-TYPE]])</f>
        <v/>
      </c>
      <c r="L1378" s="21">
        <f t="array" ref="L1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8" s="22">
        <f>LEN(非皮卡压缩表[[#This Row],[TYPE]])</f>
        <v/>
      </c>
      <c r="N1378" s="22">
        <f t="array" ref="N1378">_xlfn.XLOOKUP(非皮卡压缩表[[#This Row],[MODEL]],MODEL缩写表[长MODEL],MODEL缩写表[短MODEL],非皮卡压缩表[[#This Row],[MODEL]])</f>
        <v/>
      </c>
      <c r="O1378" s="22">
        <f>LEN(非皮卡压缩表[[#This Row],[SHORT-MODEL]])</f>
        <v/>
      </c>
      <c r="P1378" s="11">
        <f t="array" ref="P1378">TRIM(_xlfn.XLOOKUP(非皮卡压缩表[[#This Row],[BACKSIZE]],ALL尺码表[内部尺码],ALL尺码表[通用尺码]))</f>
        <v/>
      </c>
    </row>
    <row r="1379">
      <c r="A1379" s="17" t="inlineStr">
        <is>
          <t>ALL</t>
        </is>
      </c>
      <c r="B1379" s="18" t="inlineStr">
        <is>
          <t>Volvo XC90</t>
        </is>
      </c>
      <c r="C1379" s="18" t="inlineStr">
        <is>
          <t>Volvo</t>
        </is>
      </c>
      <c r="D1379" s="18" t="inlineStr">
        <is>
          <t>XC90</t>
        </is>
      </c>
      <c r="E1379" s="18" t="inlineStr">
        <is>
          <t>2016-2026</t>
        </is>
      </c>
      <c r="F1379" s="18" t="inlineStr"/>
      <c r="G1379" s="18" t="inlineStr">
        <is>
          <t>SUV</t>
        </is>
      </c>
      <c r="H1379" s="18" t="inlineStr">
        <is>
          <t>YXL</t>
        </is>
      </c>
      <c r="I1379" s="19">
        <f t="array" ref="I1379">TRIM(_xlfn.XLOOKUP(非皮卡压缩表[[#This Row],[BACKSIZE]],ALL尺码表[内部尺码],ALL尺码表[分类],""))</f>
        <v/>
      </c>
      <c r="J1379" s="19">
        <f t="array" ref="J1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9" s="20">
        <f>LEN(非皮卡压缩表[[#This Row],[LONG-TYPE]])</f>
        <v/>
      </c>
      <c r="L1379" s="21">
        <f t="array" ref="L1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9" s="22">
        <f>LEN(非皮卡压缩表[[#This Row],[TYPE]])</f>
        <v/>
      </c>
      <c r="N1379" s="22">
        <f t="array" ref="N1379">_xlfn.XLOOKUP(非皮卡压缩表[[#This Row],[MODEL]],MODEL缩写表[长MODEL],MODEL缩写表[短MODEL],非皮卡压缩表[[#This Row],[MODEL]])</f>
        <v/>
      </c>
      <c r="O1379" s="22">
        <f>LEN(非皮卡压缩表[[#This Row],[SHORT-MODEL]])</f>
        <v/>
      </c>
      <c r="P1379" s="11">
        <f t="array" ref="P1379">TRIM(_xlfn.XLOOKUP(非皮卡压缩表[[#This Row],[BACKSIZE]],ALL尺码表[内部尺码],ALL尺码表[通用尺码]))</f>
        <v/>
      </c>
    </row>
  </sheetData>
  <conditionalFormatting sqref="B2:P3409">
    <cfRule type="expression" priority="1505" dxfId="45">
      <formula>MOD(SUMPRODUCT(--($B$2:$B2&lt;&gt;$B$1:$B1)),2)=1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251">
    <outlinePr summaryBelow="1" summaryRight="1"/>
    <pageSetUpPr/>
  </sheetPr>
  <dimension ref="A1:M149"/>
  <sheetViews>
    <sheetView topLeftCell="B1" workbookViewId="0">
      <selection activeCell="J23" sqref="J23"/>
    </sheetView>
  </sheetViews>
  <sheetFormatPr baseColWidth="8" defaultColWidth="8.4" defaultRowHeight="14.25"/>
  <cols>
    <col width="7.31428571428571" customWidth="1" style="1" min="1" max="1"/>
    <col width="26.6285714285714" customWidth="1" style="2" min="2" max="2"/>
    <col width="19.0857142857143" customWidth="1" style="1" min="3" max="3"/>
    <col width="29.9142857142857" customWidth="1" style="2" min="4" max="4"/>
    <col width="23.647619047619" customWidth="1" style="2" min="5" max="5"/>
    <col width="25.047619047619" customWidth="1" style="2" min="6" max="6"/>
    <col width="20.6857142857143" customWidth="1" style="3" min="7" max="7"/>
    <col width="18.352380952381" customWidth="1" style="4" min="8" max="8"/>
    <col width="10.7333333333333" customWidth="1" style="3" min="9" max="9"/>
    <col width="16.6095238095238" customWidth="1" style="3" min="10" max="10"/>
    <col width="34.9238095238095" customWidth="1" style="3" min="11" max="11"/>
    <col width="17.7238095238095" customWidth="1" style="3" min="12" max="12"/>
    <col width="8.857142857142859" customWidth="1" style="3" min="13" max="13"/>
    <col width="8.4" customWidth="1" style="3" min="14" max="16378"/>
    <col width="8.4" customWidth="1" style="5" min="16379" max="16384"/>
  </cols>
  <sheetData>
    <row r="1" ht="13.85" customFormat="1" customHeight="1" s="1">
      <c r="A1" s="6" t="inlineStr">
        <is>
          <t>店铺</t>
        </is>
      </c>
      <c r="B1" s="7" t="inlineStr">
        <is>
          <t>MAKE</t>
        </is>
      </c>
      <c r="C1" s="7" t="inlineStr">
        <is>
          <t>MODEL</t>
        </is>
      </c>
      <c r="D1" s="7" t="inlineStr">
        <is>
          <t>YEAR</t>
        </is>
      </c>
      <c r="E1" s="7" t="inlineStr">
        <is>
          <t>VERSION</t>
        </is>
      </c>
      <c r="F1" s="7" t="inlineStr">
        <is>
          <t>CAB</t>
        </is>
      </c>
      <c r="G1" s="7" t="inlineStr">
        <is>
          <t>BED</t>
        </is>
      </c>
      <c r="H1" s="7" t="inlineStr">
        <is>
          <t>BACKSIZE</t>
        </is>
      </c>
      <c r="I1" s="6" t="inlineStr">
        <is>
          <t>CAB-LEN</t>
        </is>
      </c>
      <c r="J1" s="6" t="inlineStr">
        <is>
          <t>SHORT-CAB</t>
        </is>
      </c>
      <c r="K1" s="6" t="inlineStr">
        <is>
          <t>TITLE</t>
        </is>
      </c>
      <c r="L1" s="6" t="inlineStr">
        <is>
          <t>DESCRIPTION</t>
        </is>
      </c>
      <c r="M1" s="6" t="inlineStr">
        <is>
          <t>SIZE</t>
        </is>
      </c>
    </row>
    <row r="2" ht="13.85" customHeight="1" s="23">
      <c r="A2" s="8" t="inlineStr">
        <is>
          <t>ALL</t>
        </is>
      </c>
      <c r="B2" s="9" t="inlineStr">
        <is>
          <t>Cadillac</t>
        </is>
      </c>
      <c r="C2" s="9" t="inlineStr">
        <is>
          <t>Escalade EXT</t>
        </is>
      </c>
      <c r="D2" s="9" t="inlineStr">
        <is>
          <t>2002-2013</t>
        </is>
      </c>
      <c r="E2" s="9" t="inlineStr"/>
      <c r="F2" s="9" t="inlineStr">
        <is>
          <t>Crew</t>
        </is>
      </c>
      <c r="G2" s="9" t="inlineStr">
        <is>
          <t>5.3</t>
        </is>
      </c>
      <c r="H2" s="9" t="inlineStr">
        <is>
          <t>PK-L</t>
        </is>
      </c>
      <c r="I2" s="10">
        <f>LEN(皮卡压缩表[[#This Row],[CAB]])</f>
        <v/>
      </c>
      <c r="J2" s="10">
        <f t="array" ref="J2">_xlfn.XLOOKUP(皮卡压缩表[[#This Row],[CAB]],CAB缩写表[LONG-CAB],CAB缩写表[SHORT-CAB],皮卡压缩表[[#This Row],[CAB]])</f>
        <v/>
      </c>
      <c r="K2" s="19">
        <f t="array" ref="K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" s="19">
        <f>TRIM(_xlfn.XLOOKUP(皮卡压缩表[[#This Row],[MAKE]],皮卡前台名表[MAKE],皮卡前台名表[DESCRIPTION],""))</f>
        <v/>
      </c>
      <c r="M2" s="11">
        <f t="array" ref="M2">TRIM(_xlfn.XLOOKUP(皮卡压缩表[[#This Row],[BACKSIZE]],ALL尺码表[内部尺码],ALL尺码表[通用尺码],""))</f>
        <v/>
      </c>
    </row>
    <row r="3" ht="13.1" customHeight="1" s="23">
      <c r="A3" s="8" t="inlineStr">
        <is>
          <t>ALL</t>
        </is>
      </c>
      <c r="B3" s="9" t="inlineStr">
        <is>
          <t>Chevrolet</t>
        </is>
      </c>
      <c r="C3" s="9" t="inlineStr">
        <is>
          <t>C/K</t>
        </is>
      </c>
      <c r="D3" s="9" t="inlineStr">
        <is>
          <t>1960-1998</t>
        </is>
      </c>
      <c r="E3" s="9" t="inlineStr">
        <is>
          <t>Incl: R/V</t>
        </is>
      </c>
      <c r="F3" s="9" t="inlineStr">
        <is>
          <t>Regular</t>
        </is>
      </c>
      <c r="G3" s="9" t="inlineStr">
        <is>
          <t>6.5</t>
        </is>
      </c>
      <c r="H3" s="9" t="inlineStr">
        <is>
          <t>PK-M</t>
        </is>
      </c>
      <c r="I3" s="10">
        <f>LEN(皮卡压缩表[[#This Row],[CAB]])</f>
        <v/>
      </c>
      <c r="J3" s="10">
        <f t="array" ref="J3">_xlfn.XLOOKUP(皮卡压缩表[[#This Row],[CAB]],CAB缩写表[LONG-CAB],CAB缩写表[SHORT-CAB],皮卡压缩表[[#This Row],[CAB]])</f>
        <v/>
      </c>
      <c r="K3" s="19">
        <f t="array" ref="K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" s="19">
        <f>TRIM(_xlfn.XLOOKUP(皮卡压缩表[[#This Row],[MAKE]],皮卡前台名表[MAKE],皮卡前台名表[DESCRIPTION],""))</f>
        <v/>
      </c>
      <c r="M3" s="11">
        <f t="array" ref="M3">TRIM(_xlfn.XLOOKUP(皮卡压缩表[[#This Row],[BACKSIZE]],ALL尺码表[内部尺码],ALL尺码表[通用尺码],""))</f>
        <v/>
      </c>
    </row>
    <row r="4" ht="15.75" customHeight="1" s="23">
      <c r="A4" s="8" t="inlineStr">
        <is>
          <t>ALL</t>
        </is>
      </c>
      <c r="B4" s="9" t="inlineStr">
        <is>
          <t>Chevrolet</t>
        </is>
      </c>
      <c r="C4" s="9" t="inlineStr">
        <is>
          <t>C/K</t>
        </is>
      </c>
      <c r="D4" s="9" t="inlineStr">
        <is>
          <t>1968-2000</t>
        </is>
      </c>
      <c r="E4" s="9" t="inlineStr">
        <is>
          <t>Classic/Longhorn/R/V</t>
        </is>
      </c>
      <c r="F4" s="9" t="inlineStr">
        <is>
          <t>Regular</t>
        </is>
      </c>
      <c r="G4" s="9" t="inlineStr">
        <is>
          <t>8-8.5</t>
        </is>
      </c>
      <c r="H4" s="9" t="inlineStr">
        <is>
          <t>PK-M+</t>
        </is>
      </c>
      <c r="I4" s="10">
        <f>LEN(皮卡压缩表[[#This Row],[CAB]])</f>
        <v/>
      </c>
      <c r="J4" s="10">
        <f t="array" ref="J4">_xlfn.XLOOKUP(皮卡压缩表[[#This Row],[CAB]],CAB缩写表[LONG-CAB],CAB缩写表[SHORT-CAB],皮卡压缩表[[#This Row],[CAB]])</f>
        <v/>
      </c>
      <c r="K4" s="19">
        <f t="array" ref="K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" s="19">
        <f>TRIM(_xlfn.XLOOKUP(皮卡压缩表[[#This Row],[MAKE]],皮卡前台名表[MAKE],皮卡前台名表[DESCRIPTION],""))</f>
        <v/>
      </c>
      <c r="M4" s="11">
        <f t="array" ref="M4">TRIM(_xlfn.XLOOKUP(皮卡压缩表[[#This Row],[BACKSIZE]],ALL尺码表[内部尺码],ALL尺码表[通用尺码],""))</f>
        <v/>
      </c>
    </row>
    <row r="5" ht="15.75" customHeight="1" s="23">
      <c r="A5" s="8" t="inlineStr">
        <is>
          <t>ALL</t>
        </is>
      </c>
      <c r="B5" s="9" t="inlineStr">
        <is>
          <t>Chevrolet</t>
        </is>
      </c>
      <c r="C5" s="9" t="inlineStr">
        <is>
          <t>C/K</t>
        </is>
      </c>
      <c r="D5" s="9" t="inlineStr">
        <is>
          <t>1973-1991</t>
        </is>
      </c>
      <c r="E5" s="9" t="inlineStr">
        <is>
          <t>Incl: R/V</t>
        </is>
      </c>
      <c r="F5" s="9" t="inlineStr">
        <is>
          <t>Crew</t>
        </is>
      </c>
      <c r="G5" s="9" t="inlineStr">
        <is>
          <t>8</t>
        </is>
      </c>
      <c r="H5" s="9" t="inlineStr">
        <is>
          <t>PK-XXL</t>
        </is>
      </c>
      <c r="I5" s="10">
        <f>LEN(皮卡压缩表[[#This Row],[CAB]])</f>
        <v/>
      </c>
      <c r="J5" s="10">
        <f t="array" ref="J5">_xlfn.XLOOKUP(皮卡压缩表[[#This Row],[CAB]],CAB缩写表[LONG-CAB],CAB缩写表[SHORT-CAB],皮卡压缩表[[#This Row],[CAB]])</f>
        <v/>
      </c>
      <c r="K5" s="19">
        <f t="array" ref="K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" s="19">
        <f>TRIM(_xlfn.XLOOKUP(皮卡压缩表[[#This Row],[MAKE]],皮卡前台名表[MAKE],皮卡前台名表[DESCRIPTION],""))</f>
        <v/>
      </c>
      <c r="M5" s="11">
        <f t="array" ref="M5">TRIM(_xlfn.XLOOKUP(皮卡压缩表[[#This Row],[BACKSIZE]],ALL尺码表[内部尺码],ALL尺码表[通用尺码],""))</f>
        <v/>
      </c>
    </row>
    <row r="6" ht="15.75" customHeight="1" s="23">
      <c r="A6" s="8" t="inlineStr">
        <is>
          <t>ALL</t>
        </is>
      </c>
      <c r="B6" s="9" t="inlineStr">
        <is>
          <t>Chevrolet</t>
        </is>
      </c>
      <c r="C6" s="9" t="inlineStr">
        <is>
          <t>C/K</t>
        </is>
      </c>
      <c r="D6" s="9" t="inlineStr">
        <is>
          <t>1973-1998</t>
        </is>
      </c>
      <c r="E6" s="9" t="inlineStr"/>
      <c r="F6" s="9" t="inlineStr">
        <is>
          <t>Regular</t>
        </is>
      </c>
      <c r="G6" s="9" t="inlineStr">
        <is>
          <t>8</t>
        </is>
      </c>
      <c r="H6" s="9" t="inlineStr">
        <is>
          <t>PK-M+</t>
        </is>
      </c>
      <c r="I6" s="10">
        <f>LEN(皮卡压缩表[[#This Row],[CAB]])</f>
        <v/>
      </c>
      <c r="J6" s="10">
        <f t="array" ref="J6">_xlfn.XLOOKUP(皮卡压缩表[[#This Row],[CAB]],CAB缩写表[LONG-CAB],CAB缩写表[SHORT-CAB],皮卡压缩表[[#This Row],[CAB]])</f>
        <v/>
      </c>
      <c r="K6" s="19">
        <f t="array" ref="K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" s="19">
        <f>TRIM(_xlfn.XLOOKUP(皮卡压缩表[[#This Row],[MAKE]],皮卡前台名表[MAKE],皮卡前台名表[DESCRIPTION],""))</f>
        <v/>
      </c>
      <c r="M6" s="11">
        <f t="array" ref="M6">TRIM(_xlfn.XLOOKUP(皮卡压缩表[[#This Row],[BACKSIZE]],ALL尺码表[内部尺码],ALL尺码表[通用尺码],""))</f>
        <v/>
      </c>
    </row>
    <row r="7" ht="15.75" customHeight="1" s="23">
      <c r="A7" s="8" t="inlineStr">
        <is>
          <t>ALL</t>
        </is>
      </c>
      <c r="B7" s="9" t="inlineStr">
        <is>
          <t>Chevrolet</t>
        </is>
      </c>
      <c r="C7" s="9" t="inlineStr">
        <is>
          <t>C/K</t>
        </is>
      </c>
      <c r="D7" s="9" t="inlineStr">
        <is>
          <t>1973-2000</t>
        </is>
      </c>
      <c r="E7" s="9" t="inlineStr">
        <is>
          <t>Classic DRW/DRW/R/V DRW</t>
        </is>
      </c>
      <c r="F7" s="9" t="inlineStr">
        <is>
          <t>Crew/Regular/Extended</t>
        </is>
      </c>
      <c r="G7" s="9" t="inlineStr">
        <is>
          <t>6.5-8</t>
        </is>
      </c>
      <c r="H7" s="9" t="inlineStr">
        <is>
          <t>无可用尺码</t>
        </is>
      </c>
      <c r="I7" s="10">
        <f>LEN(皮卡压缩表[[#This Row],[CAB]])</f>
        <v/>
      </c>
      <c r="J7" s="10">
        <f t="array" ref="J7">_xlfn.XLOOKUP(皮卡压缩表[[#This Row],[CAB]],CAB缩写表[LONG-CAB],CAB缩写表[SHORT-CAB],皮卡压缩表[[#This Row],[CAB]])</f>
        <v/>
      </c>
      <c r="K7" s="19">
        <f t="array" ref="K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" s="19">
        <f>TRIM(_xlfn.XLOOKUP(皮卡压缩表[[#This Row],[MAKE]],皮卡前台名表[MAKE],皮卡前台名表[DESCRIPTION],""))</f>
        <v/>
      </c>
      <c r="M7" s="11">
        <f t="array" ref="M7">TRIM(_xlfn.XLOOKUP(皮卡压缩表[[#This Row],[BACKSIZE]],ALL尺码表[内部尺码],ALL尺码表[通用尺码],""))</f>
        <v/>
      </c>
    </row>
    <row r="8" ht="15.75" customHeight="1" s="23">
      <c r="A8" s="8" t="inlineStr">
        <is>
          <t>ALL</t>
        </is>
      </c>
      <c r="B8" s="9" t="inlineStr">
        <is>
          <t>Chevrolet</t>
        </is>
      </c>
      <c r="C8" s="9" t="inlineStr">
        <is>
          <t>C/K</t>
        </is>
      </c>
      <c r="D8" s="9" t="inlineStr">
        <is>
          <t>1988-2000</t>
        </is>
      </c>
      <c r="E8" s="9" t="inlineStr">
        <is>
          <t>Incl: Classic</t>
        </is>
      </c>
      <c r="F8" s="9" t="inlineStr">
        <is>
          <t>Extended</t>
        </is>
      </c>
      <c r="G8" s="9" t="inlineStr">
        <is>
          <t>8</t>
        </is>
      </c>
      <c r="H8" s="9" t="inlineStr">
        <is>
          <t>PK-XL+</t>
        </is>
      </c>
      <c r="I8" s="10">
        <f>LEN(皮卡压缩表[[#This Row],[CAB]])</f>
        <v/>
      </c>
      <c r="J8" s="10">
        <f t="array" ref="J8">_xlfn.XLOOKUP(皮卡压缩表[[#This Row],[CAB]],CAB缩写表[LONG-CAB],CAB缩写表[SHORT-CAB],皮卡压缩表[[#This Row],[CAB]])</f>
        <v/>
      </c>
      <c r="K8" s="19">
        <f t="array" ref="K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" s="19">
        <f>TRIM(_xlfn.XLOOKUP(皮卡压缩表[[#This Row],[MAKE]],皮卡前台名表[MAKE],皮卡前台名表[DESCRIPTION],""))</f>
        <v/>
      </c>
      <c r="M8" s="11">
        <f t="array" ref="M8">TRIM(_xlfn.XLOOKUP(皮卡压缩表[[#This Row],[BACKSIZE]],ALL尺码表[内部尺码],ALL尺码表[通用尺码],""))</f>
        <v/>
      </c>
    </row>
    <row r="9" ht="15.75" customHeight="1" s="23">
      <c r="A9" s="8" t="inlineStr">
        <is>
          <t>ALL</t>
        </is>
      </c>
      <c r="B9" s="9" t="inlineStr">
        <is>
          <t>Chevrolet</t>
        </is>
      </c>
      <c r="C9" s="9" t="inlineStr">
        <is>
          <t>C/K</t>
        </is>
      </c>
      <c r="D9" s="9" t="inlineStr">
        <is>
          <t>1989-1999</t>
        </is>
      </c>
      <c r="E9" s="9" t="inlineStr">
        <is>
          <t>Incl: Classic</t>
        </is>
      </c>
      <c r="F9" s="9" t="inlineStr">
        <is>
          <t>Extended</t>
        </is>
      </c>
      <c r="G9" s="9" t="inlineStr">
        <is>
          <t>6.5</t>
        </is>
      </c>
      <c r="H9" s="9" t="inlineStr">
        <is>
          <t>PK-M+</t>
        </is>
      </c>
      <c r="I9" s="10">
        <f>LEN(皮卡压缩表[[#This Row],[CAB]])</f>
        <v/>
      </c>
      <c r="J9" s="10">
        <f t="array" ref="J9">_xlfn.XLOOKUP(皮卡压缩表[[#This Row],[CAB]],CAB缩写表[LONG-CAB],CAB缩写表[SHORT-CAB],皮卡压缩表[[#This Row],[CAB]])</f>
        <v/>
      </c>
      <c r="K9" s="19">
        <f t="array" ref="K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" s="19">
        <f>TRIM(_xlfn.XLOOKUP(皮卡压缩表[[#This Row],[MAKE]],皮卡前台名表[MAKE],皮卡前台名表[DESCRIPTION],""))</f>
        <v/>
      </c>
      <c r="M9" s="11">
        <f t="array" ref="M9">TRIM(_xlfn.XLOOKUP(皮卡压缩表[[#This Row],[BACKSIZE]],ALL尺码表[内部尺码],ALL尺码表[通用尺码],""))</f>
        <v/>
      </c>
    </row>
    <row r="10" ht="15.75" customHeight="1" s="23">
      <c r="A10" s="8" t="inlineStr">
        <is>
          <t>ALL</t>
        </is>
      </c>
      <c r="B10" s="9" t="inlineStr">
        <is>
          <t>Chevrolet</t>
        </is>
      </c>
      <c r="C10" s="9" t="inlineStr">
        <is>
          <t>C/K</t>
        </is>
      </c>
      <c r="D10" s="9" t="inlineStr">
        <is>
          <t>1992-2000</t>
        </is>
      </c>
      <c r="E10" s="9" t="inlineStr">
        <is>
          <t>Incl: Classic</t>
        </is>
      </c>
      <c r="F10" s="9" t="inlineStr">
        <is>
          <t>Crew</t>
        </is>
      </c>
      <c r="G10" s="9" t="inlineStr">
        <is>
          <t>8</t>
        </is>
      </c>
      <c r="H10" s="9" t="inlineStr">
        <is>
          <t>PK-XXXL</t>
        </is>
      </c>
      <c r="I10" s="10">
        <f>LEN(皮卡压缩表[[#This Row],[CAB]])</f>
        <v/>
      </c>
      <c r="J10" s="10">
        <f t="array" ref="J10">_xlfn.XLOOKUP(皮卡压缩表[[#This Row],[CAB]],CAB缩写表[LONG-CAB],CAB缩写表[SHORT-CAB],皮卡压缩表[[#This Row],[CAB]])</f>
        <v/>
      </c>
      <c r="K10" s="19">
        <f t="array" ref="K1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" s="19">
        <f>TRIM(_xlfn.XLOOKUP(皮卡压缩表[[#This Row],[MAKE]],皮卡前台名表[MAKE],皮卡前台名表[DESCRIPTION],""))</f>
        <v/>
      </c>
      <c r="M10" s="11">
        <f t="array" ref="M10">TRIM(_xlfn.XLOOKUP(皮卡压缩表[[#This Row],[BACKSIZE]],ALL尺码表[内部尺码],ALL尺码表[通用尺码],""))</f>
        <v/>
      </c>
    </row>
    <row r="11" ht="15.75" customHeight="1" s="23">
      <c r="A11" s="8" t="inlineStr">
        <is>
          <t>ALL</t>
        </is>
      </c>
      <c r="B11" s="9" t="inlineStr">
        <is>
          <t>Chevrolet</t>
        </is>
      </c>
      <c r="C11" s="9" t="inlineStr">
        <is>
          <t>Colorado</t>
        </is>
      </c>
      <c r="D11" s="9" t="inlineStr">
        <is>
          <t>2004-2012</t>
        </is>
      </c>
      <c r="E11" s="9" t="inlineStr"/>
      <c r="F11" s="9" t="inlineStr">
        <is>
          <t>Crew/Extended/Regular</t>
        </is>
      </c>
      <c r="G11" s="9" t="inlineStr">
        <is>
          <t>5-6</t>
        </is>
      </c>
      <c r="H11" s="9" t="inlineStr">
        <is>
          <t>PK-M</t>
        </is>
      </c>
      <c r="I11" s="10">
        <f>LEN(皮卡压缩表[[#This Row],[CAB]])</f>
        <v/>
      </c>
      <c r="J11" s="10">
        <f t="array" ref="J11">_xlfn.XLOOKUP(皮卡压缩表[[#This Row],[CAB]],CAB缩写表[LONG-CAB],CAB缩写表[SHORT-CAB],皮卡压缩表[[#This Row],[CAB]])</f>
        <v/>
      </c>
      <c r="K11" s="19">
        <f t="array" ref="K1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" s="19">
        <f>TRIM(_xlfn.XLOOKUP(皮卡压缩表[[#This Row],[MAKE]],皮卡前台名表[MAKE],皮卡前台名表[DESCRIPTION],""))</f>
        <v/>
      </c>
      <c r="M11" s="11">
        <f t="array" ref="M11">TRIM(_xlfn.XLOOKUP(皮卡压缩表[[#This Row],[BACKSIZE]],ALL尺码表[内部尺码],ALL尺码表[通用尺码],""))</f>
        <v/>
      </c>
    </row>
    <row r="12" ht="15.75" customHeight="1" s="23">
      <c r="A12" s="8" t="inlineStr">
        <is>
          <t>ALL</t>
        </is>
      </c>
      <c r="B12" s="9" t="inlineStr">
        <is>
          <t>Chevrolet</t>
        </is>
      </c>
      <c r="C12" s="9" t="inlineStr">
        <is>
          <t>Colorado</t>
        </is>
      </c>
      <c r="D12" s="9" t="inlineStr">
        <is>
          <t>2015-2020</t>
        </is>
      </c>
      <c r="E12" s="9" t="inlineStr"/>
      <c r="F12" s="9" t="inlineStr">
        <is>
          <t>Extended</t>
        </is>
      </c>
      <c r="G12" s="9" t="inlineStr">
        <is>
          <t>6</t>
        </is>
      </c>
      <c r="H12" s="9" t="inlineStr">
        <is>
          <t>PK-M+</t>
        </is>
      </c>
      <c r="I12" s="10">
        <f>LEN(皮卡压缩表[[#This Row],[CAB]])</f>
        <v/>
      </c>
      <c r="J12" s="10">
        <f t="array" ref="J12">_xlfn.XLOOKUP(皮卡压缩表[[#This Row],[CAB]],CAB缩写表[LONG-CAB],CAB缩写表[SHORT-CAB],皮卡压缩表[[#This Row],[CAB]])</f>
        <v/>
      </c>
      <c r="K12" s="19">
        <f t="array" ref="K1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" s="19">
        <f>TRIM(_xlfn.XLOOKUP(皮卡压缩表[[#This Row],[MAKE]],皮卡前台名表[MAKE],皮卡前台名表[DESCRIPTION],""))</f>
        <v/>
      </c>
      <c r="M12" s="11">
        <f t="array" ref="M12">TRIM(_xlfn.XLOOKUP(皮卡压缩表[[#This Row],[BACKSIZE]],ALL尺码表[内部尺码],ALL尺码表[通用尺码],""))</f>
        <v/>
      </c>
    </row>
    <row r="13" ht="15.75" customHeight="1" s="23">
      <c r="A13" s="8" t="inlineStr">
        <is>
          <t>ALL</t>
        </is>
      </c>
      <c r="B13" s="9" t="inlineStr">
        <is>
          <t>Chevrolet</t>
        </is>
      </c>
      <c r="C13" s="9" t="inlineStr">
        <is>
          <t>Colorado</t>
        </is>
      </c>
      <c r="D13" s="9" t="inlineStr">
        <is>
          <t>2015-2022</t>
        </is>
      </c>
      <c r="E13" s="9" t="inlineStr">
        <is>
          <t>Incl: ZR2</t>
        </is>
      </c>
      <c r="F13" s="9" t="inlineStr">
        <is>
          <t>Crew</t>
        </is>
      </c>
      <c r="G13" s="9" t="inlineStr">
        <is>
          <t>5</t>
        </is>
      </c>
      <c r="H13" s="9" t="inlineStr">
        <is>
          <t>PK-M+</t>
        </is>
      </c>
      <c r="I13" s="10">
        <f>LEN(皮卡压缩表[[#This Row],[CAB]])</f>
        <v/>
      </c>
      <c r="J13" s="10">
        <f t="array" ref="J13">_xlfn.XLOOKUP(皮卡压缩表[[#This Row],[CAB]],CAB缩写表[LONG-CAB],CAB缩写表[SHORT-CAB],皮卡压缩表[[#This Row],[CAB]])</f>
        <v/>
      </c>
      <c r="K13" s="19">
        <f t="array" ref="K1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" s="19">
        <f>TRIM(_xlfn.XLOOKUP(皮卡压缩表[[#This Row],[MAKE]],皮卡前台名表[MAKE],皮卡前台名表[DESCRIPTION],""))</f>
        <v/>
      </c>
      <c r="M13" s="11">
        <f t="array" ref="M13">TRIM(_xlfn.XLOOKUP(皮卡压缩表[[#This Row],[BACKSIZE]],ALL尺码表[内部尺码],ALL尺码表[通用尺码],""))</f>
        <v/>
      </c>
    </row>
    <row r="14" ht="15.75" customHeight="1" s="23">
      <c r="A14" s="8" t="inlineStr">
        <is>
          <t>ALL</t>
        </is>
      </c>
      <c r="B14" s="9" t="inlineStr">
        <is>
          <t>Chevrolet</t>
        </is>
      </c>
      <c r="C14" s="9" t="inlineStr">
        <is>
          <t>Silverado 1500</t>
        </is>
      </c>
      <c r="D14" s="9" t="inlineStr">
        <is>
          <t>2009-2013</t>
        </is>
      </c>
      <c r="E14" s="9" t="inlineStr"/>
      <c r="F14" s="9" t="inlineStr">
        <is>
          <t>Crew/Extended</t>
        </is>
      </c>
      <c r="G14" s="9" t="inlineStr">
        <is>
          <t>5.8-6.5</t>
        </is>
      </c>
      <c r="H14" s="9" t="inlineStr">
        <is>
          <t>PK-XL+</t>
        </is>
      </c>
      <c r="I14" s="10">
        <f>LEN(皮卡压缩表[[#This Row],[CAB]])</f>
        <v/>
      </c>
      <c r="J14" s="10">
        <f t="array" ref="J14">_xlfn.XLOOKUP(皮卡压缩表[[#This Row],[CAB]],CAB缩写表[LONG-CAB],CAB缩写表[SHORT-CAB],皮卡压缩表[[#This Row],[CAB]])</f>
        <v/>
      </c>
      <c r="K14" s="19">
        <f t="array" ref="K1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" s="19">
        <f>TRIM(_xlfn.XLOOKUP(皮卡压缩表[[#This Row],[MAKE]],皮卡前台名表[MAKE],皮卡前台名表[DESCRIPTION],""))</f>
        <v/>
      </c>
      <c r="M14" s="11">
        <f t="array" ref="M14">TRIM(_xlfn.XLOOKUP(皮卡压缩表[[#This Row],[BACKSIZE]],ALL尺码表[内部尺码],ALL尺码表[通用尺码],""))</f>
        <v/>
      </c>
    </row>
    <row r="15" ht="15.75" customHeight="1" s="23">
      <c r="A15" s="8" t="inlineStr">
        <is>
          <t>ALL</t>
        </is>
      </c>
      <c r="B15" s="9" t="inlineStr">
        <is>
          <t>Chevrolet</t>
        </is>
      </c>
      <c r="C15" s="9" t="inlineStr">
        <is>
          <t>Silverado 1500</t>
        </is>
      </c>
      <c r="D15" s="9" t="inlineStr">
        <is>
          <t>2014-2018</t>
        </is>
      </c>
      <c r="E15" s="9" t="inlineStr"/>
      <c r="F15" s="9" t="inlineStr">
        <is>
          <t>Crew/Double</t>
        </is>
      </c>
      <c r="G15" s="9" t="inlineStr">
        <is>
          <t>5.8-6.6</t>
        </is>
      </c>
      <c r="H15" s="9" t="inlineStr">
        <is>
          <t>PK-L</t>
        </is>
      </c>
      <c r="I15" s="10">
        <f>LEN(皮卡压缩表[[#This Row],[CAB]])</f>
        <v/>
      </c>
      <c r="J15" s="10">
        <f t="array" ref="J15">_xlfn.XLOOKUP(皮卡压缩表[[#This Row],[CAB]],CAB缩写表[LONG-CAB],CAB缩写表[SHORT-CAB],皮卡压缩表[[#This Row],[CAB]])</f>
        <v/>
      </c>
      <c r="K15" s="19">
        <f t="array" ref="K1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" s="19">
        <f>TRIM(_xlfn.XLOOKUP(皮卡压缩表[[#This Row],[MAKE]],皮卡前台名表[MAKE],皮卡前台名表[DESCRIPTION],""))</f>
        <v/>
      </c>
      <c r="M15" s="11">
        <f t="array" ref="M15">TRIM(_xlfn.XLOOKUP(皮卡压缩表[[#This Row],[BACKSIZE]],ALL尺码表[内部尺码],ALL尺码表[通用尺码],""))</f>
        <v/>
      </c>
    </row>
    <row r="16" ht="15.75" customHeight="1" s="23">
      <c r="A16" s="8" t="inlineStr">
        <is>
          <t>ALL</t>
        </is>
      </c>
      <c r="B16" s="9" t="inlineStr">
        <is>
          <t>Chevrolet</t>
        </is>
      </c>
      <c r="C16" s="9" t="inlineStr">
        <is>
          <t>Silverado 1500</t>
        </is>
      </c>
      <c r="D16" s="9" t="inlineStr">
        <is>
          <t>2019-2026</t>
        </is>
      </c>
      <c r="E16" s="9" t="inlineStr">
        <is>
          <t>Incl: Trail Boss</t>
        </is>
      </c>
      <c r="F16" s="9" t="inlineStr">
        <is>
          <t>Crew/Double</t>
        </is>
      </c>
      <c r="G16" s="9" t="inlineStr">
        <is>
          <t>5.8-6.6</t>
        </is>
      </c>
      <c r="H16" s="9" t="inlineStr">
        <is>
          <t>PK-XL+</t>
        </is>
      </c>
      <c r="I16" s="10">
        <f>LEN(皮卡压缩表[[#This Row],[CAB]])</f>
        <v/>
      </c>
      <c r="J16" s="10">
        <f t="array" ref="J16">_xlfn.XLOOKUP(皮卡压缩表[[#This Row],[CAB]],CAB缩写表[LONG-CAB],CAB缩写表[SHORT-CAB],皮卡压缩表[[#This Row],[CAB]])</f>
        <v/>
      </c>
      <c r="K16" s="19">
        <f t="array" ref="K1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" s="19">
        <f>TRIM(_xlfn.XLOOKUP(皮卡压缩表[[#This Row],[MAKE]],皮卡前台名表[MAKE],皮卡前台名表[DESCRIPTION],""))</f>
        <v/>
      </c>
      <c r="M16" s="11">
        <f t="array" ref="M16">TRIM(_xlfn.XLOOKUP(皮卡压缩表[[#This Row],[BACKSIZE]],ALL尺码表[内部尺码],ALL尺码表[通用尺码],""))</f>
        <v/>
      </c>
    </row>
    <row r="17" ht="15.75" customHeight="1" s="23">
      <c r="A17" s="8" t="inlineStr">
        <is>
          <t>ALL</t>
        </is>
      </c>
      <c r="B17" s="9" t="inlineStr">
        <is>
          <t>Chevrolet</t>
        </is>
      </c>
      <c r="C17" s="9" t="inlineStr">
        <is>
          <t>Silverado 2500HD/3500HD</t>
        </is>
      </c>
      <c r="D17" s="9" t="inlineStr">
        <is>
          <t>2020-2024</t>
        </is>
      </c>
      <c r="E17" s="9" t="inlineStr"/>
      <c r="F17" s="9" t="inlineStr">
        <is>
          <t>Double</t>
        </is>
      </c>
      <c r="G17" s="9" t="inlineStr">
        <is>
          <t>6.8</t>
        </is>
      </c>
      <c r="H17" s="9" t="inlineStr">
        <is>
          <t>PK-XL+</t>
        </is>
      </c>
      <c r="I17" s="10">
        <f>LEN(皮卡压缩表[[#This Row],[CAB]])</f>
        <v/>
      </c>
      <c r="J17" s="10">
        <f t="array" ref="J17">_xlfn.XLOOKUP(皮卡压缩表[[#This Row],[CAB]],CAB缩写表[LONG-CAB],CAB缩写表[SHORT-CAB],皮卡压缩表[[#This Row],[CAB]])</f>
        <v/>
      </c>
      <c r="K17" s="19">
        <f t="array" ref="K1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" s="19">
        <f>TRIM(_xlfn.XLOOKUP(皮卡压缩表[[#This Row],[MAKE]],皮卡前台名表[MAKE],皮卡前台名表[DESCRIPTION],""))</f>
        <v/>
      </c>
      <c r="M17" s="11">
        <f t="array" ref="M17">TRIM(_xlfn.XLOOKUP(皮卡压缩表[[#This Row],[BACKSIZE]],ALL尺码表[内部尺码],ALL尺码表[通用尺码],""))</f>
        <v/>
      </c>
    </row>
    <row r="18" ht="15.75" customHeight="1" s="23">
      <c r="A18" s="8" t="inlineStr">
        <is>
          <t>ALL</t>
        </is>
      </c>
      <c r="B18" s="9" t="inlineStr">
        <is>
          <t>Chevrolet</t>
        </is>
      </c>
      <c r="C18" s="9" t="inlineStr">
        <is>
          <t>Silverado 2500HD/3500HD</t>
        </is>
      </c>
      <c r="D18" s="9" t="inlineStr">
        <is>
          <t>2020-2026</t>
        </is>
      </c>
      <c r="E18" s="9" t="inlineStr"/>
      <c r="F18" s="9" t="inlineStr">
        <is>
          <t>Crew</t>
        </is>
      </c>
      <c r="G18" s="9" t="inlineStr">
        <is>
          <t>6.8</t>
        </is>
      </c>
      <c r="H18" s="9" t="inlineStr">
        <is>
          <t>PK-XXL</t>
        </is>
      </c>
      <c r="I18" s="10">
        <f>LEN(皮卡压缩表[[#This Row],[CAB]])</f>
        <v/>
      </c>
      <c r="J18" s="10">
        <f t="array" ref="J18">_xlfn.XLOOKUP(皮卡压缩表[[#This Row],[CAB]],CAB缩写表[LONG-CAB],CAB缩写表[SHORT-CAB],皮卡压缩表[[#This Row],[CAB]])</f>
        <v/>
      </c>
      <c r="K18" s="19">
        <f t="array" ref="K1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" s="19">
        <f>TRIM(_xlfn.XLOOKUP(皮卡压缩表[[#This Row],[MAKE]],皮卡前台名表[MAKE],皮卡前台名表[DESCRIPTION],""))</f>
        <v/>
      </c>
      <c r="M18" s="11">
        <f t="array" ref="M18">TRIM(_xlfn.XLOOKUP(皮卡压缩表[[#This Row],[BACKSIZE]],ALL尺码表[内部尺码],ALL尺码表[通用尺码],""))</f>
        <v/>
      </c>
    </row>
    <row r="19" ht="15.75" customHeight="1" s="23">
      <c r="A19" s="8" t="inlineStr">
        <is>
          <t>ALL</t>
        </is>
      </c>
      <c r="B19" s="9" t="inlineStr">
        <is>
          <t>Chevrolet</t>
        </is>
      </c>
      <c r="C19" s="9" t="inlineStr">
        <is>
          <t>C/K</t>
        </is>
      </c>
      <c r="D19" s="9" t="inlineStr">
        <is>
          <t>1960-1966</t>
        </is>
      </c>
      <c r="E19" s="9" t="inlineStr"/>
      <c r="F19" s="9" t="inlineStr">
        <is>
          <t>Regular</t>
        </is>
      </c>
      <c r="G19" s="9" t="inlineStr">
        <is>
          <t>9</t>
        </is>
      </c>
      <c r="H19" s="9" t="inlineStr">
        <is>
          <t>PK-M+</t>
        </is>
      </c>
      <c r="I19" s="10">
        <f>LEN(皮卡压缩表[[#This Row],[CAB]])</f>
        <v/>
      </c>
      <c r="J19" s="10">
        <f t="array" ref="J19">_xlfn.XLOOKUP(皮卡压缩表[[#This Row],[CAB]],CAB缩写表[LONG-CAB],CAB缩写表[SHORT-CAB],皮卡压缩表[[#This Row],[CAB]])</f>
        <v/>
      </c>
      <c r="K19" s="19">
        <f t="array" ref="K1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" s="19">
        <f>TRIM(_xlfn.XLOOKUP(皮卡压缩表[[#This Row],[MAKE]],皮卡前台名表[MAKE],皮卡前台名表[DESCRIPTION],""))</f>
        <v/>
      </c>
      <c r="M19" s="11">
        <f t="array" ref="M19">TRIM(_xlfn.XLOOKUP(皮卡压缩表[[#This Row],[BACKSIZE]],ALL尺码表[内部尺码],ALL尺码表[通用尺码],""))</f>
        <v/>
      </c>
    </row>
    <row r="20" ht="15.75" customHeight="1" s="23">
      <c r="A20" s="8" t="inlineStr">
        <is>
          <t>ALL</t>
        </is>
      </c>
      <c r="B20" s="9" t="inlineStr">
        <is>
          <t>Chevrolet</t>
        </is>
      </c>
      <c r="C20" s="9" t="inlineStr">
        <is>
          <t>C/K</t>
        </is>
      </c>
      <c r="D20" s="9" t="inlineStr">
        <is>
          <t>1960-1972</t>
        </is>
      </c>
      <c r="E20" s="9" t="inlineStr"/>
      <c r="F20" s="9" t="inlineStr">
        <is>
          <t>Regular</t>
        </is>
      </c>
      <c r="G20" s="9" t="inlineStr">
        <is>
          <t>8</t>
        </is>
      </c>
      <c r="H20" s="9" t="inlineStr">
        <is>
          <t>PK-M</t>
        </is>
      </c>
      <c r="I20" s="10">
        <f>LEN(皮卡压缩表[[#This Row],[CAB]])</f>
        <v/>
      </c>
      <c r="J20" s="10">
        <f t="array" ref="J20">_xlfn.XLOOKUP(皮卡压缩表[[#This Row],[CAB]],CAB缩写表[LONG-CAB],CAB缩写表[SHORT-CAB],皮卡压缩表[[#This Row],[CAB]])</f>
        <v/>
      </c>
      <c r="K20" s="19">
        <f t="array" ref="K2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" s="19">
        <f>TRIM(_xlfn.XLOOKUP(皮卡压缩表[[#This Row],[MAKE]],皮卡前台名表[MAKE],皮卡前台名表[DESCRIPTION],""))</f>
        <v/>
      </c>
      <c r="M20" s="11">
        <f t="array" ref="M20">TRIM(_xlfn.XLOOKUP(皮卡压缩表[[#This Row],[BACKSIZE]],ALL尺码表[内部尺码],ALL尺码表[通用尺码],""))</f>
        <v/>
      </c>
    </row>
    <row r="21" ht="15.75" customHeight="1" s="23">
      <c r="A21" s="8" t="inlineStr">
        <is>
          <t>ALL</t>
        </is>
      </c>
      <c r="B21" s="9" t="inlineStr">
        <is>
          <t>Chevrolet</t>
        </is>
      </c>
      <c r="C21" s="9" t="inlineStr">
        <is>
          <t>C/K</t>
        </is>
      </c>
      <c r="D21" s="9" t="inlineStr">
        <is>
          <t>1967-1972</t>
        </is>
      </c>
      <c r="E21" s="9" t="inlineStr"/>
      <c r="F21" s="9" t="inlineStr">
        <is>
          <t>Regular</t>
        </is>
      </c>
      <c r="G21" s="9" t="inlineStr">
        <is>
          <t>9</t>
        </is>
      </c>
      <c r="H21" s="9" t="inlineStr">
        <is>
          <t>PK-XL</t>
        </is>
      </c>
      <c r="I21" s="10">
        <f>LEN(皮卡压缩表[[#This Row],[CAB]])</f>
        <v/>
      </c>
      <c r="J21" s="10">
        <f t="array" ref="J21">_xlfn.XLOOKUP(皮卡压缩表[[#This Row],[CAB]],CAB缩写表[LONG-CAB],CAB缩写表[SHORT-CAB],皮卡压缩表[[#This Row],[CAB]])</f>
        <v/>
      </c>
      <c r="K21" s="19">
        <f t="array" ref="K2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" s="19">
        <f>TRIM(_xlfn.XLOOKUP(皮卡压缩表[[#This Row],[MAKE]],皮卡前台名表[MAKE],皮卡前台名表[DESCRIPTION],""))</f>
        <v/>
      </c>
      <c r="M21" s="11">
        <f t="array" ref="M21">TRIM(_xlfn.XLOOKUP(皮卡压缩表[[#This Row],[BACKSIZE]],ALL尺码表[内部尺码],ALL尺码表[通用尺码],""))</f>
        <v/>
      </c>
    </row>
    <row r="22" ht="15.75" customHeight="1" s="23">
      <c r="A22" s="8" t="inlineStr">
        <is>
          <t>ALL</t>
        </is>
      </c>
      <c r="B22" s="9" t="inlineStr">
        <is>
          <t>Chevrolet</t>
        </is>
      </c>
      <c r="C22" s="9" t="inlineStr">
        <is>
          <t>C/K</t>
        </is>
      </c>
      <c r="D22" s="9" t="inlineStr">
        <is>
          <t>1999-2000</t>
        </is>
      </c>
      <c r="E22" s="9" t="inlineStr">
        <is>
          <t>Classic</t>
        </is>
      </c>
      <c r="F22" s="9" t="inlineStr">
        <is>
          <t>Crew</t>
        </is>
      </c>
      <c r="G22" s="9" t="inlineStr">
        <is>
          <t>6.5</t>
        </is>
      </c>
      <c r="H22" s="9" t="inlineStr">
        <is>
          <t>PK-XL+</t>
        </is>
      </c>
      <c r="I22" s="10">
        <f>LEN(皮卡压缩表[[#This Row],[CAB]])</f>
        <v/>
      </c>
      <c r="J22" s="10">
        <f t="array" ref="J22">_xlfn.XLOOKUP(皮卡压缩表[[#This Row],[CAB]],CAB缩写表[LONG-CAB],CAB缩写表[SHORT-CAB],皮卡压缩表[[#This Row],[CAB]])</f>
        <v/>
      </c>
      <c r="K22" s="19">
        <f t="array" ref="K2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" s="19">
        <f>TRIM(_xlfn.XLOOKUP(皮卡压缩表[[#This Row],[MAKE]],皮卡前台名表[MAKE],皮卡前台名表[DESCRIPTION],""))</f>
        <v/>
      </c>
      <c r="M22" s="11">
        <f t="array" ref="M22">TRIM(_xlfn.XLOOKUP(皮卡压缩表[[#This Row],[BACKSIZE]],ALL尺码表[内部尺码],ALL尺码表[通用尺码],""))</f>
        <v/>
      </c>
    </row>
    <row r="23" ht="15.75" customHeight="1" s="23">
      <c r="A23" s="8" t="inlineStr">
        <is>
          <t>ALL</t>
        </is>
      </c>
      <c r="B23" s="9" t="inlineStr">
        <is>
          <t>Chevrolet</t>
        </is>
      </c>
      <c r="C23" s="9" t="inlineStr">
        <is>
          <t>Chevrolet C/K</t>
        </is>
      </c>
      <c r="D23" s="9" t="inlineStr">
        <is>
          <t>1999-2000</t>
        </is>
      </c>
      <c r="E23" s="9" t="inlineStr">
        <is>
          <t>DRW</t>
        </is>
      </c>
      <c r="F23" s="9" t="inlineStr">
        <is>
          <t>Crew</t>
        </is>
      </c>
      <c r="G23" s="9" t="inlineStr">
        <is>
          <t>8</t>
        </is>
      </c>
      <c r="H23" s="9" t="inlineStr">
        <is>
          <t>无可用尺码</t>
        </is>
      </c>
      <c r="I23" s="10">
        <f>LEN(皮卡压缩表[[#This Row],[CAB]])</f>
        <v/>
      </c>
      <c r="J23" s="10">
        <f t="array" ref="J23">_xlfn.XLOOKUP(皮卡压缩表[[#This Row],[CAB]],CAB缩写表[LONG-CAB],CAB缩写表[SHORT-CAB],皮卡压缩表[[#This Row],[CAB]])</f>
        <v/>
      </c>
      <c r="K23" s="19">
        <f t="array" ref="K2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" s="19">
        <f>TRIM(_xlfn.XLOOKUP(皮卡压缩表[[#This Row],[MAKE]],皮卡前台名表[MAKE],皮卡前台名表[DESCRIPTION],""))</f>
        <v/>
      </c>
      <c r="M23" s="11">
        <f t="array" ref="M23">TRIM(_xlfn.XLOOKUP(皮卡压缩表[[#This Row],[BACKSIZE]],ALL尺码表[内部尺码],ALL尺码表[通用尺码],""))</f>
        <v/>
      </c>
    </row>
    <row r="24" ht="15.75" customHeight="1" s="23">
      <c r="A24" s="8" t="inlineStr">
        <is>
          <t>ALL</t>
        </is>
      </c>
      <c r="B24" s="9" t="inlineStr">
        <is>
          <t>Chevrolet</t>
        </is>
      </c>
      <c r="C24" s="9" t="inlineStr">
        <is>
          <t>Colorado</t>
        </is>
      </c>
      <c r="D24" s="9" t="inlineStr">
        <is>
          <t>2015-2022</t>
        </is>
      </c>
      <c r="E24" s="9" t="inlineStr"/>
      <c r="F24" s="9" t="inlineStr">
        <is>
          <t>Crew</t>
        </is>
      </c>
      <c r="G24" s="9" t="inlineStr">
        <is>
          <t>6</t>
        </is>
      </c>
      <c r="H24" s="9" t="inlineStr">
        <is>
          <t>PK-L</t>
        </is>
      </c>
      <c r="I24" s="10">
        <f>LEN(皮卡压缩表[[#This Row],[CAB]])</f>
        <v/>
      </c>
      <c r="J24" s="10">
        <f t="array" ref="J24">_xlfn.XLOOKUP(皮卡压缩表[[#This Row],[CAB]],CAB缩写表[LONG-CAB],CAB缩写表[SHORT-CAB],皮卡压缩表[[#This Row],[CAB]])</f>
        <v/>
      </c>
      <c r="K24" s="19">
        <f t="array" ref="K2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" s="19">
        <f>TRIM(_xlfn.XLOOKUP(皮卡压缩表[[#This Row],[MAKE]],皮卡前台名表[MAKE],皮卡前台名表[DESCRIPTION],""))</f>
        <v/>
      </c>
      <c r="M24" s="11">
        <f t="array" ref="M24">TRIM(_xlfn.XLOOKUP(皮卡压缩表[[#This Row],[BACKSIZE]],ALL尺码表[内部尺码],ALL尺码表[通用尺码],""))</f>
        <v/>
      </c>
    </row>
    <row r="25" ht="15.75" customHeight="1" s="23">
      <c r="A25" s="8" t="inlineStr">
        <is>
          <t>ALL</t>
        </is>
      </c>
      <c r="B25" s="9" t="inlineStr">
        <is>
          <t>Chevrolet</t>
        </is>
      </c>
      <c r="C25" s="9" t="inlineStr">
        <is>
          <t>Colorado</t>
        </is>
      </c>
      <c r="D25" s="9" t="inlineStr">
        <is>
          <t>2023-2026</t>
        </is>
      </c>
      <c r="E25" s="9" t="inlineStr"/>
      <c r="F25" s="9" t="inlineStr">
        <is>
          <t>Crew</t>
        </is>
      </c>
      <c r="G25" s="9" t="inlineStr">
        <is>
          <t>5</t>
        </is>
      </c>
      <c r="H25" s="9" t="inlineStr">
        <is>
          <t>PK-L</t>
        </is>
      </c>
      <c r="I25" s="10">
        <f>LEN(皮卡压缩表[[#This Row],[CAB]])</f>
        <v/>
      </c>
      <c r="J25" s="10">
        <f t="array" ref="J25">_xlfn.XLOOKUP(皮卡压缩表[[#This Row],[CAB]],CAB缩写表[LONG-CAB],CAB缩写表[SHORT-CAB],皮卡压缩表[[#This Row],[CAB]])</f>
        <v/>
      </c>
      <c r="K25" s="19">
        <f t="array" ref="K2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" s="19">
        <f>TRIM(_xlfn.XLOOKUP(皮卡压缩表[[#This Row],[MAKE]],皮卡前台名表[MAKE],皮卡前台名表[DESCRIPTION],""))</f>
        <v/>
      </c>
      <c r="M25" s="11">
        <f t="array" ref="M25">TRIM(_xlfn.XLOOKUP(皮卡压缩表[[#This Row],[BACKSIZE]],ALL尺码表[内部尺码],ALL尺码表[通用尺码],""))</f>
        <v/>
      </c>
    </row>
    <row r="26" ht="15.75" customHeight="1" s="23">
      <c r="A26" s="8" t="inlineStr">
        <is>
          <t>ALL</t>
        </is>
      </c>
      <c r="B26" s="9" t="inlineStr">
        <is>
          <t>Chevrolet</t>
        </is>
      </c>
      <c r="C26" s="9" t="inlineStr">
        <is>
          <t>Colorado</t>
        </is>
      </c>
      <c r="D26" s="9" t="inlineStr">
        <is>
          <t>2023-2026</t>
        </is>
      </c>
      <c r="E26" s="9" t="inlineStr">
        <is>
          <t>ZR2</t>
        </is>
      </c>
      <c r="F26" s="9" t="inlineStr">
        <is>
          <t>Crew</t>
        </is>
      </c>
      <c r="G26" s="9" t="inlineStr">
        <is>
          <t>5</t>
        </is>
      </c>
      <c r="H26" s="9" t="inlineStr">
        <is>
          <t>无可用尺码</t>
        </is>
      </c>
      <c r="I26" s="10">
        <f>LEN(皮卡压缩表[[#This Row],[CAB]])</f>
        <v/>
      </c>
      <c r="J26" s="10">
        <f t="array" ref="J26">_xlfn.XLOOKUP(皮卡压缩表[[#This Row],[CAB]],CAB缩写表[LONG-CAB],CAB缩写表[SHORT-CAB],皮卡压缩表[[#This Row],[CAB]])</f>
        <v/>
      </c>
      <c r="K26" s="19">
        <f t="array" ref="K2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" s="19">
        <f>TRIM(_xlfn.XLOOKUP(皮卡压缩表[[#This Row],[MAKE]],皮卡前台名表[MAKE],皮卡前台名表[DESCRIPTION],""))</f>
        <v/>
      </c>
      <c r="M26" s="11">
        <f t="array" ref="M26">TRIM(_xlfn.XLOOKUP(皮卡压缩表[[#This Row],[BACKSIZE]],ALL尺码表[内部尺码],ALL尺码表[通用尺码],""))</f>
        <v/>
      </c>
    </row>
    <row r="27" ht="15.75" customHeight="1" s="23">
      <c r="A27" s="8" t="inlineStr">
        <is>
          <t>ALL</t>
        </is>
      </c>
      <c r="B27" s="9" t="inlineStr">
        <is>
          <t>Chevrolet</t>
        </is>
      </c>
      <c r="C27" s="9" t="inlineStr">
        <is>
          <t>Silverado 1500</t>
        </is>
      </c>
      <c r="D27" s="9" t="inlineStr">
        <is>
          <t>1999-2008</t>
        </is>
      </c>
      <c r="E27" s="9" t="inlineStr"/>
      <c r="F27" s="9" t="inlineStr">
        <is>
          <t>Extended</t>
        </is>
      </c>
      <c r="G27" s="9" t="inlineStr">
        <is>
          <t>6.5</t>
        </is>
      </c>
      <c r="H27" s="9" t="inlineStr">
        <is>
          <t>PK-L</t>
        </is>
      </c>
      <c r="I27" s="10">
        <f>LEN(皮卡压缩表[[#This Row],[CAB]])</f>
        <v/>
      </c>
      <c r="J27" s="10">
        <f t="array" ref="J27">_xlfn.XLOOKUP(皮卡压缩表[[#This Row],[CAB]],CAB缩写表[LONG-CAB],CAB缩写表[SHORT-CAB],皮卡压缩表[[#This Row],[CAB]])</f>
        <v/>
      </c>
      <c r="K27" s="19">
        <f t="array" ref="K2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" s="19">
        <f>TRIM(_xlfn.XLOOKUP(皮卡压缩表[[#This Row],[MAKE]],皮卡前台名表[MAKE],皮卡前台名表[DESCRIPTION],""))</f>
        <v/>
      </c>
      <c r="M27" s="11">
        <f t="array" ref="M27">TRIM(_xlfn.XLOOKUP(皮卡压缩表[[#This Row],[BACKSIZE]],ALL尺码表[内部尺码],ALL尺码表[通用尺码],""))</f>
        <v/>
      </c>
    </row>
    <row r="28" ht="15.75" customHeight="1" s="23">
      <c r="A28" s="8" t="inlineStr">
        <is>
          <t>ALL</t>
        </is>
      </c>
      <c r="B28" s="9" t="inlineStr">
        <is>
          <t>Chevrolet</t>
        </is>
      </c>
      <c r="C28" s="9" t="inlineStr">
        <is>
          <t>Silverado 1500</t>
        </is>
      </c>
      <c r="D28" s="9" t="inlineStr">
        <is>
          <t>1999-2013</t>
        </is>
      </c>
      <c r="E28" s="9" t="inlineStr"/>
      <c r="F28" s="9" t="inlineStr">
        <is>
          <t>Extended</t>
        </is>
      </c>
      <c r="G28" s="9" t="inlineStr">
        <is>
          <t>8</t>
        </is>
      </c>
      <c r="H28" s="9" t="inlineStr">
        <is>
          <t>PK-XXL</t>
        </is>
      </c>
      <c r="I28" s="10">
        <f>LEN(皮卡压缩表[[#This Row],[CAB]])</f>
        <v/>
      </c>
      <c r="J28" s="10">
        <f t="array" ref="J28">_xlfn.XLOOKUP(皮卡压缩表[[#This Row],[CAB]],CAB缩写表[LONG-CAB],CAB缩写表[SHORT-CAB],皮卡压缩表[[#This Row],[CAB]])</f>
        <v/>
      </c>
      <c r="K28" s="19">
        <f t="array" ref="K2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" s="19">
        <f>TRIM(_xlfn.XLOOKUP(皮卡压缩表[[#This Row],[MAKE]],皮卡前台名表[MAKE],皮卡前台名表[DESCRIPTION],""))</f>
        <v/>
      </c>
      <c r="M28" s="11">
        <f t="array" ref="M28">TRIM(_xlfn.XLOOKUP(皮卡压缩表[[#This Row],[BACKSIZE]],ALL尺码表[内部尺码],ALL尺码表[通用尺码],""))</f>
        <v/>
      </c>
    </row>
    <row r="29" ht="15.75" customHeight="1" s="23">
      <c r="A29" s="8" t="inlineStr">
        <is>
          <t>ALL</t>
        </is>
      </c>
      <c r="B29" s="9" t="inlineStr">
        <is>
          <t>Chevrolet</t>
        </is>
      </c>
      <c r="C29" s="9" t="inlineStr">
        <is>
          <t>Silverado 1500</t>
        </is>
      </c>
      <c r="D29" s="9" t="inlineStr">
        <is>
          <t>1999-2026</t>
        </is>
      </c>
      <c r="E29" s="9" t="inlineStr"/>
      <c r="F29" s="9" t="inlineStr">
        <is>
          <t>Regular</t>
        </is>
      </c>
      <c r="G29" s="9" t="inlineStr">
        <is>
          <t>8</t>
        </is>
      </c>
      <c r="H29" s="9" t="inlineStr">
        <is>
          <t>PK-XL</t>
        </is>
      </c>
      <c r="I29" s="10">
        <f>LEN(皮卡压缩表[[#This Row],[CAB]])</f>
        <v/>
      </c>
      <c r="J29" s="10">
        <f t="array" ref="J29">_xlfn.XLOOKUP(皮卡压缩表[[#This Row],[CAB]],CAB缩写表[LONG-CAB],CAB缩写表[SHORT-CAB],皮卡压缩表[[#This Row],[CAB]])</f>
        <v/>
      </c>
      <c r="K29" s="19">
        <f t="array" ref="K2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" s="19">
        <f>TRIM(_xlfn.XLOOKUP(皮卡压缩表[[#This Row],[MAKE]],皮卡前台名表[MAKE],皮卡前台名表[DESCRIPTION],""))</f>
        <v/>
      </c>
      <c r="M29" s="11">
        <f t="array" ref="M29">TRIM(_xlfn.XLOOKUP(皮卡压缩表[[#This Row],[BACKSIZE]],ALL尺码表[内部尺码],ALL尺码表[通用尺码],""))</f>
        <v/>
      </c>
    </row>
    <row r="30" ht="15.75" customHeight="1" s="23">
      <c r="A30" s="8" t="inlineStr">
        <is>
          <t>ALL</t>
        </is>
      </c>
      <c r="B30" s="9" t="inlineStr">
        <is>
          <t>Chevrolet</t>
        </is>
      </c>
      <c r="C30" s="9" t="inlineStr">
        <is>
          <t>Silverado 1500</t>
        </is>
      </c>
      <c r="D30" s="9" t="inlineStr">
        <is>
          <t>2004</t>
        </is>
      </c>
      <c r="E30" s="9" t="inlineStr"/>
      <c r="F30" s="9" t="inlineStr">
        <is>
          <t>Crew</t>
        </is>
      </c>
      <c r="G30" s="9" t="inlineStr">
        <is>
          <t>5.8</t>
        </is>
      </c>
      <c r="H30" s="9" t="inlineStr">
        <is>
          <t>PK-XL+</t>
        </is>
      </c>
      <c r="I30" s="10">
        <f>LEN(皮卡压缩表[[#This Row],[CAB]])</f>
        <v/>
      </c>
      <c r="J30" s="10">
        <f t="array" ref="J30">_xlfn.XLOOKUP(皮卡压缩表[[#This Row],[CAB]],CAB缩写表[LONG-CAB],CAB缩写表[SHORT-CAB],皮卡压缩表[[#This Row],[CAB]])</f>
        <v/>
      </c>
      <c r="K30" s="19">
        <f t="array" ref="K3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" s="19">
        <f>TRIM(_xlfn.XLOOKUP(皮卡压缩表[[#This Row],[MAKE]],皮卡前台名表[MAKE],皮卡前台名表[DESCRIPTION],""))</f>
        <v/>
      </c>
      <c r="M30" s="11">
        <f t="array" ref="M30">TRIM(_xlfn.XLOOKUP(皮卡压缩表[[#This Row],[BACKSIZE]],ALL尺码表[内部尺码],ALL尺码表[通用尺码],""))</f>
        <v/>
      </c>
    </row>
    <row r="31" ht="15.75" customHeight="1" s="23">
      <c r="A31" s="8" t="inlineStr">
        <is>
          <t>ALL</t>
        </is>
      </c>
      <c r="B31" s="9" t="inlineStr">
        <is>
          <t>Chevrolet</t>
        </is>
      </c>
      <c r="C31" s="9" t="inlineStr">
        <is>
          <t>Silverado 1500</t>
        </is>
      </c>
      <c r="D31" s="9" t="inlineStr">
        <is>
          <t>2005</t>
        </is>
      </c>
      <c r="E31" s="9" t="inlineStr"/>
      <c r="F31" s="9" t="inlineStr">
        <is>
          <t>Crew</t>
        </is>
      </c>
      <c r="G31" s="9" t="inlineStr">
        <is>
          <t>5.8</t>
        </is>
      </c>
      <c r="H31" s="9" t="inlineStr">
        <is>
          <t>PK-L</t>
        </is>
      </c>
      <c r="I31" s="10">
        <f>LEN(皮卡压缩表[[#This Row],[CAB]])</f>
        <v/>
      </c>
      <c r="J31" s="10">
        <f t="array" ref="J31">_xlfn.XLOOKUP(皮卡压缩表[[#This Row],[CAB]],CAB缩写表[LONG-CAB],CAB缩写表[SHORT-CAB],皮卡压缩表[[#This Row],[CAB]])</f>
        <v/>
      </c>
      <c r="K31" s="19">
        <f t="array" ref="K3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" s="19">
        <f>TRIM(_xlfn.XLOOKUP(皮卡压缩表[[#This Row],[MAKE]],皮卡前台名表[MAKE],皮卡前台名表[DESCRIPTION],""))</f>
        <v/>
      </c>
      <c r="M31" s="11">
        <f t="array" ref="M31">TRIM(_xlfn.XLOOKUP(皮卡压缩表[[#This Row],[BACKSIZE]],ALL尺码表[内部尺码],ALL尺码表[通用尺码],""))</f>
        <v/>
      </c>
    </row>
    <row r="32" ht="15.75" customHeight="1" s="23">
      <c r="A32" s="8" t="inlineStr">
        <is>
          <t>ALL</t>
        </is>
      </c>
      <c r="B32" s="9" t="inlineStr">
        <is>
          <t>Chevrolet</t>
        </is>
      </c>
      <c r="C32" s="9" t="inlineStr">
        <is>
          <t>Silverado 1500</t>
        </is>
      </c>
      <c r="D32" s="9" t="inlineStr">
        <is>
          <t>2006</t>
        </is>
      </c>
      <c r="E32" s="9" t="inlineStr"/>
      <c r="F32" s="9" t="inlineStr">
        <is>
          <t>Crew</t>
        </is>
      </c>
      <c r="G32" s="9" t="inlineStr">
        <is>
          <t>5.8</t>
        </is>
      </c>
      <c r="H32" s="9" t="inlineStr">
        <is>
          <t>PK-XL+</t>
        </is>
      </c>
      <c r="I32" s="10">
        <f>LEN(皮卡压缩表[[#This Row],[CAB]])</f>
        <v/>
      </c>
      <c r="J32" s="10">
        <f t="array" ref="J32">_xlfn.XLOOKUP(皮卡压缩表[[#This Row],[CAB]],CAB缩写表[LONG-CAB],CAB缩写表[SHORT-CAB],皮卡压缩表[[#This Row],[CAB]])</f>
        <v/>
      </c>
      <c r="K32" s="19">
        <f t="array" ref="K3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" s="19">
        <f>TRIM(_xlfn.XLOOKUP(皮卡压缩表[[#This Row],[MAKE]],皮卡前台名表[MAKE],皮卡前台名表[DESCRIPTION],""))</f>
        <v/>
      </c>
      <c r="M32" s="11">
        <f t="array" ref="M32">TRIM(_xlfn.XLOOKUP(皮卡压缩表[[#This Row],[BACKSIZE]],ALL尺码表[内部尺码],ALL尺码表[通用尺码],""))</f>
        <v/>
      </c>
    </row>
    <row r="33" ht="15.75" customHeight="1" s="23">
      <c r="A33" s="8" t="inlineStr">
        <is>
          <t>ALL</t>
        </is>
      </c>
      <c r="B33" s="9" t="inlineStr">
        <is>
          <t>Chevrolet</t>
        </is>
      </c>
      <c r="C33" s="9" t="inlineStr">
        <is>
          <t>Silverado 1500</t>
        </is>
      </c>
      <c r="D33" s="9" t="inlineStr">
        <is>
          <t>2007-2008</t>
        </is>
      </c>
      <c r="E33" s="9" t="inlineStr"/>
      <c r="F33" s="9" t="inlineStr">
        <is>
          <t>Crew</t>
        </is>
      </c>
      <c r="G33" s="9" t="inlineStr">
        <is>
          <t>5.8</t>
        </is>
      </c>
      <c r="H33" s="9" t="inlineStr">
        <is>
          <t>PK-L</t>
        </is>
      </c>
      <c r="I33" s="10">
        <f>LEN(皮卡压缩表[[#This Row],[CAB]])</f>
        <v/>
      </c>
      <c r="J33" s="10">
        <f t="array" ref="J33">_xlfn.XLOOKUP(皮卡压缩表[[#This Row],[CAB]],CAB缩写表[LONG-CAB],CAB缩写表[SHORT-CAB],皮卡压缩表[[#This Row],[CAB]])</f>
        <v/>
      </c>
      <c r="K33" s="19">
        <f t="array" ref="K3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" s="19">
        <f>TRIM(_xlfn.XLOOKUP(皮卡压缩表[[#This Row],[MAKE]],皮卡前台名表[MAKE],皮卡前台名表[DESCRIPTION],""))</f>
        <v/>
      </c>
      <c r="M33" s="11">
        <f t="array" ref="M33">TRIM(_xlfn.XLOOKUP(皮卡压缩表[[#This Row],[BACKSIZE]],ALL尺码表[内部尺码],ALL尺码表[通用尺码],""))</f>
        <v/>
      </c>
    </row>
    <row r="34" ht="15.75" customHeight="1" s="23">
      <c r="A34" s="8" t="inlineStr">
        <is>
          <t>ALL</t>
        </is>
      </c>
      <c r="B34" s="9" t="inlineStr">
        <is>
          <t>Chevrolet</t>
        </is>
      </c>
      <c r="C34" s="9" t="inlineStr">
        <is>
          <t>Silverado 1500</t>
        </is>
      </c>
      <c r="D34" s="9" t="inlineStr">
        <is>
          <t>2007-2018</t>
        </is>
      </c>
      <c r="E34" s="9" t="inlineStr"/>
      <c r="F34" s="9" t="inlineStr">
        <is>
          <t>Regular</t>
        </is>
      </c>
      <c r="G34" s="9" t="inlineStr">
        <is>
          <t>6.6</t>
        </is>
      </c>
      <c r="H34" s="9" t="inlineStr">
        <is>
          <t>PK-M</t>
        </is>
      </c>
      <c r="I34" s="10">
        <f>LEN(皮卡压缩表[[#This Row],[CAB]])</f>
        <v/>
      </c>
      <c r="J34" s="10">
        <f t="array" ref="J34">_xlfn.XLOOKUP(皮卡压缩表[[#This Row],[CAB]],CAB缩写表[LONG-CAB],CAB缩写表[SHORT-CAB],皮卡压缩表[[#This Row],[CAB]])</f>
        <v/>
      </c>
      <c r="K34" s="19">
        <f t="array" ref="K3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" s="19">
        <f>TRIM(_xlfn.XLOOKUP(皮卡压缩表[[#This Row],[MAKE]],皮卡前台名表[MAKE],皮卡前台名表[DESCRIPTION],""))</f>
        <v/>
      </c>
      <c r="M34" s="11">
        <f t="array" ref="M34">TRIM(_xlfn.XLOOKUP(皮卡压缩表[[#This Row],[BACKSIZE]],ALL尺码表[内部尺码],ALL尺码表[通用尺码],""))</f>
        <v/>
      </c>
    </row>
    <row r="35" ht="15.75" customHeight="1" s="23">
      <c r="A35" s="8" t="inlineStr">
        <is>
          <t>ALL</t>
        </is>
      </c>
      <c r="B35" s="9" t="inlineStr">
        <is>
          <t>Chevrolet</t>
        </is>
      </c>
      <c r="C35" s="9" t="inlineStr">
        <is>
          <t>Silverado 1500</t>
        </is>
      </c>
      <c r="D35" s="9" t="inlineStr">
        <is>
          <t>2022-2026</t>
        </is>
      </c>
      <c r="E35" s="9" t="inlineStr"/>
      <c r="F35" s="9" t="inlineStr">
        <is>
          <t>Regular</t>
        </is>
      </c>
      <c r="G35" s="9" t="inlineStr">
        <is>
          <t>6.6</t>
        </is>
      </c>
      <c r="H35" s="9" t="inlineStr">
        <is>
          <t>PK-M+</t>
        </is>
      </c>
      <c r="I35" s="10">
        <f>LEN(皮卡压缩表[[#This Row],[CAB]])</f>
        <v/>
      </c>
      <c r="J35" s="10">
        <f t="array" ref="J35">_xlfn.XLOOKUP(皮卡压缩表[[#This Row],[CAB]],CAB缩写表[LONG-CAB],CAB缩写表[SHORT-CAB],皮卡压缩表[[#This Row],[CAB]])</f>
        <v/>
      </c>
      <c r="K35" s="19">
        <f t="array" ref="K3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" s="19">
        <f>TRIM(_xlfn.XLOOKUP(皮卡压缩表[[#This Row],[MAKE]],皮卡前台名表[MAKE],皮卡前台名表[DESCRIPTION],""))</f>
        <v/>
      </c>
      <c r="M35" s="11">
        <f t="array" ref="M35">TRIM(_xlfn.XLOOKUP(皮卡压缩表[[#This Row],[BACKSIZE]],ALL尺码表[内部尺码],ALL尺码表[通用尺码],""))</f>
        <v/>
      </c>
    </row>
    <row r="36" ht="15.75" customHeight="1" s="23">
      <c r="A36" s="8" t="inlineStr">
        <is>
          <t>ALL</t>
        </is>
      </c>
      <c r="B36" s="9" t="inlineStr">
        <is>
          <t>Chevrolet</t>
        </is>
      </c>
      <c r="C36" s="9" t="inlineStr">
        <is>
          <t>Silverado 2500HD/3500HD</t>
        </is>
      </c>
      <c r="D36" s="9" t="inlineStr">
        <is>
          <t>2001-2014</t>
        </is>
      </c>
      <c r="E36" s="9" t="inlineStr"/>
      <c r="F36" s="9" t="inlineStr">
        <is>
          <t>Crew</t>
        </is>
      </c>
      <c r="G36" s="9" t="inlineStr">
        <is>
          <t>8</t>
        </is>
      </c>
      <c r="H36" s="9" t="inlineStr">
        <is>
          <t>PK-XXXL</t>
        </is>
      </c>
      <c r="I36" s="10">
        <f>LEN(皮卡压缩表[[#This Row],[CAB]])</f>
        <v/>
      </c>
      <c r="J36" s="10">
        <f t="array" ref="J36">_xlfn.XLOOKUP(皮卡压缩表[[#This Row],[CAB]],CAB缩写表[LONG-CAB],CAB缩写表[SHORT-CAB],皮卡压缩表[[#This Row],[CAB]])</f>
        <v/>
      </c>
      <c r="K36" s="19">
        <f t="array" ref="K3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" s="19">
        <f>TRIM(_xlfn.XLOOKUP(皮卡压缩表[[#This Row],[MAKE]],皮卡前台名表[MAKE],皮卡前台名表[DESCRIPTION],""))</f>
        <v/>
      </c>
      <c r="M36" s="11">
        <f t="array" ref="M36">TRIM(_xlfn.XLOOKUP(皮卡压缩表[[#This Row],[BACKSIZE]],ALL尺码表[内部尺码],ALL尺码表[通用尺码],""))</f>
        <v/>
      </c>
    </row>
    <row r="37" ht="15.75" customHeight="1" s="23">
      <c r="A37" s="8" t="inlineStr">
        <is>
          <t>ALL</t>
        </is>
      </c>
      <c r="B37" s="9" t="inlineStr">
        <is>
          <t>Chevrolet</t>
        </is>
      </c>
      <c r="C37" s="9" t="inlineStr">
        <is>
          <t>Silverado 2500HD/3500HD</t>
        </is>
      </c>
      <c r="D37" s="9" t="inlineStr">
        <is>
          <t>2001-2026</t>
        </is>
      </c>
      <c r="E37" s="9" t="inlineStr"/>
      <c r="F37" s="9" t="inlineStr">
        <is>
          <t>Regular</t>
        </is>
      </c>
      <c r="G37" s="9" t="inlineStr">
        <is>
          <t>8</t>
        </is>
      </c>
      <c r="H37" s="9" t="inlineStr">
        <is>
          <t>PK-XL</t>
        </is>
      </c>
      <c r="I37" s="10">
        <f>LEN(皮卡压缩表[[#This Row],[CAB]])</f>
        <v/>
      </c>
      <c r="J37" s="10">
        <f t="array" ref="J37">_xlfn.XLOOKUP(皮卡压缩表[[#This Row],[CAB]],CAB缩写表[LONG-CAB],CAB缩写表[SHORT-CAB],皮卡压缩表[[#This Row],[CAB]])</f>
        <v/>
      </c>
      <c r="K37" s="19">
        <f t="array" ref="K3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" s="19">
        <f>TRIM(_xlfn.XLOOKUP(皮卡压缩表[[#This Row],[MAKE]],皮卡前台名表[MAKE],皮卡前台名表[DESCRIPTION],""))</f>
        <v/>
      </c>
      <c r="M37" s="11">
        <f t="array" ref="M37">TRIM(_xlfn.XLOOKUP(皮卡压缩表[[#This Row],[BACKSIZE]],ALL尺码表[内部尺码],ALL尺码表[通用尺码],""))</f>
        <v/>
      </c>
    </row>
    <row r="38" ht="15.75" customHeight="1" s="23">
      <c r="A38" s="8" t="inlineStr">
        <is>
          <t>ALL</t>
        </is>
      </c>
      <c r="B38" s="9" t="inlineStr">
        <is>
          <t>Chevrolet</t>
        </is>
      </c>
      <c r="C38" s="9" t="inlineStr">
        <is>
          <t>Silverado 2500HD/3500HD</t>
        </is>
      </c>
      <c r="D38" s="9" t="inlineStr">
        <is>
          <t>2008-2019</t>
        </is>
      </c>
      <c r="E38" s="9" t="inlineStr"/>
      <c r="F38" s="9" t="inlineStr">
        <is>
          <t>Crew</t>
        </is>
      </c>
      <c r="G38" s="9" t="inlineStr">
        <is>
          <t>6.5</t>
        </is>
      </c>
      <c r="H38" s="9" t="inlineStr">
        <is>
          <t>PK-XL+</t>
        </is>
      </c>
      <c r="I38" s="10">
        <f>LEN(皮卡压缩表[[#This Row],[CAB]])</f>
        <v/>
      </c>
      <c r="J38" s="10">
        <f t="array" ref="J38">_xlfn.XLOOKUP(皮卡压缩表[[#This Row],[CAB]],CAB缩写表[LONG-CAB],CAB缩写表[SHORT-CAB],皮卡压缩表[[#This Row],[CAB]])</f>
        <v/>
      </c>
      <c r="K38" s="19">
        <f t="array" ref="K3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" s="19">
        <f>TRIM(_xlfn.XLOOKUP(皮卡压缩表[[#This Row],[MAKE]],皮卡前台名表[MAKE],皮卡前台名表[DESCRIPTION],""))</f>
        <v/>
      </c>
      <c r="M38" s="11">
        <f t="array" ref="M38">TRIM(_xlfn.XLOOKUP(皮卡压缩表[[#This Row],[BACKSIZE]],ALL尺码表[内部尺码],ALL尺码表[通用尺码],""))</f>
        <v/>
      </c>
    </row>
    <row r="39" ht="15.75" customHeight="1" s="23">
      <c r="A39" s="8" t="inlineStr">
        <is>
          <t>ALL</t>
        </is>
      </c>
      <c r="B39" s="9" t="inlineStr">
        <is>
          <t>Chevrolet</t>
        </is>
      </c>
      <c r="C39" s="9" t="inlineStr">
        <is>
          <t>Silverado 2500HD/3500HD</t>
        </is>
      </c>
      <c r="D39" s="9" t="inlineStr">
        <is>
          <t>2015-2017</t>
        </is>
      </c>
      <c r="E39" s="9" t="inlineStr"/>
      <c r="F39" s="9" t="inlineStr">
        <is>
          <t>Double</t>
        </is>
      </c>
      <c r="G39" s="9" t="inlineStr">
        <is>
          <t>6.8</t>
        </is>
      </c>
      <c r="H39" s="9" t="inlineStr">
        <is>
          <t>PK-L</t>
        </is>
      </c>
      <c r="I39" s="10">
        <f>LEN(皮卡压缩表[[#This Row],[CAB]])</f>
        <v/>
      </c>
      <c r="J39" s="10">
        <f t="array" ref="J39">_xlfn.XLOOKUP(皮卡压缩表[[#This Row],[CAB]],CAB缩写表[LONG-CAB],CAB缩写表[SHORT-CAB],皮卡压缩表[[#This Row],[CAB]])</f>
        <v/>
      </c>
      <c r="K39" s="19">
        <f t="array" ref="K3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" s="19">
        <f>TRIM(_xlfn.XLOOKUP(皮卡压缩表[[#This Row],[MAKE]],皮卡前台名表[MAKE],皮卡前台名表[DESCRIPTION],""))</f>
        <v/>
      </c>
      <c r="M39" s="11">
        <f t="array" ref="M39">TRIM(_xlfn.XLOOKUP(皮卡压缩表[[#This Row],[BACKSIZE]],ALL尺码表[内部尺码],ALL尺码表[通用尺码],""))</f>
        <v/>
      </c>
    </row>
    <row r="40" ht="15.75" customHeight="1" s="23">
      <c r="A40" s="8" t="inlineStr">
        <is>
          <t>ALL</t>
        </is>
      </c>
      <c r="B40" s="9" t="inlineStr">
        <is>
          <t>Chevrolet</t>
        </is>
      </c>
      <c r="C40" s="9" t="inlineStr">
        <is>
          <t>Silverado 2500HD/3500HD</t>
        </is>
      </c>
      <c r="D40" s="9" t="inlineStr">
        <is>
          <t>2015-2019</t>
        </is>
      </c>
      <c r="E40" s="9" t="inlineStr"/>
      <c r="F40" s="9" t="inlineStr">
        <is>
          <t>Double</t>
        </is>
      </c>
      <c r="G40" s="9" t="inlineStr">
        <is>
          <t>8</t>
        </is>
      </c>
      <c r="H40" s="9" t="inlineStr">
        <is>
          <t>PK-XXL</t>
        </is>
      </c>
      <c r="I40" s="10">
        <f>LEN(皮卡压缩表[[#This Row],[CAB]])</f>
        <v/>
      </c>
      <c r="J40" s="10">
        <f t="array" ref="J40">_xlfn.XLOOKUP(皮卡压缩表[[#This Row],[CAB]],CAB缩写表[LONG-CAB],CAB缩写表[SHORT-CAB],皮卡压缩表[[#This Row],[CAB]])</f>
        <v/>
      </c>
      <c r="K40" s="19">
        <f t="array" ref="K4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" s="19">
        <f>TRIM(_xlfn.XLOOKUP(皮卡压缩表[[#This Row],[MAKE]],皮卡前台名表[MAKE],皮卡前台名表[DESCRIPTION],""))</f>
        <v/>
      </c>
      <c r="M40" s="11">
        <f t="array" ref="M40">TRIM(_xlfn.XLOOKUP(皮卡压缩表[[#This Row],[BACKSIZE]],ALL尺码表[内部尺码],ALL尺码表[通用尺码],""))</f>
        <v/>
      </c>
    </row>
    <row r="41" ht="15.75" customHeight="1" s="23">
      <c r="A41" s="8" t="inlineStr">
        <is>
          <t>ALL</t>
        </is>
      </c>
      <c r="B41" s="9" t="inlineStr">
        <is>
          <t>Chevrolet</t>
        </is>
      </c>
      <c r="C41" s="9" t="inlineStr">
        <is>
          <t>Silverado 2500HD/3500HD</t>
        </is>
      </c>
      <c r="D41" s="9" t="inlineStr">
        <is>
          <t>2015-2026</t>
        </is>
      </c>
      <c r="E41" s="9" t="inlineStr">
        <is>
          <t>DRW</t>
        </is>
      </c>
      <c r="F41" s="9" t="inlineStr">
        <is>
          <t>Crew</t>
        </is>
      </c>
      <c r="G41" s="9" t="inlineStr">
        <is>
          <t>8</t>
        </is>
      </c>
      <c r="H41" s="9" t="inlineStr">
        <is>
          <t>无可用尺码</t>
        </is>
      </c>
      <c r="I41" s="10">
        <f>LEN(皮卡压缩表[[#This Row],[CAB]])</f>
        <v/>
      </c>
      <c r="J41" s="10">
        <f t="array" ref="J41">_xlfn.XLOOKUP(皮卡压缩表[[#This Row],[CAB]],CAB缩写表[LONG-CAB],CAB缩写表[SHORT-CAB],皮卡压缩表[[#This Row],[CAB]])</f>
        <v/>
      </c>
      <c r="K41" s="19">
        <f t="array" ref="K4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" s="19">
        <f>TRIM(_xlfn.XLOOKUP(皮卡压缩表[[#This Row],[MAKE]],皮卡前台名表[MAKE],皮卡前台名表[DESCRIPTION],""))</f>
        <v/>
      </c>
      <c r="M41" s="11">
        <f t="array" ref="M41">TRIM(_xlfn.XLOOKUP(皮卡压缩表[[#This Row],[BACKSIZE]],ALL尺码表[内部尺码],ALL尺码表[通用尺码],""))</f>
        <v/>
      </c>
    </row>
    <row r="42" ht="15.75" customHeight="1" s="23">
      <c r="A42" s="8" t="inlineStr">
        <is>
          <t>ALL</t>
        </is>
      </c>
      <c r="B42" s="9" t="inlineStr">
        <is>
          <t>Chevrolet</t>
        </is>
      </c>
      <c r="C42" s="9" t="inlineStr">
        <is>
          <t>Silverado 2500HD/3500HD</t>
        </is>
      </c>
      <c r="D42" s="9" t="inlineStr">
        <is>
          <t>2020-2026</t>
        </is>
      </c>
      <c r="E42" s="9" t="inlineStr"/>
      <c r="F42" s="9" t="inlineStr">
        <is>
          <t>Double</t>
        </is>
      </c>
      <c r="G42" s="9" t="inlineStr">
        <is>
          <t>8</t>
        </is>
      </c>
      <c r="H42" s="9" t="inlineStr">
        <is>
          <t>PK-XXXL</t>
        </is>
      </c>
      <c r="I42" s="10">
        <f>LEN(皮卡压缩表[[#This Row],[CAB]])</f>
        <v/>
      </c>
      <c r="J42" s="10">
        <f t="array" ref="J42">_xlfn.XLOOKUP(皮卡压缩表[[#This Row],[CAB]],CAB缩写表[LONG-CAB],CAB缩写表[SHORT-CAB],皮卡压缩表[[#This Row],[CAB]])</f>
        <v/>
      </c>
      <c r="K42" s="19">
        <f t="array" ref="K4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" s="19">
        <f>TRIM(_xlfn.XLOOKUP(皮卡压缩表[[#This Row],[MAKE]],皮卡前台名表[MAKE],皮卡前台名表[DESCRIPTION],""))</f>
        <v/>
      </c>
      <c r="M42" s="11">
        <f t="array" ref="M42">TRIM(_xlfn.XLOOKUP(皮卡压缩表[[#This Row],[BACKSIZE]],ALL尺码表[内部尺码],ALL尺码表[通用尺码],""))</f>
        <v/>
      </c>
    </row>
    <row r="43" ht="15.75" customHeight="1" s="23">
      <c r="A43" s="8" t="inlineStr">
        <is>
          <t>ALL</t>
        </is>
      </c>
      <c r="B43" s="9" t="inlineStr">
        <is>
          <t>Chevrolet</t>
        </is>
      </c>
      <c r="C43" s="9" t="inlineStr">
        <is>
          <t>Silverado EV</t>
        </is>
      </c>
      <c r="D43" s="9" t="inlineStr">
        <is>
          <t>2024-2026</t>
        </is>
      </c>
      <c r="E43" s="9" t="inlineStr"/>
      <c r="F43" s="9" t="inlineStr">
        <is>
          <t>Crew</t>
        </is>
      </c>
      <c r="G43" s="9" t="inlineStr">
        <is>
          <t>5.9</t>
        </is>
      </c>
      <c r="H43" s="9" t="inlineStr">
        <is>
          <t>PK-XL+</t>
        </is>
      </c>
      <c r="I43" s="10">
        <f>LEN(皮卡压缩表[[#This Row],[CAB]])</f>
        <v/>
      </c>
      <c r="J43" s="10">
        <f t="array" ref="J43">_xlfn.XLOOKUP(皮卡压缩表[[#This Row],[CAB]],CAB缩写表[LONG-CAB],CAB缩写表[SHORT-CAB],皮卡压缩表[[#This Row],[CAB]])</f>
        <v/>
      </c>
      <c r="K43" s="19">
        <f t="array" ref="K4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" s="19">
        <f>TRIM(_xlfn.XLOOKUP(皮卡压缩表[[#This Row],[MAKE]],皮卡前台名表[MAKE],皮卡前台名表[DESCRIPTION],""))</f>
        <v/>
      </c>
      <c r="M43" s="11">
        <f t="array" ref="M43">TRIM(_xlfn.XLOOKUP(皮卡压缩表[[#This Row],[BACKSIZE]],ALL尺码表[内部尺码],ALL尺码表[通用尺码],""))</f>
        <v/>
      </c>
    </row>
    <row r="44" ht="15.75" customHeight="1" s="23">
      <c r="A44" s="8" t="inlineStr">
        <is>
          <t>ALL</t>
        </is>
      </c>
      <c r="B44" s="9" t="inlineStr">
        <is>
          <t>Dodge</t>
        </is>
      </c>
      <c r="C44" s="9" t="inlineStr">
        <is>
          <t>Dakota</t>
        </is>
      </c>
      <c r="D44" s="9" t="inlineStr">
        <is>
          <t>1990-2011</t>
        </is>
      </c>
      <c r="E44" s="9" t="inlineStr"/>
      <c r="F44" s="9" t="inlineStr">
        <is>
          <t>Club/Quad</t>
        </is>
      </c>
      <c r="G44" s="9" t="inlineStr">
        <is>
          <t>5.25-6.5</t>
        </is>
      </c>
      <c r="H44" s="9" t="inlineStr">
        <is>
          <t>PK-M+</t>
        </is>
      </c>
      <c r="I44" s="10">
        <f>LEN(皮卡压缩表[[#This Row],[CAB]])</f>
        <v/>
      </c>
      <c r="J44" s="10">
        <f t="array" ref="J44">_xlfn.XLOOKUP(皮卡压缩表[[#This Row],[CAB]],CAB缩写表[LONG-CAB],CAB缩写表[SHORT-CAB],皮卡压缩表[[#This Row],[CAB]])</f>
        <v/>
      </c>
      <c r="K44" s="19">
        <f t="array" ref="K4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" s="19">
        <f>TRIM(_xlfn.XLOOKUP(皮卡压缩表[[#This Row],[MAKE]],皮卡前台名表[MAKE],皮卡前台名表[DESCRIPTION],""))</f>
        <v/>
      </c>
      <c r="M44" s="11">
        <f t="array" ref="M44">TRIM(_xlfn.XLOOKUP(皮卡压缩表[[#This Row],[BACKSIZE]],ALL尺码表[内部尺码],ALL尺码表[通用尺码],""))</f>
        <v/>
      </c>
    </row>
    <row r="45" ht="15.75" customHeight="1" s="23">
      <c r="A45" s="8" t="inlineStr">
        <is>
          <t>ALL</t>
        </is>
      </c>
      <c r="B45" s="9" t="inlineStr">
        <is>
          <t>Dodge</t>
        </is>
      </c>
      <c r="C45" s="9" t="inlineStr">
        <is>
          <t>Dakota</t>
        </is>
      </c>
      <c r="D45" s="9" t="inlineStr">
        <is>
          <t>1987-1989</t>
        </is>
      </c>
      <c r="E45" s="9" t="inlineStr"/>
      <c r="F45" s="9" t="inlineStr">
        <is>
          <t>Regular</t>
        </is>
      </c>
      <c r="G45" s="9" t="inlineStr">
        <is>
          <t>8</t>
        </is>
      </c>
      <c r="H45" s="9" t="inlineStr">
        <is>
          <t>PK-M</t>
        </is>
      </c>
      <c r="I45" s="10">
        <f>LEN(皮卡压缩表[[#This Row],[CAB]])</f>
        <v/>
      </c>
      <c r="J45" s="10">
        <f t="array" ref="J45">_xlfn.XLOOKUP(皮卡压缩表[[#This Row],[CAB]],CAB缩写表[LONG-CAB],CAB缩写表[SHORT-CAB],皮卡压缩表[[#This Row],[CAB]])</f>
        <v/>
      </c>
      <c r="K45" s="19">
        <f t="array" ref="K4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" s="19">
        <f>TRIM(_xlfn.XLOOKUP(皮卡压缩表[[#This Row],[MAKE]],皮卡前台名表[MAKE],皮卡前台名表[DESCRIPTION],""))</f>
        <v/>
      </c>
      <c r="M45" s="11">
        <f t="array" ref="M45">TRIM(_xlfn.XLOOKUP(皮卡压缩表[[#This Row],[BACKSIZE]],ALL尺码表[内部尺码],ALL尺码表[通用尺码],""))</f>
        <v/>
      </c>
    </row>
    <row r="46" ht="15.75" customHeight="1" s="23">
      <c r="A46" s="8" t="inlineStr">
        <is>
          <t>ALL</t>
        </is>
      </c>
      <c r="B46" s="9" t="inlineStr">
        <is>
          <t>Dodge</t>
        </is>
      </c>
      <c r="C46" s="9" t="inlineStr">
        <is>
          <t>Dakota</t>
        </is>
      </c>
      <c r="D46" s="9" t="inlineStr">
        <is>
          <t>1987-2004</t>
        </is>
      </c>
      <c r="E46" s="9" t="inlineStr"/>
      <c r="F46" s="9" t="inlineStr">
        <is>
          <t>Regular</t>
        </is>
      </c>
      <c r="G46" s="9" t="inlineStr">
        <is>
          <t>6.5</t>
        </is>
      </c>
      <c r="H46" s="9" t="inlineStr">
        <is>
          <t>PK-M</t>
        </is>
      </c>
      <c r="I46" s="10">
        <f>LEN(皮卡压缩表[[#This Row],[CAB]])</f>
        <v/>
      </c>
      <c r="J46" s="10">
        <f t="array" ref="J46">_xlfn.XLOOKUP(皮卡压缩表[[#This Row],[CAB]],CAB缩写表[LONG-CAB],CAB缩写表[SHORT-CAB],皮卡压缩表[[#This Row],[CAB]])</f>
        <v/>
      </c>
      <c r="K46" s="19">
        <f t="array" ref="K4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6" s="19">
        <f>TRIM(_xlfn.XLOOKUP(皮卡压缩表[[#This Row],[MAKE]],皮卡前台名表[MAKE],皮卡前台名表[DESCRIPTION],""))</f>
        <v/>
      </c>
      <c r="M46" s="11">
        <f t="array" ref="M46">TRIM(_xlfn.XLOOKUP(皮卡压缩表[[#This Row],[BACKSIZE]],ALL尺码表[内部尺码],ALL尺码表[通用尺码],""))</f>
        <v/>
      </c>
    </row>
    <row r="47" ht="15.75" customHeight="1" s="23">
      <c r="A47" s="8" t="inlineStr">
        <is>
          <t>ALL</t>
        </is>
      </c>
      <c r="B47" s="9" t="inlineStr">
        <is>
          <t>Dodge</t>
        </is>
      </c>
      <c r="C47" s="9" t="inlineStr">
        <is>
          <t>Dakota</t>
        </is>
      </c>
      <c r="D47" s="9" t="inlineStr">
        <is>
          <t>1990-1999</t>
        </is>
      </c>
      <c r="E47" s="9" t="inlineStr"/>
      <c r="F47" s="9" t="inlineStr">
        <is>
          <t>Regular</t>
        </is>
      </c>
      <c r="G47" s="9" t="inlineStr">
        <is>
          <t>8</t>
        </is>
      </c>
      <c r="H47" s="9" t="inlineStr">
        <is>
          <t>PK-M+</t>
        </is>
      </c>
      <c r="I47" s="10">
        <f>LEN(皮卡压缩表[[#This Row],[CAB]])</f>
        <v/>
      </c>
      <c r="J47" s="10">
        <f t="array" ref="J47">_xlfn.XLOOKUP(皮卡压缩表[[#This Row],[CAB]],CAB缩写表[LONG-CAB],CAB缩写表[SHORT-CAB],皮卡压缩表[[#This Row],[CAB]])</f>
        <v/>
      </c>
      <c r="K47" s="19">
        <f t="array" ref="K4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7" s="19">
        <f>TRIM(_xlfn.XLOOKUP(皮卡压缩表[[#This Row],[MAKE]],皮卡前台名表[MAKE],皮卡前台名表[DESCRIPTION],""))</f>
        <v/>
      </c>
      <c r="M47" s="11">
        <f t="array" ref="M47">TRIM(_xlfn.XLOOKUP(皮卡压缩表[[#This Row],[BACKSIZE]],ALL尺码表[内部尺码],ALL尺码表[通用尺码],""))</f>
        <v/>
      </c>
    </row>
    <row r="48" ht="15.75" customHeight="1" s="23">
      <c r="A48" s="8" t="inlineStr">
        <is>
          <t>ALL</t>
        </is>
      </c>
      <c r="B48" s="9" t="inlineStr">
        <is>
          <t>Ford</t>
        </is>
      </c>
      <c r="C48" s="9" t="inlineStr">
        <is>
          <t>F-150</t>
        </is>
      </c>
      <c r="D48" s="9" t="inlineStr">
        <is>
          <t>1997-2008</t>
        </is>
      </c>
      <c r="E48" s="9" t="inlineStr"/>
      <c r="F48" s="9" t="inlineStr">
        <is>
          <t>SuperCab/SuperCrew</t>
        </is>
      </c>
      <c r="G48" s="9" t="inlineStr">
        <is>
          <t>5.5-6.5</t>
        </is>
      </c>
      <c r="H48" s="9" t="inlineStr">
        <is>
          <t>PK-L</t>
        </is>
      </c>
      <c r="I48" s="10">
        <f>LEN(皮卡压缩表[[#This Row],[CAB]])</f>
        <v/>
      </c>
      <c r="J48" s="10">
        <f t="array" ref="J48">_xlfn.XLOOKUP(皮卡压缩表[[#This Row],[CAB]],CAB缩写表[LONG-CAB],CAB缩写表[SHORT-CAB],皮卡压缩表[[#This Row],[CAB]])</f>
        <v/>
      </c>
      <c r="K48" s="19">
        <f t="array" ref="K4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8" s="19">
        <f>TRIM(_xlfn.XLOOKUP(皮卡压缩表[[#This Row],[MAKE]],皮卡前台名表[MAKE],皮卡前台名表[DESCRIPTION],""))</f>
        <v/>
      </c>
      <c r="M48" s="11">
        <f t="array" ref="M48">TRIM(_xlfn.XLOOKUP(皮卡压缩表[[#This Row],[BACKSIZE]],ALL尺码表[内部尺码],ALL尺码表[通用尺码],""))</f>
        <v/>
      </c>
    </row>
    <row r="49" ht="15.75" customHeight="1" s="23">
      <c r="A49" s="8" t="inlineStr">
        <is>
          <t>ALL</t>
        </is>
      </c>
      <c r="B49" s="9" t="inlineStr">
        <is>
          <t>Ford</t>
        </is>
      </c>
      <c r="C49" s="9" t="inlineStr">
        <is>
          <t>F-150</t>
        </is>
      </c>
      <c r="D49" s="9" t="inlineStr">
        <is>
          <t>2009-2026</t>
        </is>
      </c>
      <c r="E49" s="9" t="inlineStr"/>
      <c r="F49" s="9" t="inlineStr">
        <is>
          <t>SuperCab</t>
        </is>
      </c>
      <c r="G49" s="9" t="inlineStr">
        <is>
          <t>6.5</t>
        </is>
      </c>
      <c r="H49" s="9" t="inlineStr">
        <is>
          <t>PK-XL+</t>
        </is>
      </c>
      <c r="I49" s="10">
        <f>LEN(皮卡压缩表[[#This Row],[CAB]])</f>
        <v/>
      </c>
      <c r="J49" s="10">
        <f t="array" ref="J49">_xlfn.XLOOKUP(皮卡压缩表[[#This Row],[CAB]],CAB缩写表[LONG-CAB],CAB缩写表[SHORT-CAB],皮卡压缩表[[#This Row],[CAB]])</f>
        <v/>
      </c>
      <c r="K49" s="19">
        <f t="array" ref="K4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9" s="19">
        <f>TRIM(_xlfn.XLOOKUP(皮卡压缩表[[#This Row],[MAKE]],皮卡前台名表[MAKE],皮卡前台名表[DESCRIPTION],""))</f>
        <v/>
      </c>
      <c r="M49" s="11">
        <f t="array" ref="M49">TRIM(_xlfn.XLOOKUP(皮卡压缩表[[#This Row],[BACKSIZE]],ALL尺码表[内部尺码],ALL尺码表[通用尺码],""))</f>
        <v/>
      </c>
    </row>
    <row r="50" ht="15.75" customHeight="1" s="23">
      <c r="A50" s="8" t="inlineStr">
        <is>
          <t>ALL</t>
        </is>
      </c>
      <c r="B50" s="9" t="inlineStr">
        <is>
          <t>Ford</t>
        </is>
      </c>
      <c r="C50" s="9" t="inlineStr">
        <is>
          <t>F-150</t>
        </is>
      </c>
      <c r="D50" s="9" t="inlineStr">
        <is>
          <t>2009-2026</t>
        </is>
      </c>
      <c r="E50" s="9" t="inlineStr">
        <is>
          <t>Incl: Lightning/Raptor/Tremor</t>
        </is>
      </c>
      <c r="F50" s="9" t="inlineStr">
        <is>
          <t>SuperCrew</t>
        </is>
      </c>
      <c r="G50" s="9" t="inlineStr">
        <is>
          <t>5.5</t>
        </is>
      </c>
      <c r="H50" s="9" t="inlineStr">
        <is>
          <t>PK-XL+</t>
        </is>
      </c>
      <c r="I50" s="10">
        <f>LEN(皮卡压缩表[[#This Row],[CAB]])</f>
        <v/>
      </c>
      <c r="J50" s="10">
        <f t="array" ref="J50">_xlfn.XLOOKUP(皮卡压缩表[[#This Row],[CAB]],CAB缩写表[LONG-CAB],CAB缩写表[SHORT-CAB],皮卡压缩表[[#This Row],[CAB]])</f>
        <v/>
      </c>
      <c r="K50" s="19">
        <f t="array" ref="K5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0" s="19">
        <f>TRIM(_xlfn.XLOOKUP(皮卡压缩表[[#This Row],[MAKE]],皮卡前台名表[MAKE],皮卡前台名表[DESCRIPTION],""))</f>
        <v/>
      </c>
      <c r="M50" s="11">
        <f t="array" ref="M50">TRIM(_xlfn.XLOOKUP(皮卡压缩表[[#This Row],[BACKSIZE]],ALL尺码表[内部尺码],ALL尺码表[通用尺码],""))</f>
        <v/>
      </c>
    </row>
    <row r="51" ht="15.75" customHeight="1" s="23">
      <c r="A51" s="8" t="inlineStr">
        <is>
          <t>ALL</t>
        </is>
      </c>
      <c r="B51" s="9" t="inlineStr">
        <is>
          <t>Ford</t>
        </is>
      </c>
      <c r="C51" s="9" t="inlineStr">
        <is>
          <t>F-150</t>
        </is>
      </c>
      <c r="D51" s="9" t="inlineStr">
        <is>
          <t>2010-2019</t>
        </is>
      </c>
      <c r="E51" s="9" t="inlineStr">
        <is>
          <t>Raptor</t>
        </is>
      </c>
      <c r="F51" s="9" t="inlineStr">
        <is>
          <t>SuperCab</t>
        </is>
      </c>
      <c r="G51" s="9" t="inlineStr">
        <is>
          <t>5.5</t>
        </is>
      </c>
      <c r="H51" s="9" t="inlineStr">
        <is>
          <t>PK-L</t>
        </is>
      </c>
      <c r="I51" s="10">
        <f>LEN(皮卡压缩表[[#This Row],[CAB]])</f>
        <v/>
      </c>
      <c r="J51" s="10">
        <f t="array" ref="J51">_xlfn.XLOOKUP(皮卡压缩表[[#This Row],[CAB]],CAB缩写表[LONG-CAB],CAB缩写表[SHORT-CAB],皮卡压缩表[[#This Row],[CAB]])</f>
        <v/>
      </c>
      <c r="K51" s="19">
        <f t="array" ref="K5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1" s="19">
        <f>TRIM(_xlfn.XLOOKUP(皮卡压缩表[[#This Row],[MAKE]],皮卡前台名表[MAKE],皮卡前台名表[DESCRIPTION],""))</f>
        <v/>
      </c>
      <c r="M51" s="11">
        <f t="array" ref="M51">TRIM(_xlfn.XLOOKUP(皮卡压缩表[[#This Row],[BACKSIZE]],ALL尺码表[内部尺码],ALL尺码表[通用尺码],""))</f>
        <v/>
      </c>
    </row>
    <row r="52" ht="15.75" customHeight="1" s="23">
      <c r="A52" s="8" t="inlineStr">
        <is>
          <t>ALL</t>
        </is>
      </c>
      <c r="B52" s="9" t="inlineStr">
        <is>
          <t>Ford</t>
        </is>
      </c>
      <c r="C52" s="9" t="inlineStr">
        <is>
          <t>F-350 Super Duty</t>
        </is>
      </c>
      <c r="D52" s="9" t="inlineStr">
        <is>
          <t>1999-2026</t>
        </is>
      </c>
      <c r="E52" s="9" t="inlineStr">
        <is>
          <t>DRW</t>
        </is>
      </c>
      <c r="F52" s="9" t="inlineStr">
        <is>
          <t>Crew/Regular</t>
        </is>
      </c>
      <c r="G52" s="9" t="inlineStr">
        <is>
          <t>8</t>
        </is>
      </c>
      <c r="H52" s="9" t="inlineStr">
        <is>
          <t>无可用尺码</t>
        </is>
      </c>
      <c r="I52" s="10">
        <f>LEN(皮卡压缩表[[#This Row],[CAB]])</f>
        <v/>
      </c>
      <c r="J52" s="10">
        <f t="array" ref="J52">_xlfn.XLOOKUP(皮卡压缩表[[#This Row],[CAB]],CAB缩写表[LONG-CAB],CAB缩写表[SHORT-CAB],皮卡压缩表[[#This Row],[CAB]])</f>
        <v/>
      </c>
      <c r="K52" s="19">
        <f t="array" ref="K5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2" s="19">
        <f>TRIM(_xlfn.XLOOKUP(皮卡压缩表[[#This Row],[MAKE]],皮卡前台名表[MAKE],皮卡前台名表[DESCRIPTION],""))</f>
        <v/>
      </c>
      <c r="M52" s="11">
        <f t="array" ref="M52">TRIM(_xlfn.XLOOKUP(皮卡压缩表[[#This Row],[BACKSIZE]],ALL尺码表[内部尺码],ALL尺码表[通用尺码],""))</f>
        <v/>
      </c>
    </row>
    <row r="53" ht="15.75" customHeight="1" s="23">
      <c r="A53" s="8" t="inlineStr">
        <is>
          <t>ALL</t>
        </is>
      </c>
      <c r="B53" s="9" t="inlineStr">
        <is>
          <t>Ford</t>
        </is>
      </c>
      <c r="C53" s="9" t="inlineStr">
        <is>
          <t>Maverick</t>
        </is>
      </c>
      <c r="D53" s="9" t="inlineStr">
        <is>
          <t>2022-2026</t>
        </is>
      </c>
      <c r="E53" s="9" t="inlineStr">
        <is>
          <t>Incl: Lobo/Tremor</t>
        </is>
      </c>
      <c r="F53" s="9" t="inlineStr">
        <is>
          <t>SuperCrew</t>
        </is>
      </c>
      <c r="G53" s="9" t="inlineStr">
        <is>
          <t>4.5</t>
        </is>
      </c>
      <c r="H53" s="9" t="inlineStr">
        <is>
          <t>PK-M</t>
        </is>
      </c>
      <c r="I53" s="10">
        <f>LEN(皮卡压缩表[[#This Row],[CAB]])</f>
        <v/>
      </c>
      <c r="J53" s="10">
        <f t="array" ref="J53">_xlfn.XLOOKUP(皮卡压缩表[[#This Row],[CAB]],CAB缩写表[LONG-CAB],CAB缩写表[SHORT-CAB],皮卡压缩表[[#This Row],[CAB]])</f>
        <v/>
      </c>
      <c r="K53" s="19">
        <f t="array" ref="K5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3" s="19">
        <f>TRIM(_xlfn.XLOOKUP(皮卡压缩表[[#This Row],[MAKE]],皮卡前台名表[MAKE],皮卡前台名表[DESCRIPTION],""))</f>
        <v/>
      </c>
      <c r="M53" s="11">
        <f t="array" ref="M53">TRIM(_xlfn.XLOOKUP(皮卡压缩表[[#This Row],[BACKSIZE]],ALL尺码表[内部尺码],ALL尺码表[通用尺码],""))</f>
        <v/>
      </c>
    </row>
    <row r="54" ht="15.75" customHeight="1" s="23">
      <c r="A54" s="8" t="inlineStr">
        <is>
          <t>ALL</t>
        </is>
      </c>
      <c r="B54" s="9" t="inlineStr">
        <is>
          <t>Ford</t>
        </is>
      </c>
      <c r="C54" s="9" t="inlineStr">
        <is>
          <t>Ranger</t>
        </is>
      </c>
      <c r="D54" s="9" t="inlineStr">
        <is>
          <t>1993-2011</t>
        </is>
      </c>
      <c r="E54" s="9" t="inlineStr"/>
      <c r="F54" s="9" t="inlineStr">
        <is>
          <t>SuperCab</t>
        </is>
      </c>
      <c r="G54" s="9" t="inlineStr">
        <is>
          <t>6-7</t>
        </is>
      </c>
      <c r="H54" s="9" t="inlineStr">
        <is>
          <t>PK-M</t>
        </is>
      </c>
      <c r="I54" s="10">
        <f>LEN(皮卡压缩表[[#This Row],[CAB]])</f>
        <v/>
      </c>
      <c r="J54" s="10">
        <f t="array" ref="J54">_xlfn.XLOOKUP(皮卡压缩表[[#This Row],[CAB]],CAB缩写表[LONG-CAB],CAB缩写表[SHORT-CAB],皮卡压缩表[[#This Row],[CAB]])</f>
        <v/>
      </c>
      <c r="K54" s="19">
        <f t="array" ref="K5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4" s="19">
        <f>TRIM(_xlfn.XLOOKUP(皮卡压缩表[[#This Row],[MAKE]],皮卡前台名表[MAKE],皮卡前台名表[DESCRIPTION],""))</f>
        <v/>
      </c>
      <c r="M54" s="11">
        <f t="array" ref="M54">TRIM(_xlfn.XLOOKUP(皮卡压缩表[[#This Row],[BACKSIZE]],ALL尺码表[内部尺码],ALL尺码表[通用尺码],""))</f>
        <v/>
      </c>
    </row>
    <row r="55" ht="15.75" customHeight="1" s="23">
      <c r="A55" s="8" t="inlineStr">
        <is>
          <t>ALL</t>
        </is>
      </c>
      <c r="B55" s="9" t="inlineStr">
        <is>
          <t>Ford</t>
        </is>
      </c>
      <c r="C55" s="9" t="inlineStr">
        <is>
          <t>Ranger</t>
        </is>
      </c>
      <c r="D55" s="9" t="inlineStr">
        <is>
          <t>2019-2026</t>
        </is>
      </c>
      <c r="E55" s="9" t="inlineStr">
        <is>
          <t>Incl: Raptor</t>
        </is>
      </c>
      <c r="F55" s="9" t="inlineStr">
        <is>
          <t>SuperCrew</t>
        </is>
      </c>
      <c r="G55" s="9" t="inlineStr">
        <is>
          <t>5</t>
        </is>
      </c>
      <c r="H55" s="9" t="inlineStr">
        <is>
          <t>PK-M+</t>
        </is>
      </c>
      <c r="I55" s="10">
        <f>LEN(皮卡压缩表[[#This Row],[CAB]])</f>
        <v/>
      </c>
      <c r="J55" s="10">
        <f t="array" ref="J55">_xlfn.XLOOKUP(皮卡压缩表[[#This Row],[CAB]],CAB缩写表[LONG-CAB],CAB缩写表[SHORT-CAB],皮卡压缩表[[#This Row],[CAB]])</f>
        <v/>
      </c>
      <c r="K55" s="19">
        <f t="array" ref="K5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5" s="19">
        <f>TRIM(_xlfn.XLOOKUP(皮卡压缩表[[#This Row],[MAKE]],皮卡前台名表[MAKE],皮卡前台名表[DESCRIPTION],""))</f>
        <v/>
      </c>
      <c r="M55" s="11">
        <f t="array" ref="M55">TRIM(_xlfn.XLOOKUP(皮卡压缩表[[#This Row],[BACKSIZE]],ALL尺码表[内部尺码],ALL尺码表[通用尺码],""))</f>
        <v/>
      </c>
    </row>
    <row r="56" ht="15.75" customHeight="1" s="23">
      <c r="A56" s="8" t="inlineStr">
        <is>
          <t>ALL</t>
        </is>
      </c>
      <c r="B56" s="9" t="inlineStr">
        <is>
          <t>Ford</t>
        </is>
      </c>
      <c r="C56" s="9" t="inlineStr">
        <is>
          <t>Explorer</t>
        </is>
      </c>
      <c r="D56" s="9" t="inlineStr">
        <is>
          <t>2001-2005</t>
        </is>
      </c>
      <c r="E56" s="9" t="inlineStr">
        <is>
          <t>Sport Trac</t>
        </is>
      </c>
      <c r="F56" s="9" t="inlineStr">
        <is>
          <t>Crew</t>
        </is>
      </c>
      <c r="G56" s="9" t="inlineStr">
        <is>
          <t>4.2</t>
        </is>
      </c>
      <c r="H56" s="9" t="inlineStr">
        <is>
          <t>PK-M</t>
        </is>
      </c>
      <c r="I56" s="10">
        <f>LEN(皮卡压缩表[[#This Row],[CAB]])</f>
        <v/>
      </c>
      <c r="J56" s="10">
        <f t="array" ref="J56">_xlfn.XLOOKUP(皮卡压缩表[[#This Row],[CAB]],CAB缩写表[LONG-CAB],CAB缩写表[SHORT-CAB],皮卡压缩表[[#This Row],[CAB]])</f>
        <v/>
      </c>
      <c r="K56" s="19">
        <f t="array" ref="K5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6" s="19">
        <f>TRIM(_xlfn.XLOOKUP(皮卡压缩表[[#This Row],[MAKE]],皮卡前台名表[MAKE],皮卡前台名表[DESCRIPTION],""))</f>
        <v/>
      </c>
      <c r="M56" s="11">
        <f t="array" ref="M56">TRIM(_xlfn.XLOOKUP(皮卡压缩表[[#This Row],[BACKSIZE]],ALL尺码表[内部尺码],ALL尺码表[通用尺码],""))</f>
        <v/>
      </c>
    </row>
    <row r="57" ht="15.75" customHeight="1" s="23">
      <c r="A57" s="8" t="inlineStr">
        <is>
          <t>ALL</t>
        </is>
      </c>
      <c r="B57" s="9" t="inlineStr">
        <is>
          <t>Ford</t>
        </is>
      </c>
      <c r="C57" s="9" t="inlineStr">
        <is>
          <t>F-150</t>
        </is>
      </c>
      <c r="D57" s="9" t="inlineStr">
        <is>
          <t>1992-1996</t>
        </is>
      </c>
      <c r="E57" s="9" t="inlineStr"/>
      <c r="F57" s="9" t="inlineStr">
        <is>
          <t>Regular</t>
        </is>
      </c>
      <c r="G57" s="9" t="inlineStr">
        <is>
          <t>8</t>
        </is>
      </c>
      <c r="H57" s="9" t="inlineStr">
        <is>
          <t>PK-M+</t>
        </is>
      </c>
      <c r="I57" s="10">
        <f>LEN(皮卡压缩表[[#This Row],[CAB]])</f>
        <v/>
      </c>
      <c r="J57" s="10">
        <f t="array" ref="J57">_xlfn.XLOOKUP(皮卡压缩表[[#This Row],[CAB]],CAB缩写表[LONG-CAB],CAB缩写表[SHORT-CAB],皮卡压缩表[[#This Row],[CAB]])</f>
        <v/>
      </c>
      <c r="K57" s="19">
        <f t="array" ref="K5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7" s="19">
        <f>TRIM(_xlfn.XLOOKUP(皮卡压缩表[[#This Row],[MAKE]],皮卡前台名表[MAKE],皮卡前台名表[DESCRIPTION],""))</f>
        <v/>
      </c>
      <c r="M57" s="11">
        <f t="array" ref="M57">TRIM(_xlfn.XLOOKUP(皮卡压缩表[[#This Row],[BACKSIZE]],ALL尺码表[内部尺码],ALL尺码表[通用尺码],""))</f>
        <v/>
      </c>
    </row>
    <row r="58" ht="15.75" customHeight="1" s="23">
      <c r="A58" s="8" t="inlineStr">
        <is>
          <t>ALL</t>
        </is>
      </c>
      <c r="B58" s="9" t="inlineStr">
        <is>
          <t>Ford</t>
        </is>
      </c>
      <c r="C58" s="9" t="inlineStr">
        <is>
          <t>F-150</t>
        </is>
      </c>
      <c r="D58" s="9" t="inlineStr">
        <is>
          <t>1992-1998</t>
        </is>
      </c>
      <c r="E58" s="9" t="inlineStr"/>
      <c r="F58" s="9" t="inlineStr">
        <is>
          <t>SuperCab</t>
        </is>
      </c>
      <c r="G58" s="9" t="inlineStr">
        <is>
          <t>8</t>
        </is>
      </c>
      <c r="H58" s="9" t="inlineStr">
        <is>
          <t>PK-XL+</t>
        </is>
      </c>
      <c r="I58" s="10">
        <f>LEN(皮卡压缩表[[#This Row],[CAB]])</f>
        <v/>
      </c>
      <c r="J58" s="10">
        <f t="array" ref="J58">_xlfn.XLOOKUP(皮卡压缩表[[#This Row],[CAB]],CAB缩写表[LONG-CAB],CAB缩写表[SHORT-CAB],皮卡压缩表[[#This Row],[CAB]])</f>
        <v/>
      </c>
      <c r="K58" s="19">
        <f t="array" ref="K5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8" s="19">
        <f>TRIM(_xlfn.XLOOKUP(皮卡压缩表[[#This Row],[MAKE]],皮卡前台名表[MAKE],皮卡前台名表[DESCRIPTION],""))</f>
        <v/>
      </c>
      <c r="M58" s="11">
        <f t="array" ref="M58">TRIM(_xlfn.XLOOKUP(皮卡压缩表[[#This Row],[BACKSIZE]],ALL尺码表[内部尺码],ALL尺码表[通用尺码],""))</f>
        <v/>
      </c>
    </row>
    <row r="59" ht="15.75" customHeight="1" s="23">
      <c r="A59" s="8" t="inlineStr">
        <is>
          <t>ALL</t>
        </is>
      </c>
      <c r="B59" s="9" t="inlineStr">
        <is>
          <t>Ford</t>
        </is>
      </c>
      <c r="C59" s="9" t="inlineStr">
        <is>
          <t>F-150</t>
        </is>
      </c>
      <c r="D59" s="9" t="inlineStr">
        <is>
          <t>1992-2003</t>
        </is>
      </c>
      <c r="E59" s="9" t="inlineStr"/>
      <c r="F59" s="9" t="inlineStr">
        <is>
          <t>Regular</t>
        </is>
      </c>
      <c r="G59" s="9" t="inlineStr">
        <is>
          <t>6.5</t>
        </is>
      </c>
      <c r="H59" s="9" t="inlineStr">
        <is>
          <t>PK-M</t>
        </is>
      </c>
      <c r="I59" s="10">
        <f>LEN(皮卡压缩表[[#This Row],[CAB]])</f>
        <v/>
      </c>
      <c r="J59" s="10">
        <f t="array" ref="J59">_xlfn.XLOOKUP(皮卡压缩表[[#This Row],[CAB]],CAB缩写表[LONG-CAB],CAB缩写表[SHORT-CAB],皮卡压缩表[[#This Row],[CAB]])</f>
        <v/>
      </c>
      <c r="K59" s="19">
        <f t="array" ref="K5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9" s="19">
        <f>TRIM(_xlfn.XLOOKUP(皮卡压缩表[[#This Row],[MAKE]],皮卡前台名表[MAKE],皮卡前台名表[DESCRIPTION],""))</f>
        <v/>
      </c>
      <c r="M59" s="11">
        <f t="array" ref="M59">TRIM(_xlfn.XLOOKUP(皮卡压缩表[[#This Row],[BACKSIZE]],ALL尺码表[内部尺码],ALL尺码表[通用尺码],""))</f>
        <v/>
      </c>
    </row>
    <row r="60" ht="15.75" customHeight="1" s="23">
      <c r="A60" s="8" t="inlineStr">
        <is>
          <t>ALL</t>
        </is>
      </c>
      <c r="B60" s="9" t="inlineStr">
        <is>
          <t>Ford</t>
        </is>
      </c>
      <c r="C60" s="9" t="inlineStr">
        <is>
          <t>F-150</t>
        </is>
      </c>
      <c r="D60" s="9" t="inlineStr">
        <is>
          <t>1994-1995</t>
        </is>
      </c>
      <c r="E60" s="9" t="inlineStr"/>
      <c r="F60" s="9" t="inlineStr">
        <is>
          <t>SuperCab</t>
        </is>
      </c>
      <c r="G60" s="9" t="inlineStr">
        <is>
          <t>6.5</t>
        </is>
      </c>
      <c r="H60" s="9" t="inlineStr">
        <is>
          <t>PK-M+</t>
        </is>
      </c>
      <c r="I60" s="10">
        <f>LEN(皮卡压缩表[[#This Row],[CAB]])</f>
        <v/>
      </c>
      <c r="J60" s="10">
        <f t="array" ref="J60">_xlfn.XLOOKUP(皮卡压缩表[[#This Row],[CAB]],CAB缩写表[LONG-CAB],CAB缩写表[SHORT-CAB],皮卡压缩表[[#This Row],[CAB]])</f>
        <v/>
      </c>
      <c r="K60" s="19">
        <f t="array" ref="K6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0" s="19">
        <f>TRIM(_xlfn.XLOOKUP(皮卡压缩表[[#This Row],[MAKE]],皮卡前台名表[MAKE],皮卡前台名表[DESCRIPTION],""))</f>
        <v/>
      </c>
      <c r="M60" s="11">
        <f t="array" ref="M60">TRIM(_xlfn.XLOOKUP(皮卡压缩表[[#This Row],[BACKSIZE]],ALL尺码表[内部尺码],ALL尺码表[通用尺码],""))</f>
        <v/>
      </c>
    </row>
    <row r="61" ht="15.75" customHeight="1" s="23">
      <c r="A61" s="8" t="inlineStr">
        <is>
          <t>ALL</t>
        </is>
      </c>
      <c r="B61" s="9" t="inlineStr">
        <is>
          <t>Ford</t>
        </is>
      </c>
      <c r="C61" s="9" t="inlineStr">
        <is>
          <t>F-150</t>
        </is>
      </c>
      <c r="D61" s="9" t="inlineStr">
        <is>
          <t>1997-2026</t>
        </is>
      </c>
      <c r="E61" s="9" t="inlineStr"/>
      <c r="F61" s="9" t="inlineStr">
        <is>
          <t>Regular</t>
        </is>
      </c>
      <c r="G61" s="9" t="inlineStr">
        <is>
          <t>8</t>
        </is>
      </c>
      <c r="H61" s="9" t="inlineStr">
        <is>
          <t>PK-XL</t>
        </is>
      </c>
      <c r="I61" s="10">
        <f>LEN(皮卡压缩表[[#This Row],[CAB]])</f>
        <v/>
      </c>
      <c r="J61" s="10">
        <f t="array" ref="J61">_xlfn.XLOOKUP(皮卡压缩表[[#This Row],[CAB]],CAB缩写表[LONG-CAB],CAB缩写表[SHORT-CAB],皮卡压缩表[[#This Row],[CAB]])</f>
        <v/>
      </c>
      <c r="K61" s="19">
        <f t="array" ref="K6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1" s="19">
        <f>TRIM(_xlfn.XLOOKUP(皮卡压缩表[[#This Row],[MAKE]],皮卡前台名表[MAKE],皮卡前台名表[DESCRIPTION],""))</f>
        <v/>
      </c>
      <c r="M61" s="11">
        <f t="array" ref="M61">TRIM(_xlfn.XLOOKUP(皮卡压缩表[[#This Row],[BACKSIZE]],ALL尺码表[内部尺码],ALL尺码表[通用尺码],""))</f>
        <v/>
      </c>
    </row>
    <row r="62" ht="15.75" customHeight="1" s="23">
      <c r="A62" s="8" t="inlineStr">
        <is>
          <t>ALL</t>
        </is>
      </c>
      <c r="B62" s="9" t="inlineStr">
        <is>
          <t>Ford</t>
        </is>
      </c>
      <c r="C62" s="9" t="inlineStr">
        <is>
          <t>F-150</t>
        </is>
      </c>
      <c r="D62" s="9" t="inlineStr">
        <is>
          <t>2004-2014</t>
        </is>
      </c>
      <c r="E62" s="9" t="inlineStr"/>
      <c r="F62" s="9" t="inlineStr">
        <is>
          <t>Regular</t>
        </is>
      </c>
      <c r="G62" s="9" t="inlineStr">
        <is>
          <t>6.5</t>
        </is>
      </c>
      <c r="H62" s="9" t="inlineStr">
        <is>
          <t>PK-M+</t>
        </is>
      </c>
      <c r="I62" s="10">
        <f>LEN(皮卡压缩表[[#This Row],[CAB]])</f>
        <v/>
      </c>
      <c r="J62" s="10">
        <f t="array" ref="J62">_xlfn.XLOOKUP(皮卡压缩表[[#This Row],[CAB]],CAB缩写表[LONG-CAB],CAB缩写表[SHORT-CAB],皮卡压缩表[[#This Row],[CAB]])</f>
        <v/>
      </c>
      <c r="K62" s="19">
        <f t="array" ref="K6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2" s="19">
        <f>TRIM(_xlfn.XLOOKUP(皮卡压缩表[[#This Row],[MAKE]],皮卡前台名表[MAKE],皮卡前台名表[DESCRIPTION],""))</f>
        <v/>
      </c>
      <c r="M62" s="11">
        <f t="array" ref="M62">TRIM(_xlfn.XLOOKUP(皮卡压缩表[[#This Row],[BACKSIZE]],ALL尺码表[内部尺码],ALL尺码表[通用尺码],""))</f>
        <v/>
      </c>
    </row>
    <row r="63" ht="15.75" customHeight="1" s="23">
      <c r="A63" s="8" t="inlineStr">
        <is>
          <t>ALL</t>
        </is>
      </c>
      <c r="B63" s="9" t="inlineStr">
        <is>
          <t>Ford</t>
        </is>
      </c>
      <c r="C63" s="9" t="inlineStr">
        <is>
          <t>F-150</t>
        </is>
      </c>
      <c r="D63" s="9" t="inlineStr">
        <is>
          <t>2009-2023</t>
        </is>
      </c>
      <c r="E63" s="9" t="inlineStr"/>
      <c r="F63" s="9" t="inlineStr">
        <is>
          <t>SuperCab</t>
        </is>
      </c>
      <c r="G63" s="9" t="inlineStr">
        <is>
          <t>8</t>
        </is>
      </c>
      <c r="H63" s="9" t="inlineStr">
        <is>
          <t>PK-XXXL</t>
        </is>
      </c>
      <c r="I63" s="10">
        <f>LEN(皮卡压缩表[[#This Row],[CAB]])</f>
        <v/>
      </c>
      <c r="J63" s="10">
        <f t="array" ref="J63">_xlfn.XLOOKUP(皮卡压缩表[[#This Row],[CAB]],CAB缩写表[LONG-CAB],CAB缩写表[SHORT-CAB],皮卡压缩表[[#This Row],[CAB]])</f>
        <v/>
      </c>
      <c r="K63" s="19">
        <f t="array" ref="K6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3" s="19">
        <f>TRIM(_xlfn.XLOOKUP(皮卡压缩表[[#This Row],[MAKE]],皮卡前台名表[MAKE],皮卡前台名表[DESCRIPTION],""))</f>
        <v/>
      </c>
      <c r="M63" s="11">
        <f t="array" ref="M63">TRIM(_xlfn.XLOOKUP(皮卡压缩表[[#This Row],[BACKSIZE]],ALL尺码表[内部尺码],ALL尺码表[通用尺码],""))</f>
        <v/>
      </c>
    </row>
    <row r="64" ht="15.75" customHeight="1" s="23">
      <c r="A64" s="8" t="inlineStr">
        <is>
          <t>ALL</t>
        </is>
      </c>
      <c r="B64" s="9" t="inlineStr">
        <is>
          <t>Ford</t>
        </is>
      </c>
      <c r="C64" s="9" t="inlineStr">
        <is>
          <t>F-150</t>
        </is>
      </c>
      <c r="D64" s="9" t="inlineStr">
        <is>
          <t>2009-2026</t>
        </is>
      </c>
      <c r="E64" s="9" t="inlineStr"/>
      <c r="F64" s="9" t="inlineStr">
        <is>
          <t>SuperCrew</t>
        </is>
      </c>
      <c r="G64" s="9" t="inlineStr">
        <is>
          <t>6.5</t>
        </is>
      </c>
      <c r="H64" s="9" t="inlineStr">
        <is>
          <t>PK-XXL</t>
        </is>
      </c>
      <c r="I64" s="10">
        <f>LEN(皮卡压缩表[[#This Row],[CAB]])</f>
        <v/>
      </c>
      <c r="J64" s="10">
        <f t="array" ref="J64">_xlfn.XLOOKUP(皮卡压缩表[[#This Row],[CAB]],CAB缩写表[LONG-CAB],CAB缩写表[SHORT-CAB],皮卡压缩表[[#This Row],[CAB]])</f>
        <v/>
      </c>
      <c r="K64" s="19">
        <f t="array" ref="K6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4" s="19">
        <f>TRIM(_xlfn.XLOOKUP(皮卡压缩表[[#This Row],[MAKE]],皮卡前台名表[MAKE],皮卡前台名表[DESCRIPTION],""))</f>
        <v/>
      </c>
      <c r="M64" s="11">
        <f t="array" ref="M64">TRIM(_xlfn.XLOOKUP(皮卡压缩表[[#This Row],[BACKSIZE]],ALL尺码表[内部尺码],ALL尺码表[通用尺码],""))</f>
        <v/>
      </c>
    </row>
    <row r="65" ht="15.75" customHeight="1" s="23">
      <c r="A65" s="8" t="inlineStr">
        <is>
          <t>ALL</t>
        </is>
      </c>
      <c r="B65" s="9" t="inlineStr">
        <is>
          <t>Ford</t>
        </is>
      </c>
      <c r="C65" s="9" t="inlineStr">
        <is>
          <t>F-150</t>
        </is>
      </c>
      <c r="D65" s="9" t="inlineStr">
        <is>
          <t>2015-2026</t>
        </is>
      </c>
      <c r="E65" s="9" t="inlineStr"/>
      <c r="F65" s="9" t="inlineStr">
        <is>
          <t>Regular</t>
        </is>
      </c>
      <c r="G65" s="9" t="inlineStr">
        <is>
          <t>6.5</t>
        </is>
      </c>
      <c r="H65" s="9" t="inlineStr">
        <is>
          <t>PK-M</t>
        </is>
      </c>
      <c r="I65" s="10">
        <f>LEN(皮卡压缩表[[#This Row],[CAB]])</f>
        <v/>
      </c>
      <c r="J65" s="10">
        <f t="array" ref="J65">_xlfn.XLOOKUP(皮卡压缩表[[#This Row],[CAB]],CAB缩写表[LONG-CAB],CAB缩写表[SHORT-CAB],皮卡压缩表[[#This Row],[CAB]])</f>
        <v/>
      </c>
      <c r="K65" s="19">
        <f t="array" ref="K6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5" s="19">
        <f>TRIM(_xlfn.XLOOKUP(皮卡压缩表[[#This Row],[MAKE]],皮卡前台名表[MAKE],皮卡前台名表[DESCRIPTION],""))</f>
        <v/>
      </c>
      <c r="M65" s="11">
        <f t="array" ref="M65">TRIM(_xlfn.XLOOKUP(皮卡压缩表[[#This Row],[BACKSIZE]],ALL尺码表[内部尺码],ALL尺码表[通用尺码],""))</f>
        <v/>
      </c>
    </row>
    <row r="66" ht="15.75" customHeight="1" s="23">
      <c r="A66" s="8" t="inlineStr">
        <is>
          <t>ALL</t>
        </is>
      </c>
      <c r="B66" s="9" t="inlineStr">
        <is>
          <t>Ford</t>
        </is>
      </c>
      <c r="C66" s="9" t="inlineStr">
        <is>
          <t>F-250/F-350 Super Duty</t>
        </is>
      </c>
      <c r="D66" s="9" t="inlineStr">
        <is>
          <t>1999-2007</t>
        </is>
      </c>
      <c r="E66" s="9" t="inlineStr"/>
      <c r="F66" s="9" t="inlineStr">
        <is>
          <t>Crew</t>
        </is>
      </c>
      <c r="G66" s="9" t="inlineStr">
        <is>
          <t>8</t>
        </is>
      </c>
      <c r="H66" s="9" t="inlineStr">
        <is>
          <t>PK-XXXL</t>
        </is>
      </c>
      <c r="I66" s="10">
        <f>LEN(皮卡压缩表[[#This Row],[CAB]])</f>
        <v/>
      </c>
      <c r="J66" s="10">
        <f t="array" ref="J66">_xlfn.XLOOKUP(皮卡压缩表[[#This Row],[CAB]],CAB缩写表[LONG-CAB],CAB缩写表[SHORT-CAB],皮卡压缩表[[#This Row],[CAB]])</f>
        <v/>
      </c>
      <c r="K66" s="19">
        <f t="array" ref="K6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6" s="19">
        <f>TRIM(_xlfn.XLOOKUP(皮卡压缩表[[#This Row],[MAKE]],皮卡前台名表[MAKE],皮卡前台名表[DESCRIPTION],""))</f>
        <v/>
      </c>
      <c r="M66" s="11">
        <f t="array" ref="M66">TRIM(_xlfn.XLOOKUP(皮卡压缩表[[#This Row],[BACKSIZE]],ALL尺码表[内部尺码],ALL尺码表[通用尺码],""))</f>
        <v/>
      </c>
    </row>
    <row r="67" ht="15.75" customHeight="1" s="23">
      <c r="A67" s="8" t="inlineStr">
        <is>
          <t>ALL</t>
        </is>
      </c>
      <c r="B67" s="9" t="inlineStr">
        <is>
          <t>Ford</t>
        </is>
      </c>
      <c r="C67" s="9" t="inlineStr">
        <is>
          <t>F-250/F-350 Super Duty</t>
        </is>
      </c>
      <c r="D67" s="9" t="inlineStr">
        <is>
          <t>1999-2016</t>
        </is>
      </c>
      <c r="E67" s="9" t="inlineStr"/>
      <c r="F67" s="9" t="inlineStr">
        <is>
          <t>Regular</t>
        </is>
      </c>
      <c r="G67" s="9" t="inlineStr">
        <is>
          <t>8</t>
        </is>
      </c>
      <c r="H67" s="9" t="inlineStr">
        <is>
          <t>PK-XL</t>
        </is>
      </c>
      <c r="I67" s="10">
        <f>LEN(皮卡压缩表[[#This Row],[CAB]])</f>
        <v/>
      </c>
      <c r="J67" s="10">
        <f t="array" ref="J67">_xlfn.XLOOKUP(皮卡压缩表[[#This Row],[CAB]],CAB缩写表[LONG-CAB],CAB缩写表[SHORT-CAB],皮卡压缩表[[#This Row],[CAB]])</f>
        <v/>
      </c>
      <c r="K67" s="19">
        <f t="array" ref="K6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7" s="19">
        <f>TRIM(_xlfn.XLOOKUP(皮卡压缩表[[#This Row],[MAKE]],皮卡前台名表[MAKE],皮卡前台名表[DESCRIPTION],""))</f>
        <v/>
      </c>
      <c r="M67" s="11">
        <f t="array" ref="M67">TRIM(_xlfn.XLOOKUP(皮卡压缩表[[#This Row],[BACKSIZE]],ALL尺码表[内部尺码],ALL尺码表[通用尺码],""))</f>
        <v/>
      </c>
    </row>
    <row r="68" ht="15.75" customHeight="1" s="23">
      <c r="A68" s="8" t="inlineStr">
        <is>
          <t>ALL</t>
        </is>
      </c>
      <c r="B68" s="9" t="inlineStr">
        <is>
          <t>Ford</t>
        </is>
      </c>
      <c r="C68" s="9" t="inlineStr">
        <is>
          <t>F-250/F-350 Super Duty</t>
        </is>
      </c>
      <c r="D68" s="9" t="inlineStr">
        <is>
          <t>1999-2016</t>
        </is>
      </c>
      <c r="E68" s="9" t="inlineStr"/>
      <c r="F68" s="9" t="inlineStr">
        <is>
          <t>SuperCab</t>
        </is>
      </c>
      <c r="G68" s="9" t="inlineStr">
        <is>
          <t>6.8</t>
        </is>
      </c>
      <c r="H68" s="9" t="inlineStr">
        <is>
          <t>PK-XL+</t>
        </is>
      </c>
      <c r="I68" s="10">
        <f>LEN(皮卡压缩表[[#This Row],[CAB]])</f>
        <v/>
      </c>
      <c r="J68" s="10">
        <f t="array" ref="J68">_xlfn.XLOOKUP(皮卡压缩表[[#This Row],[CAB]],CAB缩写表[LONG-CAB],CAB缩写表[SHORT-CAB],皮卡压缩表[[#This Row],[CAB]])</f>
        <v/>
      </c>
      <c r="K68" s="19">
        <f t="array" ref="K6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8" s="19">
        <f>TRIM(_xlfn.XLOOKUP(皮卡压缩表[[#This Row],[MAKE]],皮卡前台名表[MAKE],皮卡前台名表[DESCRIPTION],""))</f>
        <v/>
      </c>
      <c r="M68" s="11">
        <f t="array" ref="M68">TRIM(_xlfn.XLOOKUP(皮卡压缩表[[#This Row],[BACKSIZE]],ALL尺码表[内部尺码],ALL尺码表[通用尺码],""))</f>
        <v/>
      </c>
    </row>
    <row r="69" ht="15.75" customHeight="1" s="23">
      <c r="A69" s="8" t="inlineStr">
        <is>
          <t>ALL</t>
        </is>
      </c>
      <c r="B69" s="9" t="inlineStr">
        <is>
          <t>Ford</t>
        </is>
      </c>
      <c r="C69" s="9" t="inlineStr">
        <is>
          <t>F-250/F-350 Super Duty</t>
        </is>
      </c>
      <c r="D69" s="9" t="inlineStr">
        <is>
          <t>1999-2016</t>
        </is>
      </c>
      <c r="E69" s="9" t="inlineStr"/>
      <c r="F69" s="9" t="inlineStr">
        <is>
          <t>SuperCab</t>
        </is>
      </c>
      <c r="G69" s="9" t="inlineStr">
        <is>
          <t>8</t>
        </is>
      </c>
      <c r="H69" s="9" t="inlineStr">
        <is>
          <t>PK-XXL</t>
        </is>
      </c>
      <c r="I69" s="10">
        <f>LEN(皮卡压缩表[[#This Row],[CAB]])</f>
        <v/>
      </c>
      <c r="J69" s="10">
        <f t="array" ref="J69">_xlfn.XLOOKUP(皮卡压缩表[[#This Row],[CAB]],CAB缩写表[LONG-CAB],CAB缩写表[SHORT-CAB],皮卡压缩表[[#This Row],[CAB]])</f>
        <v/>
      </c>
      <c r="K69" s="19">
        <f t="array" ref="K6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9" s="19">
        <f>TRIM(_xlfn.XLOOKUP(皮卡压缩表[[#This Row],[MAKE]],皮卡前台名表[MAKE],皮卡前台名表[DESCRIPTION],""))</f>
        <v/>
      </c>
      <c r="M69" s="11">
        <f t="array" ref="M69">TRIM(_xlfn.XLOOKUP(皮卡压缩表[[#This Row],[BACKSIZE]],ALL尺码表[内部尺码],ALL尺码表[通用尺码],""))</f>
        <v/>
      </c>
    </row>
    <row r="70" ht="15.75" customHeight="1" s="23">
      <c r="A70" s="8" t="inlineStr">
        <is>
          <t>ALL</t>
        </is>
      </c>
      <c r="B70" s="9" t="inlineStr">
        <is>
          <t>Ford</t>
        </is>
      </c>
      <c r="C70" s="9" t="inlineStr">
        <is>
          <t>F-250/F-350 Super Duty</t>
        </is>
      </c>
      <c r="D70" s="9" t="inlineStr">
        <is>
          <t>1999-2026</t>
        </is>
      </c>
      <c r="E70" s="9" t="inlineStr"/>
      <c r="F70" s="9" t="inlineStr">
        <is>
          <t>Crew</t>
        </is>
      </c>
      <c r="G70" s="9" t="inlineStr">
        <is>
          <t>6.8</t>
        </is>
      </c>
      <c r="H70" s="9" t="inlineStr">
        <is>
          <t>PK-XXL</t>
        </is>
      </c>
      <c r="I70" s="10">
        <f>LEN(皮卡压缩表[[#This Row],[CAB]])</f>
        <v/>
      </c>
      <c r="J70" s="10">
        <f t="array" ref="J70">_xlfn.XLOOKUP(皮卡压缩表[[#This Row],[CAB]],CAB缩写表[LONG-CAB],CAB缩写表[SHORT-CAB],皮卡压缩表[[#This Row],[CAB]])</f>
        <v/>
      </c>
      <c r="K70" s="19">
        <f t="array" ref="K7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0" s="19">
        <f>TRIM(_xlfn.XLOOKUP(皮卡压缩表[[#This Row],[MAKE]],皮卡前台名表[MAKE],皮卡前台名表[DESCRIPTION],""))</f>
        <v/>
      </c>
      <c r="M70" s="11">
        <f t="array" ref="M70">TRIM(_xlfn.XLOOKUP(皮卡压缩表[[#This Row],[BACKSIZE]],ALL尺码表[内部尺码],ALL尺码表[通用尺码],""))</f>
        <v/>
      </c>
    </row>
    <row r="71" ht="15.75" customHeight="1" s="23">
      <c r="A71" s="8" t="inlineStr">
        <is>
          <t>ALL</t>
        </is>
      </c>
      <c r="B71" s="9" t="inlineStr">
        <is>
          <t>Ford</t>
        </is>
      </c>
      <c r="C71" s="9" t="inlineStr">
        <is>
          <t>F-250/F-350 Super Duty</t>
        </is>
      </c>
      <c r="D71" s="9" t="inlineStr">
        <is>
          <t>2008-2026</t>
        </is>
      </c>
      <c r="E71" s="9" t="inlineStr"/>
      <c r="F71" s="9" t="inlineStr">
        <is>
          <t>Crew</t>
        </is>
      </c>
      <c r="G71" s="9" t="inlineStr">
        <is>
          <t>8</t>
        </is>
      </c>
      <c r="H71" s="9" t="inlineStr">
        <is>
          <t>无可用尺码</t>
        </is>
      </c>
      <c r="I71" s="10">
        <f>LEN(皮卡压缩表[[#This Row],[CAB]])</f>
        <v/>
      </c>
      <c r="J71" s="10">
        <f t="array" ref="J71">_xlfn.XLOOKUP(皮卡压缩表[[#This Row],[CAB]],CAB缩写表[LONG-CAB],CAB缩写表[SHORT-CAB],皮卡压缩表[[#This Row],[CAB]])</f>
        <v/>
      </c>
      <c r="K71" s="19">
        <f t="array" ref="K7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1" s="19">
        <f>TRIM(_xlfn.XLOOKUP(皮卡压缩表[[#This Row],[MAKE]],皮卡前台名表[MAKE],皮卡前台名表[DESCRIPTION],""))</f>
        <v/>
      </c>
      <c r="M71" s="11">
        <f t="array" ref="M71">TRIM(_xlfn.XLOOKUP(皮卡压缩表[[#This Row],[BACKSIZE]],ALL尺码表[内部尺码],ALL尺码表[通用尺码],""))</f>
        <v/>
      </c>
    </row>
    <row r="72" ht="15.75" customHeight="1" s="23">
      <c r="A72" s="8" t="inlineStr">
        <is>
          <t>ALL</t>
        </is>
      </c>
      <c r="B72" s="9" t="inlineStr">
        <is>
          <t>Ford</t>
        </is>
      </c>
      <c r="C72" s="9" t="inlineStr">
        <is>
          <t>F-250/F-350 Super Duty</t>
        </is>
      </c>
      <c r="D72" s="9" t="inlineStr">
        <is>
          <t>2017-2026</t>
        </is>
      </c>
      <c r="E72" s="9" t="inlineStr"/>
      <c r="F72" s="9" t="inlineStr">
        <is>
          <t>Regular</t>
        </is>
      </c>
      <c r="G72" s="9" t="inlineStr">
        <is>
          <t>8</t>
        </is>
      </c>
      <c r="H72" s="9" t="inlineStr">
        <is>
          <t>PK-XXL</t>
        </is>
      </c>
      <c r="I72" s="10">
        <f>LEN(皮卡压缩表[[#This Row],[CAB]])</f>
        <v/>
      </c>
      <c r="J72" s="10">
        <f t="array" ref="J72">_xlfn.XLOOKUP(皮卡压缩表[[#This Row],[CAB]],CAB缩写表[LONG-CAB],CAB缩写表[SHORT-CAB],皮卡压缩表[[#This Row],[CAB]])</f>
        <v/>
      </c>
      <c r="K72" s="19">
        <f t="array" ref="K7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2" s="19">
        <f>TRIM(_xlfn.XLOOKUP(皮卡压缩表[[#This Row],[MAKE]],皮卡前台名表[MAKE],皮卡前台名表[DESCRIPTION],""))</f>
        <v/>
      </c>
      <c r="M72" s="11">
        <f t="array" ref="M72">TRIM(_xlfn.XLOOKUP(皮卡压缩表[[#This Row],[BACKSIZE]],ALL尺码表[内部尺码],ALL尺码表[通用尺码],""))</f>
        <v/>
      </c>
    </row>
    <row r="73" ht="15.75" customHeight="1" s="23">
      <c r="A73" s="8" t="inlineStr">
        <is>
          <t>ALL</t>
        </is>
      </c>
      <c r="B73" s="9" t="inlineStr">
        <is>
          <t>Ford</t>
        </is>
      </c>
      <c r="C73" s="9" t="inlineStr">
        <is>
          <t>F-250/F-350 Super Duty</t>
        </is>
      </c>
      <c r="D73" s="9" t="inlineStr">
        <is>
          <t>2017-2026</t>
        </is>
      </c>
      <c r="E73" s="9" t="inlineStr"/>
      <c r="F73" s="9" t="inlineStr">
        <is>
          <t>SuperCab</t>
        </is>
      </c>
      <c r="G73" s="9" t="inlineStr">
        <is>
          <t>6.8</t>
        </is>
      </c>
      <c r="H73" s="9" t="inlineStr">
        <is>
          <t>PK-XXL</t>
        </is>
      </c>
      <c r="I73" s="10">
        <f>LEN(皮卡压缩表[[#This Row],[CAB]])</f>
        <v/>
      </c>
      <c r="J73" s="10">
        <f t="array" ref="J73">_xlfn.XLOOKUP(皮卡压缩表[[#This Row],[CAB]],CAB缩写表[LONG-CAB],CAB缩写表[SHORT-CAB],皮卡压缩表[[#This Row],[CAB]])</f>
        <v/>
      </c>
      <c r="K73" s="19">
        <f t="array" ref="K7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3" s="19">
        <f>TRIM(_xlfn.XLOOKUP(皮卡压缩表[[#This Row],[MAKE]],皮卡前台名表[MAKE],皮卡前台名表[DESCRIPTION],""))</f>
        <v/>
      </c>
      <c r="M73" s="11">
        <f t="array" ref="M73">TRIM(_xlfn.XLOOKUP(皮卡压缩表[[#This Row],[BACKSIZE]],ALL尺码表[内部尺码],ALL尺码表[通用尺码],""))</f>
        <v/>
      </c>
    </row>
    <row r="74" ht="15.75" customHeight="1" s="23">
      <c r="A74" s="8" t="inlineStr">
        <is>
          <t>ALL</t>
        </is>
      </c>
      <c r="B74" s="9" t="inlineStr">
        <is>
          <t>Ford</t>
        </is>
      </c>
      <c r="C74" s="9" t="inlineStr">
        <is>
          <t>F-250/F-350 Super Duty</t>
        </is>
      </c>
      <c r="D74" s="9" t="inlineStr">
        <is>
          <t>2017-2026</t>
        </is>
      </c>
      <c r="E74" s="9" t="inlineStr"/>
      <c r="F74" s="9" t="inlineStr">
        <is>
          <t>SuperCab</t>
        </is>
      </c>
      <c r="G74" s="9" t="inlineStr">
        <is>
          <t>8</t>
        </is>
      </c>
      <c r="H74" s="9" t="inlineStr">
        <is>
          <t>PK-XXXL</t>
        </is>
      </c>
      <c r="I74" s="10">
        <f>LEN(皮卡压缩表[[#This Row],[CAB]])</f>
        <v/>
      </c>
      <c r="J74" s="10">
        <f t="array" ref="J74">_xlfn.XLOOKUP(皮卡压缩表[[#This Row],[CAB]],CAB缩写表[LONG-CAB],CAB缩写表[SHORT-CAB],皮卡压缩表[[#This Row],[CAB]])</f>
        <v/>
      </c>
      <c r="K74" s="19">
        <f t="array" ref="K7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4" s="19">
        <f>TRIM(_xlfn.XLOOKUP(皮卡压缩表[[#This Row],[MAKE]],皮卡前台名表[MAKE],皮卡前台名表[DESCRIPTION],""))</f>
        <v/>
      </c>
      <c r="M74" s="11">
        <f t="array" ref="M74">TRIM(_xlfn.XLOOKUP(皮卡压缩表[[#This Row],[BACKSIZE]],ALL尺码表[内部尺码],ALL尺码表[通用尺码],""))</f>
        <v/>
      </c>
    </row>
    <row r="75" ht="15.75" customHeight="1" s="23">
      <c r="A75" s="8" t="inlineStr">
        <is>
          <t>ALL</t>
        </is>
      </c>
      <c r="B75" s="9" t="inlineStr">
        <is>
          <t>Ford</t>
        </is>
      </c>
      <c r="C75" s="9" t="inlineStr">
        <is>
          <t>Ford F-100</t>
        </is>
      </c>
      <c r="D75" s="9" t="inlineStr">
        <is>
          <t>1953-1964</t>
        </is>
      </c>
      <c r="E75" s="9" t="inlineStr"/>
      <c r="F75" s="9" t="inlineStr">
        <is>
          <t>Regular</t>
        </is>
      </c>
      <c r="G75" s="9" t="inlineStr">
        <is>
          <t>6.5</t>
        </is>
      </c>
      <c r="H75" s="9" t="inlineStr">
        <is>
          <t>PK-M</t>
        </is>
      </c>
      <c r="I75" s="10">
        <f>LEN(皮卡压缩表[[#This Row],[CAB]])</f>
        <v/>
      </c>
      <c r="J75" s="10">
        <f t="array" ref="J75">_xlfn.XLOOKUP(皮卡压缩表[[#This Row],[CAB]],CAB缩写表[LONG-CAB],CAB缩写表[SHORT-CAB],皮卡压缩表[[#This Row],[CAB]])</f>
        <v/>
      </c>
      <c r="K75" s="19">
        <f t="array" ref="K7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5" s="19">
        <f>TRIM(_xlfn.XLOOKUP(皮卡压缩表[[#This Row],[MAKE]],皮卡前台名表[MAKE],皮卡前台名表[DESCRIPTION],""))</f>
        <v/>
      </c>
      <c r="M75" s="11">
        <f t="array" ref="M75">TRIM(_xlfn.XLOOKUP(皮卡压缩表[[#This Row],[BACKSIZE]],ALL尺码表[内部尺码],ALL尺码表[通用尺码],""))</f>
        <v/>
      </c>
    </row>
    <row r="76" ht="15.75" customHeight="1" s="23">
      <c r="A76" s="8" t="inlineStr">
        <is>
          <t>ALL</t>
        </is>
      </c>
      <c r="B76" s="9" t="inlineStr">
        <is>
          <t>Ford</t>
        </is>
      </c>
      <c r="C76" s="9" t="inlineStr">
        <is>
          <t>Ford F-100</t>
        </is>
      </c>
      <c r="D76" s="9" t="inlineStr">
        <is>
          <t>1956-1966</t>
        </is>
      </c>
      <c r="E76" s="9" t="inlineStr"/>
      <c r="F76" s="9" t="inlineStr">
        <is>
          <t>Regular</t>
        </is>
      </c>
      <c r="G76" s="9" t="inlineStr">
        <is>
          <t>8</t>
        </is>
      </c>
      <c r="H76" s="9" t="inlineStr">
        <is>
          <t>PK-M</t>
        </is>
      </c>
      <c r="I76" s="10">
        <f>LEN(皮卡压缩表[[#This Row],[CAB]])</f>
        <v/>
      </c>
      <c r="J76" s="10">
        <f t="array" ref="J76">_xlfn.XLOOKUP(皮卡压缩表[[#This Row],[CAB]],CAB缩写表[LONG-CAB],CAB缩写表[SHORT-CAB],皮卡压缩表[[#This Row],[CAB]])</f>
        <v/>
      </c>
      <c r="K76" s="19">
        <f t="array" ref="K7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6" s="19">
        <f>TRIM(_xlfn.XLOOKUP(皮卡压缩表[[#This Row],[MAKE]],皮卡前台名表[MAKE],皮卡前台名表[DESCRIPTION],""))</f>
        <v/>
      </c>
      <c r="M76" s="11">
        <f t="array" ref="M76">TRIM(_xlfn.XLOOKUP(皮卡压缩表[[#This Row],[BACKSIZE]],ALL尺码表[内部尺码],ALL尺码表[通用尺码],""))</f>
        <v/>
      </c>
    </row>
    <row r="77" ht="15.75" customHeight="1" s="23">
      <c r="A77" s="8" t="inlineStr">
        <is>
          <t>ALL</t>
        </is>
      </c>
      <c r="B77" s="9" t="inlineStr">
        <is>
          <t>Ford</t>
        </is>
      </c>
      <c r="C77" s="9" t="inlineStr">
        <is>
          <t>Ford F-100</t>
        </is>
      </c>
      <c r="D77" s="9" t="inlineStr">
        <is>
          <t>1965-1966</t>
        </is>
      </c>
      <c r="E77" s="9" t="inlineStr"/>
      <c r="F77" s="9" t="inlineStr">
        <is>
          <t>Regular</t>
        </is>
      </c>
      <c r="G77" s="9" t="inlineStr">
        <is>
          <t>6.5</t>
        </is>
      </c>
      <c r="H77" s="9" t="inlineStr">
        <is>
          <t>无可用尺码</t>
        </is>
      </c>
      <c r="I77" s="10">
        <f>LEN(皮卡压缩表[[#This Row],[CAB]])</f>
        <v/>
      </c>
      <c r="J77" s="10">
        <f t="array" ref="J77">_xlfn.XLOOKUP(皮卡压缩表[[#This Row],[CAB]],CAB缩写表[LONG-CAB],CAB缩写表[SHORT-CAB],皮卡压缩表[[#This Row],[CAB]])</f>
        <v/>
      </c>
      <c r="K77" s="19">
        <f t="array" ref="K7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7" s="19">
        <f>TRIM(_xlfn.XLOOKUP(皮卡压缩表[[#This Row],[MAKE]],皮卡前台名表[MAKE],皮卡前台名表[DESCRIPTION],""))</f>
        <v/>
      </c>
      <c r="M77" s="11">
        <f t="array" ref="M77">TRIM(_xlfn.XLOOKUP(皮卡压缩表[[#This Row],[BACKSIZE]],ALL尺码表[内部尺码],ALL尺码表[通用尺码],""))</f>
        <v/>
      </c>
    </row>
    <row r="78" ht="15.75" customHeight="1" s="23">
      <c r="A78" s="8" t="inlineStr">
        <is>
          <t>ALL</t>
        </is>
      </c>
      <c r="B78" s="9" t="inlineStr">
        <is>
          <t>Ford</t>
        </is>
      </c>
      <c r="C78" s="9" t="inlineStr">
        <is>
          <t>Ford F-100</t>
        </is>
      </c>
      <c r="D78" s="9" t="inlineStr">
        <is>
          <t>1967</t>
        </is>
      </c>
      <c r="E78" s="9" t="inlineStr"/>
      <c r="F78" s="9" t="inlineStr">
        <is>
          <t>Regular</t>
        </is>
      </c>
      <c r="G78" s="9" t="inlineStr">
        <is>
          <t>6.5</t>
        </is>
      </c>
      <c r="H78" s="9" t="inlineStr">
        <is>
          <t>PK-M</t>
        </is>
      </c>
      <c r="I78" s="10">
        <f>LEN(皮卡压缩表[[#This Row],[CAB]])</f>
        <v/>
      </c>
      <c r="J78" s="10">
        <f t="array" ref="J78">_xlfn.XLOOKUP(皮卡压缩表[[#This Row],[CAB]],CAB缩写表[LONG-CAB],CAB缩写表[SHORT-CAB],皮卡压缩表[[#This Row],[CAB]])</f>
        <v/>
      </c>
      <c r="K78" s="19">
        <f t="array" ref="K7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8" s="19">
        <f>TRIM(_xlfn.XLOOKUP(皮卡压缩表[[#This Row],[MAKE]],皮卡前台名表[MAKE],皮卡前台名表[DESCRIPTION],""))</f>
        <v/>
      </c>
      <c r="M78" s="11">
        <f t="array" ref="M78">TRIM(_xlfn.XLOOKUP(皮卡压缩表[[#This Row],[BACKSIZE]],ALL尺码表[内部尺码],ALL尺码表[通用尺码],""))</f>
        <v/>
      </c>
    </row>
    <row r="79" ht="15.75" customHeight="1" s="23">
      <c r="A79" s="8" t="inlineStr">
        <is>
          <t>ALL</t>
        </is>
      </c>
      <c r="B79" s="9" t="inlineStr">
        <is>
          <t>Ford</t>
        </is>
      </c>
      <c r="C79" s="9" t="inlineStr">
        <is>
          <t>Ford F-100</t>
        </is>
      </c>
      <c r="D79" s="9" t="inlineStr">
        <is>
          <t>1967</t>
        </is>
      </c>
      <c r="E79" s="9" t="inlineStr"/>
      <c r="F79" s="9" t="inlineStr">
        <is>
          <t>Regular</t>
        </is>
      </c>
      <c r="G79" s="9" t="inlineStr">
        <is>
          <t>8</t>
        </is>
      </c>
      <c r="H79" s="9" t="inlineStr">
        <is>
          <t>PK-M+</t>
        </is>
      </c>
      <c r="I79" s="10">
        <f>LEN(皮卡压缩表[[#This Row],[CAB]])</f>
        <v/>
      </c>
      <c r="J79" s="10">
        <f t="array" ref="J79">_xlfn.XLOOKUP(皮卡压缩表[[#This Row],[CAB]],CAB缩写表[LONG-CAB],CAB缩写表[SHORT-CAB],皮卡压缩表[[#This Row],[CAB]])</f>
        <v/>
      </c>
      <c r="K79" s="19">
        <f t="array" ref="K7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9" s="19">
        <f>TRIM(_xlfn.XLOOKUP(皮卡压缩表[[#This Row],[MAKE]],皮卡前台名表[MAKE],皮卡前台名表[DESCRIPTION],""))</f>
        <v/>
      </c>
      <c r="M79" s="11">
        <f t="array" ref="M79">TRIM(_xlfn.XLOOKUP(皮卡压缩表[[#This Row],[BACKSIZE]],ALL尺码表[内部尺码],ALL尺码表[通用尺码],""))</f>
        <v/>
      </c>
    </row>
    <row r="80" ht="15.75" customHeight="1" s="23">
      <c r="A80" s="8" t="inlineStr">
        <is>
          <t>ALL</t>
        </is>
      </c>
      <c r="B80" s="9" t="inlineStr">
        <is>
          <t>Ford</t>
        </is>
      </c>
      <c r="C80" s="9" t="inlineStr">
        <is>
          <t>Ford F-100</t>
        </is>
      </c>
      <c r="D80" s="9" t="inlineStr">
        <is>
          <t>1968-1972</t>
        </is>
      </c>
      <c r="E80" s="9" t="inlineStr"/>
      <c r="F80" s="9" t="inlineStr">
        <is>
          <t>Regular</t>
        </is>
      </c>
      <c r="G80" s="9" t="inlineStr">
        <is>
          <t>6.5</t>
        </is>
      </c>
      <c r="H80" s="9" t="inlineStr">
        <is>
          <t>无可用尺码</t>
        </is>
      </c>
      <c r="I80" s="10">
        <f>LEN(皮卡压缩表[[#This Row],[CAB]])</f>
        <v/>
      </c>
      <c r="J80" s="10">
        <f t="array" ref="J80">_xlfn.XLOOKUP(皮卡压缩表[[#This Row],[CAB]],CAB缩写表[LONG-CAB],CAB缩写表[SHORT-CAB],皮卡压缩表[[#This Row],[CAB]])</f>
        <v/>
      </c>
      <c r="K80" s="19">
        <f t="array" ref="K8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0" s="19">
        <f>TRIM(_xlfn.XLOOKUP(皮卡压缩表[[#This Row],[MAKE]],皮卡前台名表[MAKE],皮卡前台名表[DESCRIPTION],""))</f>
        <v/>
      </c>
      <c r="M80" s="11">
        <f t="array" ref="M80">TRIM(_xlfn.XLOOKUP(皮卡压缩表[[#This Row],[BACKSIZE]],ALL尺码表[内部尺码],ALL尺码表[通用尺码],""))</f>
        <v/>
      </c>
    </row>
    <row r="81" ht="15.75" customHeight="1" s="23">
      <c r="A81" s="8" t="inlineStr">
        <is>
          <t>ALL</t>
        </is>
      </c>
      <c r="B81" s="9" t="inlineStr">
        <is>
          <t>Ford</t>
        </is>
      </c>
      <c r="C81" s="9" t="inlineStr">
        <is>
          <t>Ford F-100</t>
        </is>
      </c>
      <c r="D81" s="9" t="inlineStr">
        <is>
          <t>1968-1972</t>
        </is>
      </c>
      <c r="E81" s="9" t="inlineStr"/>
      <c r="F81" s="9" t="inlineStr">
        <is>
          <t>Regular</t>
        </is>
      </c>
      <c r="G81" s="9" t="inlineStr">
        <is>
          <t>8</t>
        </is>
      </c>
      <c r="H81" s="9" t="inlineStr">
        <is>
          <t>PK-M</t>
        </is>
      </c>
      <c r="I81" s="10">
        <f>LEN(皮卡压缩表[[#This Row],[CAB]])</f>
        <v/>
      </c>
      <c r="J81" s="10">
        <f t="array" ref="J81">_xlfn.XLOOKUP(皮卡压缩表[[#This Row],[CAB]],CAB缩写表[LONG-CAB],CAB缩写表[SHORT-CAB],皮卡压缩表[[#This Row],[CAB]])</f>
        <v/>
      </c>
      <c r="K81" s="19">
        <f t="array" ref="K8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1" s="19">
        <f>TRIM(_xlfn.XLOOKUP(皮卡压缩表[[#This Row],[MAKE]],皮卡前台名表[MAKE],皮卡前台名表[DESCRIPTION],""))</f>
        <v/>
      </c>
      <c r="M81" s="11">
        <f t="array" ref="M81">TRIM(_xlfn.XLOOKUP(皮卡压缩表[[#This Row],[BACKSIZE]],ALL尺码表[内部尺码],ALL尺码表[通用尺码],""))</f>
        <v/>
      </c>
    </row>
    <row r="82" ht="15.75" customHeight="1" s="23">
      <c r="A82" s="8" t="inlineStr">
        <is>
          <t>ALL</t>
        </is>
      </c>
      <c r="B82" s="9" t="inlineStr">
        <is>
          <t>Ford</t>
        </is>
      </c>
      <c r="C82" s="9" t="inlineStr">
        <is>
          <t>Ford F-100</t>
        </is>
      </c>
      <c r="D82" s="9" t="inlineStr">
        <is>
          <t>1973-1979</t>
        </is>
      </c>
      <c r="E82" s="9" t="inlineStr"/>
      <c r="F82" s="9" t="inlineStr">
        <is>
          <t>Regular</t>
        </is>
      </c>
      <c r="G82" s="9" t="inlineStr">
        <is>
          <t>8</t>
        </is>
      </c>
      <c r="H82" s="9" t="inlineStr">
        <is>
          <t>PK-M+</t>
        </is>
      </c>
      <c r="I82" s="10">
        <f>LEN(皮卡压缩表[[#This Row],[CAB]])</f>
        <v/>
      </c>
      <c r="J82" s="10">
        <f t="array" ref="J82">_xlfn.XLOOKUP(皮卡压缩表[[#This Row],[CAB]],CAB缩写表[LONG-CAB],CAB缩写表[SHORT-CAB],皮卡压缩表[[#This Row],[CAB]])</f>
        <v/>
      </c>
      <c r="K82" s="19">
        <f t="array" ref="K8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2" s="19">
        <f>TRIM(_xlfn.XLOOKUP(皮卡压缩表[[#This Row],[MAKE]],皮卡前台名表[MAKE],皮卡前台名表[DESCRIPTION],""))</f>
        <v/>
      </c>
      <c r="M82" s="11">
        <f t="array" ref="M82">TRIM(_xlfn.XLOOKUP(皮卡压缩表[[#This Row],[BACKSIZE]],ALL尺码表[内部尺码],ALL尺码表[通用尺码],""))</f>
        <v/>
      </c>
    </row>
    <row r="83" ht="15.75" customHeight="1" s="23">
      <c r="A83" s="8" t="inlineStr">
        <is>
          <t>ALL</t>
        </is>
      </c>
      <c r="B83" s="9" t="inlineStr">
        <is>
          <t>Ford</t>
        </is>
      </c>
      <c r="C83" s="9" t="inlineStr">
        <is>
          <t>Ford F-100</t>
        </is>
      </c>
      <c r="D83" s="9" t="inlineStr">
        <is>
          <t>1973-1983</t>
        </is>
      </c>
      <c r="E83" s="9" t="inlineStr"/>
      <c r="F83" s="9" t="inlineStr">
        <is>
          <t>Regular</t>
        </is>
      </c>
      <c r="G83" s="9" t="inlineStr">
        <is>
          <t>6.75</t>
        </is>
      </c>
      <c r="H83" s="9" t="inlineStr">
        <is>
          <t>PK-M</t>
        </is>
      </c>
      <c r="I83" s="10">
        <f>LEN(皮卡压缩表[[#This Row],[CAB]])</f>
        <v/>
      </c>
      <c r="J83" s="10">
        <f t="array" ref="J83">_xlfn.XLOOKUP(皮卡压缩表[[#This Row],[CAB]],CAB缩写表[LONG-CAB],CAB缩写表[SHORT-CAB],皮卡压缩表[[#This Row],[CAB]])</f>
        <v/>
      </c>
      <c r="K83" s="19">
        <f t="array" ref="K8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3" s="19">
        <f>TRIM(_xlfn.XLOOKUP(皮卡压缩表[[#This Row],[MAKE]],皮卡前台名表[MAKE],皮卡前台名表[DESCRIPTION],""))</f>
        <v/>
      </c>
      <c r="M83" s="11">
        <f t="array" ref="M83">TRIM(_xlfn.XLOOKUP(皮卡压缩表[[#This Row],[BACKSIZE]],ALL尺码表[内部尺码],ALL尺码表[通用尺码],""))</f>
        <v/>
      </c>
    </row>
    <row r="84" ht="15.75" customHeight="1" s="23">
      <c r="A84" s="8" t="inlineStr">
        <is>
          <t>ALL</t>
        </is>
      </c>
      <c r="B84" s="9" t="inlineStr">
        <is>
          <t>Ford</t>
        </is>
      </c>
      <c r="C84" s="9" t="inlineStr">
        <is>
          <t>Ford F-100</t>
        </is>
      </c>
      <c r="D84" s="9" t="inlineStr">
        <is>
          <t>1974-1979</t>
        </is>
      </c>
      <c r="E84" s="9" t="inlineStr"/>
      <c r="F84" s="9" t="inlineStr">
        <is>
          <t>SuperCab</t>
        </is>
      </c>
      <c r="G84" s="9" t="inlineStr">
        <is>
          <t>6.75</t>
        </is>
      </c>
      <c r="H84" s="9" t="inlineStr">
        <is>
          <t>PK-M+</t>
        </is>
      </c>
      <c r="I84" s="10">
        <f>LEN(皮卡压缩表[[#This Row],[CAB]])</f>
        <v/>
      </c>
      <c r="J84" s="10">
        <f t="array" ref="J84">_xlfn.XLOOKUP(皮卡压缩表[[#This Row],[CAB]],CAB缩写表[LONG-CAB],CAB缩写表[SHORT-CAB],皮卡压缩表[[#This Row],[CAB]])</f>
        <v/>
      </c>
      <c r="K84" s="19">
        <f t="array" ref="K8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4" s="19">
        <f>TRIM(_xlfn.XLOOKUP(皮卡压缩表[[#This Row],[MAKE]],皮卡前台名表[MAKE],皮卡前台名表[DESCRIPTION],""))</f>
        <v/>
      </c>
      <c r="M84" s="11">
        <f t="array" ref="M84">TRIM(_xlfn.XLOOKUP(皮卡压缩表[[#This Row],[BACKSIZE]],ALL尺码表[内部尺码],ALL尺码表[通用尺码],""))</f>
        <v/>
      </c>
    </row>
    <row r="85" ht="15.75" customHeight="1" s="23">
      <c r="A85" s="8" t="inlineStr">
        <is>
          <t>ALL</t>
        </is>
      </c>
      <c r="B85" s="9" t="inlineStr">
        <is>
          <t>Ford</t>
        </is>
      </c>
      <c r="C85" s="9" t="inlineStr">
        <is>
          <t>Ford F-100</t>
        </is>
      </c>
      <c r="D85" s="9" t="inlineStr">
        <is>
          <t>1974-1979</t>
        </is>
      </c>
      <c r="E85" s="9" t="inlineStr"/>
      <c r="F85" s="9" t="inlineStr">
        <is>
          <t>SuperCab</t>
        </is>
      </c>
      <c r="G85" s="9" t="inlineStr">
        <is>
          <t>8</t>
        </is>
      </c>
      <c r="H85" s="9" t="inlineStr">
        <is>
          <t>PK-XL+</t>
        </is>
      </c>
      <c r="I85" s="10">
        <f>LEN(皮卡压缩表[[#This Row],[CAB]])</f>
        <v/>
      </c>
      <c r="J85" s="10">
        <f t="array" ref="J85">_xlfn.XLOOKUP(皮卡压缩表[[#This Row],[CAB]],CAB缩写表[LONG-CAB],CAB缩写表[SHORT-CAB],皮卡压缩表[[#This Row],[CAB]])</f>
        <v/>
      </c>
      <c r="K85" s="19">
        <f t="array" ref="K8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5" s="19">
        <f>TRIM(_xlfn.XLOOKUP(皮卡压缩表[[#This Row],[MAKE]],皮卡前台名表[MAKE],皮卡前台名表[DESCRIPTION],""))</f>
        <v/>
      </c>
      <c r="M85" s="11">
        <f t="array" ref="M85">TRIM(_xlfn.XLOOKUP(皮卡压缩表[[#This Row],[BACKSIZE]],ALL尺码表[内部尺码],ALL尺码表[通用尺码],""))</f>
        <v/>
      </c>
    </row>
    <row r="86" ht="15.75" customHeight="1" s="23">
      <c r="A86" s="8" t="inlineStr">
        <is>
          <t>ALL</t>
        </is>
      </c>
      <c r="B86" s="9" t="inlineStr">
        <is>
          <t>Ford</t>
        </is>
      </c>
      <c r="C86" s="9" t="inlineStr">
        <is>
          <t>Ford F-100</t>
        </is>
      </c>
      <c r="D86" s="9" t="inlineStr">
        <is>
          <t>1980-1983</t>
        </is>
      </c>
      <c r="E86" s="9" t="inlineStr"/>
      <c r="F86" s="9" t="inlineStr">
        <is>
          <t>Regular</t>
        </is>
      </c>
      <c r="G86" s="9" t="inlineStr">
        <is>
          <t>8</t>
        </is>
      </c>
      <c r="H86" s="9" t="inlineStr">
        <is>
          <t>PK-M</t>
        </is>
      </c>
      <c r="I86" s="10">
        <f>LEN(皮卡压缩表[[#This Row],[CAB]])</f>
        <v/>
      </c>
      <c r="J86" s="10">
        <f t="array" ref="J86">_xlfn.XLOOKUP(皮卡压缩表[[#This Row],[CAB]],CAB缩写表[LONG-CAB],CAB缩写表[SHORT-CAB],皮卡压缩表[[#This Row],[CAB]])</f>
        <v/>
      </c>
      <c r="K86" s="19">
        <f t="array" ref="K8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6" s="19">
        <f>TRIM(_xlfn.XLOOKUP(皮卡压缩表[[#This Row],[MAKE]],皮卡前台名表[MAKE],皮卡前台名表[DESCRIPTION],""))</f>
        <v/>
      </c>
      <c r="M86" s="11">
        <f t="array" ref="M86">TRIM(_xlfn.XLOOKUP(皮卡压缩表[[#This Row],[BACKSIZE]],ALL尺码表[内部尺码],ALL尺码表[通用尺码],""))</f>
        <v/>
      </c>
    </row>
    <row r="87" ht="15.75" customHeight="1" s="23">
      <c r="A87" s="8" t="inlineStr">
        <is>
          <t>ALL</t>
        </is>
      </c>
      <c r="B87" s="9" t="inlineStr">
        <is>
          <t>Ford</t>
        </is>
      </c>
      <c r="C87" s="9" t="inlineStr">
        <is>
          <t>Ranger</t>
        </is>
      </c>
      <c r="D87" s="9" t="inlineStr">
        <is>
          <t>1993-1997</t>
        </is>
      </c>
      <c r="E87" s="9" t="inlineStr"/>
      <c r="F87" s="9" t="inlineStr">
        <is>
          <t>Regular</t>
        </is>
      </c>
      <c r="G87" s="9" t="inlineStr">
        <is>
          <t>6</t>
        </is>
      </c>
      <c r="H87" s="9" t="inlineStr">
        <is>
          <t>无可用尺码</t>
        </is>
      </c>
      <c r="I87" s="10">
        <f>LEN(皮卡压缩表[[#This Row],[CAB]])</f>
        <v/>
      </c>
      <c r="J87" s="10">
        <f t="array" ref="J87">_xlfn.XLOOKUP(皮卡压缩表[[#This Row],[CAB]],CAB缩写表[LONG-CAB],CAB缩写表[SHORT-CAB],皮卡压缩表[[#This Row],[CAB]])</f>
        <v/>
      </c>
      <c r="K87" s="19">
        <f t="array" ref="K8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7" s="19">
        <f>TRIM(_xlfn.XLOOKUP(皮卡压缩表[[#This Row],[MAKE]],皮卡前台名表[MAKE],皮卡前台名表[DESCRIPTION],""))</f>
        <v/>
      </c>
      <c r="M87" s="11">
        <f t="array" ref="M87">TRIM(_xlfn.XLOOKUP(皮卡压缩表[[#This Row],[BACKSIZE]],ALL尺码表[内部尺码],ALL尺码表[通用尺码],""))</f>
        <v/>
      </c>
    </row>
    <row r="88" ht="15.75" customHeight="1" s="23">
      <c r="A88" s="8" t="inlineStr">
        <is>
          <t>ALL</t>
        </is>
      </c>
      <c r="B88" s="9" t="inlineStr">
        <is>
          <t>Ford</t>
        </is>
      </c>
      <c r="C88" s="9" t="inlineStr">
        <is>
          <t>Ranger</t>
        </is>
      </c>
      <c r="D88" s="9" t="inlineStr">
        <is>
          <t>1998-2011</t>
        </is>
      </c>
      <c r="E88" s="9" t="inlineStr"/>
      <c r="F88" s="9" t="inlineStr">
        <is>
          <t>Regular</t>
        </is>
      </c>
      <c r="G88" s="9" t="inlineStr">
        <is>
          <t>6</t>
        </is>
      </c>
      <c r="H88" s="9" t="inlineStr">
        <is>
          <t>PK-M</t>
        </is>
      </c>
      <c r="I88" s="10">
        <f>LEN(皮卡压缩表[[#This Row],[CAB]])</f>
        <v/>
      </c>
      <c r="J88" s="10">
        <f t="array" ref="J88">_xlfn.XLOOKUP(皮卡压缩表[[#This Row],[CAB]],CAB缩写表[LONG-CAB],CAB缩写表[SHORT-CAB],皮卡压缩表[[#This Row],[CAB]])</f>
        <v/>
      </c>
      <c r="K88" s="19">
        <f t="array" ref="K8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8" s="19">
        <f>TRIM(_xlfn.XLOOKUP(皮卡压缩表[[#This Row],[MAKE]],皮卡前台名表[MAKE],皮卡前台名表[DESCRIPTION],""))</f>
        <v/>
      </c>
      <c r="M88" s="11">
        <f t="array" ref="M88">TRIM(_xlfn.XLOOKUP(皮卡压缩表[[#This Row],[BACKSIZE]],ALL尺码表[内部尺码],ALL尺码表[通用尺码],""))</f>
        <v/>
      </c>
    </row>
    <row r="89" ht="15.75" customHeight="1" s="23">
      <c r="A89" s="8" t="inlineStr">
        <is>
          <t>ALL</t>
        </is>
      </c>
      <c r="B89" s="9" t="inlineStr">
        <is>
          <t>GMC</t>
        </is>
      </c>
      <c r="C89" s="9" t="inlineStr">
        <is>
          <t>Canyon</t>
        </is>
      </c>
      <c r="D89" s="9" t="inlineStr">
        <is>
          <t>2004-2012</t>
        </is>
      </c>
      <c r="E89" s="9" t="inlineStr"/>
      <c r="F89" s="9" t="inlineStr">
        <is>
          <t>Crew/Extended/Regular</t>
        </is>
      </c>
      <c r="G89" s="9" t="inlineStr">
        <is>
          <t>5-6</t>
        </is>
      </c>
      <c r="H89" s="9" t="inlineStr">
        <is>
          <t>PK-M</t>
        </is>
      </c>
      <c r="I89" s="10">
        <f>LEN(皮卡压缩表[[#This Row],[CAB]])</f>
        <v/>
      </c>
      <c r="J89" s="10">
        <f t="array" ref="J89">_xlfn.XLOOKUP(皮卡压缩表[[#This Row],[CAB]],CAB缩写表[LONG-CAB],CAB缩写表[SHORT-CAB],皮卡压缩表[[#This Row],[CAB]])</f>
        <v/>
      </c>
      <c r="K89" s="19">
        <f t="array" ref="K8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9" s="19">
        <f>TRIM(_xlfn.XLOOKUP(皮卡压缩表[[#This Row],[MAKE]],皮卡前台名表[MAKE],皮卡前台名表[DESCRIPTION],""))</f>
        <v/>
      </c>
      <c r="M89" s="11">
        <f t="array" ref="M89">TRIM(_xlfn.XLOOKUP(皮卡压缩表[[#This Row],[BACKSIZE]],ALL尺码表[内部尺码],ALL尺码表[通用尺码],""))</f>
        <v/>
      </c>
    </row>
    <row r="90" ht="15.75" customHeight="1" s="23">
      <c r="A90" s="8" t="inlineStr">
        <is>
          <t>ALL</t>
        </is>
      </c>
      <c r="B90" s="9" t="inlineStr">
        <is>
          <t>GMC</t>
        </is>
      </c>
      <c r="C90" s="9" t="inlineStr">
        <is>
          <t>Canyon</t>
        </is>
      </c>
      <c r="D90" s="9" t="inlineStr">
        <is>
          <t>2015-2020</t>
        </is>
      </c>
      <c r="E90" s="9" t="inlineStr"/>
      <c r="F90" s="9" t="inlineStr">
        <is>
          <t>Extended</t>
        </is>
      </c>
      <c r="G90" s="9" t="inlineStr">
        <is>
          <t>6</t>
        </is>
      </c>
      <c r="H90" s="9" t="inlineStr">
        <is>
          <t>PK-M+</t>
        </is>
      </c>
      <c r="I90" s="10">
        <f>LEN(皮卡压缩表[[#This Row],[CAB]])</f>
        <v/>
      </c>
      <c r="J90" s="10">
        <f t="array" ref="J90">_xlfn.XLOOKUP(皮卡压缩表[[#This Row],[CAB]],CAB缩写表[LONG-CAB],CAB缩写表[SHORT-CAB],皮卡压缩表[[#This Row],[CAB]])</f>
        <v/>
      </c>
      <c r="K90" s="19">
        <f t="array" ref="K9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0" s="19">
        <f>TRIM(_xlfn.XLOOKUP(皮卡压缩表[[#This Row],[MAKE]],皮卡前台名表[MAKE],皮卡前台名表[DESCRIPTION],""))</f>
        <v/>
      </c>
      <c r="M90" s="11">
        <f t="array" ref="M90">TRIM(_xlfn.XLOOKUP(皮卡压缩表[[#This Row],[BACKSIZE]],ALL尺码表[内部尺码],ALL尺码表[通用尺码],""))</f>
        <v/>
      </c>
    </row>
    <row r="91" ht="15.75" customHeight="1" s="23">
      <c r="A91" s="8" t="inlineStr">
        <is>
          <t>ALL</t>
        </is>
      </c>
      <c r="B91" s="9" t="inlineStr">
        <is>
          <t>GMC</t>
        </is>
      </c>
      <c r="C91" s="9" t="inlineStr">
        <is>
          <t>Canyon</t>
        </is>
      </c>
      <c r="D91" s="9" t="inlineStr">
        <is>
          <t>2015-2022</t>
        </is>
      </c>
      <c r="E91" s="9" t="inlineStr"/>
      <c r="F91" s="9" t="inlineStr">
        <is>
          <t>Crew</t>
        </is>
      </c>
      <c r="G91" s="9" t="inlineStr">
        <is>
          <t>5</t>
        </is>
      </c>
      <c r="H91" s="9" t="inlineStr">
        <is>
          <t>PK-M+</t>
        </is>
      </c>
      <c r="I91" s="10">
        <f>LEN(皮卡压缩表[[#This Row],[CAB]])</f>
        <v/>
      </c>
      <c r="J91" s="10">
        <f t="array" ref="J91">_xlfn.XLOOKUP(皮卡压缩表[[#This Row],[CAB]],CAB缩写表[LONG-CAB],CAB缩写表[SHORT-CAB],皮卡压缩表[[#This Row],[CAB]])</f>
        <v/>
      </c>
      <c r="K91" s="19">
        <f t="array" ref="K9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1" s="19">
        <f>TRIM(_xlfn.XLOOKUP(皮卡压缩表[[#This Row],[MAKE]],皮卡前台名表[MAKE],皮卡前台名表[DESCRIPTION],""))</f>
        <v/>
      </c>
      <c r="M91" s="11">
        <f t="array" ref="M91">TRIM(_xlfn.XLOOKUP(皮卡压缩表[[#This Row],[BACKSIZE]],ALL尺码表[内部尺码],ALL尺码表[通用尺码],""))</f>
        <v/>
      </c>
    </row>
    <row r="92" ht="15.75" customHeight="1" s="23">
      <c r="A92" s="8" t="inlineStr">
        <is>
          <t>ALL</t>
        </is>
      </c>
      <c r="B92" s="9" t="inlineStr">
        <is>
          <t>GMC</t>
        </is>
      </c>
      <c r="C92" s="9" t="inlineStr">
        <is>
          <t>Canyon</t>
        </is>
      </c>
      <c r="D92" s="9" t="inlineStr">
        <is>
          <t>2023-2026</t>
        </is>
      </c>
      <c r="E92" s="9" t="inlineStr">
        <is>
          <t>Incl: AT4X</t>
        </is>
      </c>
      <c r="F92" s="9" t="inlineStr">
        <is>
          <t>Crew</t>
        </is>
      </c>
      <c r="G92" s="9" t="inlineStr">
        <is>
          <t>5</t>
        </is>
      </c>
      <c r="H92" s="9" t="inlineStr">
        <is>
          <t>无可用尺码</t>
        </is>
      </c>
      <c r="I92" s="10">
        <f>LEN(皮卡压缩表[[#This Row],[CAB]])</f>
        <v/>
      </c>
      <c r="J92" s="10">
        <f t="array" ref="J92">_xlfn.XLOOKUP(皮卡压缩表[[#This Row],[CAB]],CAB缩写表[LONG-CAB],CAB缩写表[SHORT-CAB],皮卡压缩表[[#This Row],[CAB]])</f>
        <v/>
      </c>
      <c r="K92" s="19">
        <f t="array" ref="K9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2" s="19">
        <f>TRIM(_xlfn.XLOOKUP(皮卡压缩表[[#This Row],[MAKE]],皮卡前台名表[MAKE],皮卡前台名表[DESCRIPTION],""))</f>
        <v/>
      </c>
      <c r="M92" s="11">
        <f t="array" ref="M92">TRIM(_xlfn.XLOOKUP(皮卡压缩表[[#This Row],[BACKSIZE]],ALL尺码表[内部尺码],ALL尺码表[通用尺码],""))</f>
        <v/>
      </c>
    </row>
    <row r="93" ht="15.75" customHeight="1" s="23">
      <c r="A93" s="8" t="inlineStr">
        <is>
          <t>ALL</t>
        </is>
      </c>
      <c r="B93" s="9" t="inlineStr">
        <is>
          <t>GMC</t>
        </is>
      </c>
      <c r="C93" s="9" t="inlineStr">
        <is>
          <t>Sierra 1500</t>
        </is>
      </c>
      <c r="D93" s="9" t="inlineStr">
        <is>
          <t>2007-2018</t>
        </is>
      </c>
      <c r="E93" s="9" t="inlineStr"/>
      <c r="F93" s="9" t="inlineStr">
        <is>
          <t>Crew/Double</t>
        </is>
      </c>
      <c r="G93" s="9" t="inlineStr">
        <is>
          <t>5.8-6.6</t>
        </is>
      </c>
      <c r="H93" s="9" t="inlineStr">
        <is>
          <t>PK-L</t>
        </is>
      </c>
      <c r="I93" s="10">
        <f>LEN(皮卡压缩表[[#This Row],[CAB]])</f>
        <v/>
      </c>
      <c r="J93" s="10">
        <f t="array" ref="J93">_xlfn.XLOOKUP(皮卡压缩表[[#This Row],[CAB]],CAB缩写表[LONG-CAB],CAB缩写表[SHORT-CAB],皮卡压缩表[[#This Row],[CAB]])</f>
        <v/>
      </c>
      <c r="K93" s="19">
        <f t="array" ref="K9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3" s="19">
        <f>TRIM(_xlfn.XLOOKUP(皮卡压缩表[[#This Row],[MAKE]],皮卡前台名表[MAKE],皮卡前台名表[DESCRIPTION],""))</f>
        <v/>
      </c>
      <c r="M93" s="11">
        <f t="array" ref="M93">TRIM(_xlfn.XLOOKUP(皮卡压缩表[[#This Row],[BACKSIZE]],ALL尺码表[内部尺码],ALL尺码表[通用尺码],""))</f>
        <v/>
      </c>
    </row>
    <row r="94" ht="15.75" customHeight="1" s="23">
      <c r="A94" s="8" t="inlineStr">
        <is>
          <t>ALL</t>
        </is>
      </c>
      <c r="B94" s="9" t="inlineStr">
        <is>
          <t>GMC</t>
        </is>
      </c>
      <c r="C94" s="9" t="inlineStr">
        <is>
          <t>Sierra 1500</t>
        </is>
      </c>
      <c r="D94" s="9" t="inlineStr">
        <is>
          <t>2019-2026</t>
        </is>
      </c>
      <c r="E94" s="9" t="inlineStr"/>
      <c r="F94" s="9" t="inlineStr">
        <is>
          <t>Crew/Double</t>
        </is>
      </c>
      <c r="G94" s="9" t="inlineStr">
        <is>
          <t>5.8-6.6</t>
        </is>
      </c>
      <c r="H94" s="9" t="inlineStr">
        <is>
          <t>PK-XL+</t>
        </is>
      </c>
      <c r="I94" s="10">
        <f>LEN(皮卡压缩表[[#This Row],[CAB]])</f>
        <v/>
      </c>
      <c r="J94" s="10">
        <f t="array" ref="J94">_xlfn.XLOOKUP(皮卡压缩表[[#This Row],[CAB]],CAB缩写表[LONG-CAB],CAB缩写表[SHORT-CAB],皮卡压缩表[[#This Row],[CAB]])</f>
        <v/>
      </c>
      <c r="K94" s="19">
        <f t="array" ref="K9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4" s="19">
        <f>TRIM(_xlfn.XLOOKUP(皮卡压缩表[[#This Row],[MAKE]],皮卡前台名表[MAKE],皮卡前台名表[DESCRIPTION],""))</f>
        <v/>
      </c>
      <c r="M94" s="11">
        <f t="array" ref="M94">TRIM(_xlfn.XLOOKUP(皮卡压缩表[[#This Row],[BACKSIZE]],ALL尺码表[内部尺码],ALL尺码表[通用尺码],""))</f>
        <v/>
      </c>
    </row>
    <row r="95" ht="15.75" customHeight="1" s="23">
      <c r="A95" s="8" t="inlineStr">
        <is>
          <t>ALL</t>
        </is>
      </c>
      <c r="B95" s="9" t="inlineStr">
        <is>
          <t>GMC</t>
        </is>
      </c>
      <c r="C95" s="9" t="inlineStr">
        <is>
          <t>Sierra 2500HD/3500HD</t>
        </is>
      </c>
      <c r="D95" s="9" t="inlineStr">
        <is>
          <t>2001-2026</t>
        </is>
      </c>
      <c r="E95" s="9" t="inlineStr"/>
      <c r="F95" s="9" t="inlineStr">
        <is>
          <t>Crew/Double</t>
        </is>
      </c>
      <c r="G95" s="9" t="inlineStr">
        <is>
          <t>6.8</t>
        </is>
      </c>
      <c r="H95" s="9" t="inlineStr">
        <is>
          <t>PK-XXL</t>
        </is>
      </c>
      <c r="I95" s="10">
        <f>LEN(皮卡压缩表[[#This Row],[CAB]])</f>
        <v/>
      </c>
      <c r="J95" s="10">
        <f t="array" ref="J95">_xlfn.XLOOKUP(皮卡压缩表[[#This Row],[CAB]],CAB缩写表[LONG-CAB],CAB缩写表[SHORT-CAB],皮卡压缩表[[#This Row],[CAB]])</f>
        <v/>
      </c>
      <c r="K95" s="19">
        <f t="array" ref="K9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5" s="19">
        <f>TRIM(_xlfn.XLOOKUP(皮卡压缩表[[#This Row],[MAKE]],皮卡前台名表[MAKE],皮卡前台名表[DESCRIPTION],""))</f>
        <v/>
      </c>
      <c r="M95" s="11">
        <f t="array" ref="M95">TRIM(_xlfn.XLOOKUP(皮卡压缩表[[#This Row],[BACKSIZE]],ALL尺码表[内部尺码],ALL尺码表[通用尺码],""))</f>
        <v/>
      </c>
    </row>
    <row r="96" ht="15.75" customHeight="1" s="23">
      <c r="A96" s="8" t="inlineStr">
        <is>
          <t>ALL</t>
        </is>
      </c>
      <c r="B96" s="9" t="inlineStr">
        <is>
          <t>GMC</t>
        </is>
      </c>
      <c r="C96" s="9" t="inlineStr">
        <is>
          <t>Sierra 2500HD/3500HD</t>
        </is>
      </c>
      <c r="D96" s="9" t="inlineStr">
        <is>
          <t>2001-2026</t>
        </is>
      </c>
      <c r="E96" s="9" t="inlineStr">
        <is>
          <t>Incl: DRW</t>
        </is>
      </c>
      <c r="F96" s="9" t="inlineStr">
        <is>
          <t>Crew</t>
        </is>
      </c>
      <c r="G96" s="9" t="inlineStr">
        <is>
          <t>8</t>
        </is>
      </c>
      <c r="H96" s="9" t="inlineStr">
        <is>
          <t>无可用尺码</t>
        </is>
      </c>
      <c r="I96" s="10">
        <f>LEN(皮卡压缩表[[#This Row],[CAB]])</f>
        <v/>
      </c>
      <c r="J96" s="10">
        <f t="array" ref="J96">_xlfn.XLOOKUP(皮卡压缩表[[#This Row],[CAB]],CAB缩写表[LONG-CAB],CAB缩写表[SHORT-CAB],皮卡压缩表[[#This Row],[CAB]])</f>
        <v/>
      </c>
      <c r="K96" s="19">
        <f t="array" ref="K9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6" s="19">
        <f>TRIM(_xlfn.XLOOKUP(皮卡压缩表[[#This Row],[MAKE]],皮卡前台名表[MAKE],皮卡前台名表[DESCRIPTION],""))</f>
        <v/>
      </c>
      <c r="M96" s="11">
        <f t="array" ref="M96">TRIM(_xlfn.XLOOKUP(皮卡压缩表[[#This Row],[BACKSIZE]],ALL尺码表[内部尺码],ALL尺码表[通用尺码],""))</f>
        <v/>
      </c>
    </row>
    <row r="97" ht="15.75" customHeight="1" s="23">
      <c r="A97" s="8" t="inlineStr">
        <is>
          <t>ALL</t>
        </is>
      </c>
      <c r="B97" s="9" t="inlineStr">
        <is>
          <t>GMC</t>
        </is>
      </c>
      <c r="C97" s="9" t="inlineStr">
        <is>
          <t>Canyon</t>
        </is>
      </c>
      <c r="D97" s="9" t="inlineStr">
        <is>
          <t>2015-2022</t>
        </is>
      </c>
      <c r="E97" s="9" t="inlineStr"/>
      <c r="F97" s="9" t="inlineStr">
        <is>
          <t>Crew</t>
        </is>
      </c>
      <c r="G97" s="9" t="inlineStr">
        <is>
          <t>6</t>
        </is>
      </c>
      <c r="H97" s="9" t="inlineStr">
        <is>
          <t>PK-L</t>
        </is>
      </c>
      <c r="I97" s="10">
        <f>LEN(皮卡压缩表[[#This Row],[CAB]])</f>
        <v/>
      </c>
      <c r="J97" s="10">
        <f t="array" ref="J97">_xlfn.XLOOKUP(皮卡压缩表[[#This Row],[CAB]],CAB缩写表[LONG-CAB],CAB缩写表[SHORT-CAB],皮卡压缩表[[#This Row],[CAB]])</f>
        <v/>
      </c>
      <c r="K97" s="19">
        <f t="array" ref="K9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7" s="19">
        <f>TRIM(_xlfn.XLOOKUP(皮卡压缩表[[#This Row],[MAKE]],皮卡前台名表[MAKE],皮卡前台名表[DESCRIPTION],""))</f>
        <v/>
      </c>
      <c r="M97" s="11">
        <f t="array" ref="M97">TRIM(_xlfn.XLOOKUP(皮卡压缩表[[#This Row],[BACKSIZE]],ALL尺码表[内部尺码],ALL尺码表[通用尺码],""))</f>
        <v/>
      </c>
    </row>
    <row r="98" ht="15.75" customHeight="1" s="23">
      <c r="A98" s="8" t="inlineStr">
        <is>
          <t>ALL</t>
        </is>
      </c>
      <c r="B98" s="9" t="inlineStr">
        <is>
          <t>GMC</t>
        </is>
      </c>
      <c r="C98" s="9" t="inlineStr">
        <is>
          <t>Sierra 1500</t>
        </is>
      </c>
      <c r="D98" s="9" t="inlineStr">
        <is>
          <t>1999-2006</t>
        </is>
      </c>
      <c r="E98" s="9" t="inlineStr"/>
      <c r="F98" s="9" t="inlineStr">
        <is>
          <t>Extended</t>
        </is>
      </c>
      <c r="G98" s="9" t="inlineStr">
        <is>
          <t>6.6</t>
        </is>
      </c>
      <c r="H98" s="9" t="inlineStr">
        <is>
          <t>PK-L</t>
        </is>
      </c>
      <c r="I98" s="10">
        <f>LEN(皮卡压缩表[[#This Row],[CAB]])</f>
        <v/>
      </c>
      <c r="J98" s="10">
        <f t="array" ref="J98">_xlfn.XLOOKUP(皮卡压缩表[[#This Row],[CAB]],CAB缩写表[LONG-CAB],CAB缩写表[SHORT-CAB],皮卡压缩表[[#This Row],[CAB]])</f>
        <v/>
      </c>
      <c r="K98" s="19">
        <f t="array" ref="K9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8" s="19">
        <f>TRIM(_xlfn.XLOOKUP(皮卡压缩表[[#This Row],[MAKE]],皮卡前台名表[MAKE],皮卡前台名表[DESCRIPTION],""))</f>
        <v/>
      </c>
      <c r="M98" s="11">
        <f t="array" ref="M98">TRIM(_xlfn.XLOOKUP(皮卡压缩表[[#This Row],[BACKSIZE]],ALL尺码表[内部尺码],ALL尺码表[通用尺码],""))</f>
        <v/>
      </c>
    </row>
    <row r="99" ht="15.75" customHeight="1" s="23">
      <c r="A99" s="8" t="inlineStr">
        <is>
          <t>ALL</t>
        </is>
      </c>
      <c r="B99" s="9" t="inlineStr">
        <is>
          <t>GMC</t>
        </is>
      </c>
      <c r="C99" s="9" t="inlineStr">
        <is>
          <t>Sierra 1500</t>
        </is>
      </c>
      <c r="D99" s="9" t="inlineStr">
        <is>
          <t>1999-2013</t>
        </is>
      </c>
      <c r="E99" s="9" t="inlineStr"/>
      <c r="F99" s="9" t="inlineStr">
        <is>
          <t>Extended</t>
        </is>
      </c>
      <c r="G99" s="9" t="inlineStr">
        <is>
          <t>8</t>
        </is>
      </c>
      <c r="H99" s="9" t="inlineStr">
        <is>
          <t>PK-XXL</t>
        </is>
      </c>
      <c r="I99" s="10">
        <f>LEN(皮卡压缩表[[#This Row],[CAB]])</f>
        <v/>
      </c>
      <c r="J99" s="10">
        <f t="array" ref="J99">_xlfn.XLOOKUP(皮卡压缩表[[#This Row],[CAB]],CAB缩写表[LONG-CAB],CAB缩写表[SHORT-CAB],皮卡压缩表[[#This Row],[CAB]])</f>
        <v/>
      </c>
      <c r="K99" s="19">
        <f t="array" ref="K9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9" s="19">
        <f>TRIM(_xlfn.XLOOKUP(皮卡压缩表[[#This Row],[MAKE]],皮卡前台名表[MAKE],皮卡前台名表[DESCRIPTION],""))</f>
        <v/>
      </c>
      <c r="M99" s="11">
        <f t="array" ref="M99">TRIM(_xlfn.XLOOKUP(皮卡压缩表[[#This Row],[BACKSIZE]],ALL尺码表[内部尺码],ALL尺码表[通用尺码],""))</f>
        <v/>
      </c>
    </row>
    <row r="100" ht="15.75" customHeight="1" s="23">
      <c r="A100" s="8" t="inlineStr">
        <is>
          <t>ALL</t>
        </is>
      </c>
      <c r="B100" s="9" t="inlineStr">
        <is>
          <t>GMC</t>
        </is>
      </c>
      <c r="C100" s="9" t="inlineStr">
        <is>
          <t>Sierra 1500</t>
        </is>
      </c>
      <c r="D100" s="9" t="inlineStr">
        <is>
          <t>1999-2026</t>
        </is>
      </c>
      <c r="E100" s="9" t="inlineStr"/>
      <c r="F100" s="9" t="inlineStr">
        <is>
          <t>Regular</t>
        </is>
      </c>
      <c r="G100" s="9" t="inlineStr">
        <is>
          <t>8</t>
        </is>
      </c>
      <c r="H100" s="9" t="inlineStr">
        <is>
          <t>PK-XL</t>
        </is>
      </c>
      <c r="I100" s="10">
        <f>LEN(皮卡压缩表[[#This Row],[CAB]])</f>
        <v/>
      </c>
      <c r="J100" s="10">
        <f t="array" ref="J100">_xlfn.XLOOKUP(皮卡压缩表[[#This Row],[CAB]],CAB缩写表[LONG-CAB],CAB缩写表[SHORT-CAB],皮卡压缩表[[#This Row],[CAB]])</f>
        <v/>
      </c>
      <c r="K100" s="19">
        <f t="array" ref="K10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0" s="19">
        <f>TRIM(_xlfn.XLOOKUP(皮卡压缩表[[#This Row],[MAKE]],皮卡前台名表[MAKE],皮卡前台名表[DESCRIPTION],""))</f>
        <v/>
      </c>
      <c r="M100" s="11">
        <f t="array" ref="M100">TRIM(_xlfn.XLOOKUP(皮卡压缩表[[#This Row],[BACKSIZE]],ALL尺码表[内部尺码],ALL尺码表[通用尺码],""))</f>
        <v/>
      </c>
    </row>
    <row r="101" ht="15.75" customHeight="1" s="23">
      <c r="A101" s="8" t="inlineStr">
        <is>
          <t>ALL</t>
        </is>
      </c>
      <c r="B101" s="9" t="inlineStr">
        <is>
          <t>GMC</t>
        </is>
      </c>
      <c r="C101" s="9" t="inlineStr">
        <is>
          <t>Sierra 1500</t>
        </is>
      </c>
      <c r="D101" s="9" t="inlineStr">
        <is>
          <t>2004-2006</t>
        </is>
      </c>
      <c r="E101" s="9" t="inlineStr"/>
      <c r="F101" s="9" t="inlineStr">
        <is>
          <t>Crew</t>
        </is>
      </c>
      <c r="G101" s="9" t="inlineStr">
        <is>
          <t>5.8</t>
        </is>
      </c>
      <c r="H101" s="9" t="inlineStr">
        <is>
          <t>PK-XL+</t>
        </is>
      </c>
      <c r="I101" s="10">
        <f>LEN(皮卡压缩表[[#This Row],[CAB]])</f>
        <v/>
      </c>
      <c r="J101" s="10">
        <f t="array" ref="J101">_xlfn.XLOOKUP(皮卡压缩表[[#This Row],[CAB]],CAB缩写表[LONG-CAB],CAB缩写表[SHORT-CAB],皮卡压缩表[[#This Row],[CAB]])</f>
        <v/>
      </c>
      <c r="K101" s="19">
        <f t="array" ref="K10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1" s="19">
        <f>TRIM(_xlfn.XLOOKUP(皮卡压缩表[[#This Row],[MAKE]],皮卡前台名表[MAKE],皮卡前台名表[DESCRIPTION],""))</f>
        <v/>
      </c>
      <c r="M101" s="11">
        <f t="array" ref="M101">TRIM(_xlfn.XLOOKUP(皮卡压缩表[[#This Row],[BACKSIZE]],ALL尺码表[内部尺码],ALL尺码表[通用尺码],""))</f>
        <v/>
      </c>
    </row>
    <row r="102" ht="15.75" customHeight="1" s="23">
      <c r="A102" s="8" t="inlineStr">
        <is>
          <t>ALL</t>
        </is>
      </c>
      <c r="B102" s="9" t="inlineStr">
        <is>
          <t>GMC</t>
        </is>
      </c>
      <c r="C102" s="9" t="inlineStr">
        <is>
          <t>Sierra 1500</t>
        </is>
      </c>
      <c r="D102" s="9" t="inlineStr">
        <is>
          <t>2007-2013</t>
        </is>
      </c>
      <c r="E102" s="9" t="inlineStr"/>
      <c r="F102" s="9" t="inlineStr">
        <is>
          <t>Extended</t>
        </is>
      </c>
      <c r="G102" s="9" t="inlineStr">
        <is>
          <t>6.6</t>
        </is>
      </c>
      <c r="H102" s="9" t="inlineStr">
        <is>
          <t>PK-XL+</t>
        </is>
      </c>
      <c r="I102" s="10">
        <f>LEN(皮卡压缩表[[#This Row],[CAB]])</f>
        <v/>
      </c>
      <c r="J102" s="10">
        <f t="array" ref="J102">_xlfn.XLOOKUP(皮卡压缩表[[#This Row],[CAB]],CAB缩写表[LONG-CAB],CAB缩写表[SHORT-CAB],皮卡压缩表[[#This Row],[CAB]])</f>
        <v/>
      </c>
      <c r="K102" s="19">
        <f t="array" ref="K10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2" s="19">
        <f>TRIM(_xlfn.XLOOKUP(皮卡压缩表[[#This Row],[MAKE]],皮卡前台名表[MAKE],皮卡前台名表[DESCRIPTION],""))</f>
        <v/>
      </c>
      <c r="M102" s="11">
        <f t="array" ref="M102">TRIM(_xlfn.XLOOKUP(皮卡压缩表[[#This Row],[BACKSIZE]],ALL尺码表[内部尺码],ALL尺码表[通用尺码],""))</f>
        <v/>
      </c>
    </row>
    <row r="103" ht="15.75" customHeight="1" s="23">
      <c r="A103" s="8" t="inlineStr">
        <is>
          <t>ALL</t>
        </is>
      </c>
      <c r="B103" s="9" t="inlineStr">
        <is>
          <t>GMC</t>
        </is>
      </c>
      <c r="C103" s="9" t="inlineStr">
        <is>
          <t>Sierra 1500</t>
        </is>
      </c>
      <c r="D103" s="9" t="inlineStr">
        <is>
          <t>2007-2018</t>
        </is>
      </c>
      <c r="E103" s="9" t="inlineStr"/>
      <c r="F103" s="9" t="inlineStr">
        <is>
          <t>Regular</t>
        </is>
      </c>
      <c r="G103" s="9" t="inlineStr">
        <is>
          <t>6.6</t>
        </is>
      </c>
      <c r="H103" s="9" t="inlineStr">
        <is>
          <t>PK-M</t>
        </is>
      </c>
      <c r="I103" s="10">
        <f>LEN(皮卡压缩表[[#This Row],[CAB]])</f>
        <v/>
      </c>
      <c r="J103" s="10">
        <f t="array" ref="J103">_xlfn.XLOOKUP(皮卡压缩表[[#This Row],[CAB]],CAB缩写表[LONG-CAB],CAB缩写表[SHORT-CAB],皮卡压缩表[[#This Row],[CAB]])</f>
        <v/>
      </c>
      <c r="K103" s="19">
        <f t="array" ref="K10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3" s="19">
        <f>TRIM(_xlfn.XLOOKUP(皮卡压缩表[[#This Row],[MAKE]],皮卡前台名表[MAKE],皮卡前台名表[DESCRIPTION],""))</f>
        <v/>
      </c>
      <c r="M103" s="11">
        <f t="array" ref="M103">TRIM(_xlfn.XLOOKUP(皮卡压缩表[[#This Row],[BACKSIZE]],ALL尺码表[内部尺码],ALL尺码表[通用尺码],""))</f>
        <v/>
      </c>
    </row>
    <row r="104" ht="15.75" customHeight="1" s="23">
      <c r="A104" s="8" t="inlineStr">
        <is>
          <t>ALL</t>
        </is>
      </c>
      <c r="B104" s="9" t="inlineStr">
        <is>
          <t>GMC</t>
        </is>
      </c>
      <c r="C104" s="9" t="inlineStr">
        <is>
          <t>Sierra 1500</t>
        </is>
      </c>
      <c r="D104" s="9" t="inlineStr">
        <is>
          <t>2019-2026</t>
        </is>
      </c>
      <c r="E104" s="9" t="inlineStr"/>
      <c r="F104" s="9" t="inlineStr">
        <is>
          <t>Regular</t>
        </is>
      </c>
      <c r="G104" s="9" t="inlineStr">
        <is>
          <t>6.6</t>
        </is>
      </c>
      <c r="H104" s="9" t="inlineStr">
        <is>
          <t>PK-M+</t>
        </is>
      </c>
      <c r="I104" s="10">
        <f>LEN(皮卡压缩表[[#This Row],[CAB]])</f>
        <v/>
      </c>
      <c r="J104" s="10">
        <f t="array" ref="J104">_xlfn.XLOOKUP(皮卡压缩表[[#This Row],[CAB]],CAB缩写表[LONG-CAB],CAB缩写表[SHORT-CAB],皮卡压缩表[[#This Row],[CAB]])</f>
        <v/>
      </c>
      <c r="K104" s="19">
        <f t="array" ref="K10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4" s="19">
        <f>TRIM(_xlfn.XLOOKUP(皮卡压缩表[[#This Row],[MAKE]],皮卡前台名表[MAKE],皮卡前台名表[DESCRIPTION],""))</f>
        <v/>
      </c>
      <c r="M104" s="11">
        <f t="array" ref="M104">TRIM(_xlfn.XLOOKUP(皮卡压缩表[[#This Row],[BACKSIZE]],ALL尺码表[内部尺码],ALL尺码表[通用尺码],""))</f>
        <v/>
      </c>
    </row>
    <row r="105" ht="15.75" customHeight="1" s="23">
      <c r="A105" s="8" t="inlineStr">
        <is>
          <t>ALL</t>
        </is>
      </c>
      <c r="B105" s="9" t="inlineStr">
        <is>
          <t>GMC</t>
        </is>
      </c>
      <c r="C105" s="9" t="inlineStr">
        <is>
          <t>Sierra 2500HD/3500HD</t>
        </is>
      </c>
      <c r="D105" s="9" t="inlineStr">
        <is>
          <t>2001-2026</t>
        </is>
      </c>
      <c r="E105" s="9" t="inlineStr"/>
      <c r="F105" s="9" t="inlineStr">
        <is>
          <t>Regular</t>
        </is>
      </c>
      <c r="G105" s="9" t="inlineStr">
        <is>
          <t>8</t>
        </is>
      </c>
      <c r="H105" s="9" t="inlineStr">
        <is>
          <t>PK-XL</t>
        </is>
      </c>
      <c r="I105" s="10">
        <f>LEN(皮卡压缩表[[#This Row],[CAB]])</f>
        <v/>
      </c>
      <c r="J105" s="10">
        <f t="array" ref="J105">_xlfn.XLOOKUP(皮卡压缩表[[#This Row],[CAB]],CAB缩写表[LONG-CAB],CAB缩写表[SHORT-CAB],皮卡压缩表[[#This Row],[CAB]])</f>
        <v/>
      </c>
      <c r="K105" s="19">
        <f t="array" ref="K10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5" s="19">
        <f>TRIM(_xlfn.XLOOKUP(皮卡压缩表[[#This Row],[MAKE]],皮卡前台名表[MAKE],皮卡前台名表[DESCRIPTION],""))</f>
        <v/>
      </c>
      <c r="M105" s="11">
        <f t="array" ref="M105">TRIM(_xlfn.XLOOKUP(皮卡压缩表[[#This Row],[BACKSIZE]],ALL尺码表[内部尺码],ALL尺码表[通用尺码],""))</f>
        <v/>
      </c>
    </row>
    <row r="106" ht="15.75" customHeight="1" s="23">
      <c r="A106" s="8" t="inlineStr">
        <is>
          <t>ALL</t>
        </is>
      </c>
      <c r="B106" s="9" t="inlineStr">
        <is>
          <t>GMC</t>
        </is>
      </c>
      <c r="C106" s="9" t="inlineStr">
        <is>
          <t>Sierra 2500HD/3500HD</t>
        </is>
      </c>
      <c r="D106" s="9" t="inlineStr">
        <is>
          <t>2015-2026</t>
        </is>
      </c>
      <c r="E106" s="9" t="inlineStr"/>
      <c r="F106" s="9" t="inlineStr">
        <is>
          <t>Double</t>
        </is>
      </c>
      <c r="G106" s="9" t="inlineStr">
        <is>
          <t>8</t>
        </is>
      </c>
      <c r="H106" s="9" t="inlineStr">
        <is>
          <t>PK-XXXL</t>
        </is>
      </c>
      <c r="I106" s="10">
        <f>LEN(皮卡压缩表[[#This Row],[CAB]])</f>
        <v/>
      </c>
      <c r="J106" s="10">
        <f t="array" ref="J106">_xlfn.XLOOKUP(皮卡压缩表[[#This Row],[CAB]],CAB缩写表[LONG-CAB],CAB缩写表[SHORT-CAB],皮卡压缩表[[#This Row],[CAB]])</f>
        <v/>
      </c>
      <c r="K106" s="19">
        <f t="array" ref="K10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6" s="19">
        <f>TRIM(_xlfn.XLOOKUP(皮卡压缩表[[#This Row],[MAKE]],皮卡前台名表[MAKE],皮卡前台名表[DESCRIPTION],""))</f>
        <v/>
      </c>
      <c r="M106" s="11">
        <f t="array" ref="M106">TRIM(_xlfn.XLOOKUP(皮卡压缩表[[#This Row],[BACKSIZE]],ALL尺码表[内部尺码],ALL尺码表[通用尺码],""))</f>
        <v/>
      </c>
    </row>
    <row r="107" ht="15.75" customHeight="1" s="23">
      <c r="A107" s="8" t="inlineStr">
        <is>
          <t>ALL</t>
        </is>
      </c>
      <c r="B107" s="9" t="inlineStr">
        <is>
          <t>GMC</t>
        </is>
      </c>
      <c r="C107" s="9" t="inlineStr">
        <is>
          <t>Sierra EV</t>
        </is>
      </c>
      <c r="D107" s="9" t="inlineStr">
        <is>
          <t>2024-2026</t>
        </is>
      </c>
      <c r="E107" s="9" t="inlineStr"/>
      <c r="F107" s="9" t="inlineStr">
        <is>
          <t>Crew</t>
        </is>
      </c>
      <c r="G107" s="9" t="inlineStr">
        <is>
          <t>5.9</t>
        </is>
      </c>
      <c r="H107" s="9" t="inlineStr">
        <is>
          <t>PK-XL+</t>
        </is>
      </c>
      <c r="I107" s="10">
        <f>LEN(皮卡压缩表[[#This Row],[CAB]])</f>
        <v/>
      </c>
      <c r="J107" s="10">
        <f t="array" ref="J107">_xlfn.XLOOKUP(皮卡压缩表[[#This Row],[CAB]],CAB缩写表[LONG-CAB],CAB缩写表[SHORT-CAB],皮卡压缩表[[#This Row],[CAB]])</f>
        <v/>
      </c>
      <c r="K107" s="19">
        <f t="array" ref="K10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7" s="19">
        <f>TRIM(_xlfn.XLOOKUP(皮卡压缩表[[#This Row],[MAKE]],皮卡前台名表[MAKE],皮卡前台名表[DESCRIPTION],""))</f>
        <v/>
      </c>
      <c r="M107" s="11">
        <f t="array" ref="M107">TRIM(_xlfn.XLOOKUP(皮卡压缩表[[#This Row],[BACKSIZE]],ALL尺码表[内部尺码],ALL尺码表[通用尺码],""))</f>
        <v/>
      </c>
    </row>
    <row r="108" ht="15.75" customHeight="1" s="23">
      <c r="A108" s="8" t="inlineStr">
        <is>
          <t>ALL</t>
        </is>
      </c>
      <c r="B108" s="9" t="inlineStr">
        <is>
          <t>Honda</t>
        </is>
      </c>
      <c r="C108" s="9" t="inlineStr">
        <is>
          <t>Ridgeline</t>
        </is>
      </c>
      <c r="D108" s="9" t="inlineStr">
        <is>
          <t>2006-2020</t>
        </is>
      </c>
      <c r="E108" s="9" t="inlineStr"/>
      <c r="F108" s="9" t="inlineStr">
        <is>
          <t>Crew</t>
        </is>
      </c>
      <c r="G108" s="9" t="inlineStr">
        <is>
          <t>5-5.3</t>
        </is>
      </c>
      <c r="H108" s="9" t="inlineStr">
        <is>
          <t>PK-M</t>
        </is>
      </c>
      <c r="I108" s="10">
        <f>LEN(皮卡压缩表[[#This Row],[CAB]])</f>
        <v/>
      </c>
      <c r="J108" s="10">
        <f t="array" ref="J108">_xlfn.XLOOKUP(皮卡压缩表[[#This Row],[CAB]],CAB缩写表[LONG-CAB],CAB缩写表[SHORT-CAB],皮卡压缩表[[#This Row],[CAB]])</f>
        <v/>
      </c>
      <c r="K108" s="19">
        <f t="array" ref="K10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8" s="19">
        <f>TRIM(_xlfn.XLOOKUP(皮卡压缩表[[#This Row],[MAKE]],皮卡前台名表[MAKE],皮卡前台名表[DESCRIPTION],""))</f>
        <v/>
      </c>
      <c r="M108" s="11">
        <f t="array" ref="M108">TRIM(_xlfn.XLOOKUP(皮卡压缩表[[#This Row],[BACKSIZE]],ALL尺码表[内部尺码],ALL尺码表[通用尺码],""))</f>
        <v/>
      </c>
    </row>
    <row r="109" ht="15.75" customHeight="1" s="23">
      <c r="A109" s="8" t="inlineStr">
        <is>
          <t>ALL</t>
        </is>
      </c>
      <c r="B109" s="9" t="inlineStr">
        <is>
          <t>Honda</t>
        </is>
      </c>
      <c r="C109" s="9" t="inlineStr">
        <is>
          <t>Ridgeline</t>
        </is>
      </c>
      <c r="D109" s="9" t="inlineStr">
        <is>
          <t>2021-2026</t>
        </is>
      </c>
      <c r="E109" s="9" t="inlineStr"/>
      <c r="F109" s="9" t="inlineStr">
        <is>
          <t>Crew</t>
        </is>
      </c>
      <c r="G109" s="9" t="inlineStr">
        <is>
          <t>5.3</t>
        </is>
      </c>
      <c r="H109" s="9" t="inlineStr">
        <is>
          <t>PK-M+</t>
        </is>
      </c>
      <c r="I109" s="10">
        <f>LEN(皮卡压缩表[[#This Row],[CAB]])</f>
        <v/>
      </c>
      <c r="J109" s="10">
        <f t="array" ref="J109">_xlfn.XLOOKUP(皮卡压缩表[[#This Row],[CAB]],CAB缩写表[LONG-CAB],CAB缩写表[SHORT-CAB],皮卡压缩表[[#This Row],[CAB]])</f>
        <v/>
      </c>
      <c r="K109" s="19">
        <f t="array" ref="K10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9" s="19">
        <f>TRIM(_xlfn.XLOOKUP(皮卡压缩表[[#This Row],[MAKE]],皮卡前台名表[MAKE],皮卡前台名表[DESCRIPTION],""))</f>
        <v/>
      </c>
      <c r="M109" s="11">
        <f t="array" ref="M109">TRIM(_xlfn.XLOOKUP(皮卡压缩表[[#This Row],[BACKSIZE]],ALL尺码表[内部尺码],ALL尺码表[通用尺码],""))</f>
        <v/>
      </c>
    </row>
    <row r="110" ht="15.75" customHeight="1" s="23">
      <c r="A110" s="8" t="inlineStr">
        <is>
          <t>ALL</t>
        </is>
      </c>
      <c r="B110" s="9" t="inlineStr">
        <is>
          <t>Hyundai</t>
        </is>
      </c>
      <c r="C110" s="9" t="inlineStr">
        <is>
          <t>Hyundai Santa Cruz</t>
        </is>
      </c>
      <c r="D110" s="9" t="inlineStr">
        <is>
          <t>2022-2026</t>
        </is>
      </c>
      <c r="E110" s="9" t="inlineStr">
        <is>
          <t>Incl: XRT</t>
        </is>
      </c>
      <c r="F110" s="9" t="inlineStr">
        <is>
          <t>Crew</t>
        </is>
      </c>
      <c r="G110" s="9" t="inlineStr">
        <is>
          <t>4.3</t>
        </is>
      </c>
      <c r="H110" s="9" t="inlineStr">
        <is>
          <t>PK-M</t>
        </is>
      </c>
      <c r="I110" s="10">
        <f>LEN(皮卡压缩表[[#This Row],[CAB]])</f>
        <v/>
      </c>
      <c r="J110" s="10">
        <f t="array" ref="J110">_xlfn.XLOOKUP(皮卡压缩表[[#This Row],[CAB]],CAB缩写表[LONG-CAB],CAB缩写表[SHORT-CAB],皮卡压缩表[[#This Row],[CAB]])</f>
        <v/>
      </c>
      <c r="K110" s="19">
        <f t="array" ref="K11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0" s="19">
        <f>TRIM(_xlfn.XLOOKUP(皮卡压缩表[[#This Row],[MAKE]],皮卡前台名表[MAKE],皮卡前台名表[DESCRIPTION],""))</f>
        <v/>
      </c>
      <c r="M110" s="11">
        <f t="array" ref="M110">TRIM(_xlfn.XLOOKUP(皮卡压缩表[[#This Row],[BACKSIZE]],ALL尺码表[内部尺码],ALL尺码表[通用尺码],""))</f>
        <v/>
      </c>
    </row>
    <row r="111" ht="15.75" customHeight="1" s="23">
      <c r="A111" s="8" t="inlineStr">
        <is>
          <t>ALL</t>
        </is>
      </c>
      <c r="B111" s="9" t="inlineStr">
        <is>
          <t>Ineos Automotive</t>
        </is>
      </c>
      <c r="C111" s="9" t="inlineStr">
        <is>
          <t>Grenadier</t>
        </is>
      </c>
      <c r="D111" s="9" t="inlineStr">
        <is>
          <t>2024-2026</t>
        </is>
      </c>
      <c r="E111" s="9" t="inlineStr">
        <is>
          <t>Quartermaster</t>
        </is>
      </c>
      <c r="F111" s="9" t="inlineStr">
        <is>
          <t>Crew</t>
        </is>
      </c>
      <c r="G111" s="9" t="inlineStr">
        <is>
          <t>5.1</t>
        </is>
      </c>
      <c r="H111" s="9" t="inlineStr">
        <is>
          <t>PK-L</t>
        </is>
      </c>
      <c r="I111" s="10">
        <f>LEN(皮卡压缩表[[#This Row],[CAB]])</f>
        <v/>
      </c>
      <c r="J111" s="10">
        <f t="array" ref="J111">_xlfn.XLOOKUP(皮卡压缩表[[#This Row],[CAB]],CAB缩写表[LONG-CAB],CAB缩写表[SHORT-CAB],皮卡压缩表[[#This Row],[CAB]])</f>
        <v/>
      </c>
      <c r="K111" s="19">
        <f t="array" ref="K11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1" s="19">
        <f>TRIM(_xlfn.XLOOKUP(皮卡压缩表[[#This Row],[MAKE]],皮卡前台名表[MAKE],皮卡前台名表[DESCRIPTION],""))</f>
        <v/>
      </c>
      <c r="M111" s="11">
        <f t="array" ref="M111">TRIM(_xlfn.XLOOKUP(皮卡压缩表[[#This Row],[BACKSIZE]],ALL尺码表[内部尺码],ALL尺码表[通用尺码],""))</f>
        <v/>
      </c>
    </row>
    <row r="112" ht="15.75" customHeight="1" s="23">
      <c r="A112" s="8" t="inlineStr">
        <is>
          <t>ALL</t>
        </is>
      </c>
      <c r="B112" s="9" t="inlineStr">
        <is>
          <t>Jeep</t>
        </is>
      </c>
      <c r="C112" s="9" t="inlineStr">
        <is>
          <t>Gladiator</t>
        </is>
      </c>
      <c r="D112" s="9" t="inlineStr">
        <is>
          <t>2020-2026</t>
        </is>
      </c>
      <c r="E112" s="9" t="inlineStr">
        <is>
          <t>Incl: Mojave/Rubicon</t>
        </is>
      </c>
      <c r="F112" s="9" t="inlineStr">
        <is>
          <t>Crew</t>
        </is>
      </c>
      <c r="G112" s="9" t="inlineStr">
        <is>
          <t>5</t>
        </is>
      </c>
      <c r="H112" s="9" t="inlineStr">
        <is>
          <t>PK-M+</t>
        </is>
      </c>
      <c r="I112" s="10">
        <f>LEN(皮卡压缩表[[#This Row],[CAB]])</f>
        <v/>
      </c>
      <c r="J112" s="10">
        <f t="array" ref="J112">_xlfn.XLOOKUP(皮卡压缩表[[#This Row],[CAB]],CAB缩写表[LONG-CAB],CAB缩写表[SHORT-CAB],皮卡压缩表[[#This Row],[CAB]])</f>
        <v/>
      </c>
      <c r="K112" s="19">
        <f t="array" ref="K11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2" s="19">
        <f>TRIM(_xlfn.XLOOKUP(皮卡压缩表[[#This Row],[MAKE]],皮卡前台名表[MAKE],皮卡前台名表[DESCRIPTION],""))</f>
        <v/>
      </c>
      <c r="M112" s="11">
        <f t="array" ref="M112">TRIM(_xlfn.XLOOKUP(皮卡压缩表[[#This Row],[BACKSIZE]],ALL尺码表[内部尺码],ALL尺码表[通用尺码],""))</f>
        <v/>
      </c>
    </row>
    <row r="113" ht="15.75" customHeight="1" s="23">
      <c r="A113" s="8" t="inlineStr">
        <is>
          <t>ALL</t>
        </is>
      </c>
      <c r="B113" s="9" t="inlineStr">
        <is>
          <t>Nissan</t>
        </is>
      </c>
      <c r="C113" s="9" t="inlineStr">
        <is>
          <t>Frontier</t>
        </is>
      </c>
      <c r="D113" s="9" t="inlineStr">
        <is>
          <t>1998-2001</t>
        </is>
      </c>
      <c r="E113" s="9" t="inlineStr">
        <is>
          <t>Incl: SC-V6</t>
        </is>
      </c>
      <c r="F113" s="9" t="inlineStr">
        <is>
          <t>King/Crew</t>
        </is>
      </c>
      <c r="G113" s="9" t="inlineStr">
        <is>
          <t>4.5-6</t>
        </is>
      </c>
      <c r="H113" s="9" t="inlineStr">
        <is>
          <t>PK-M</t>
        </is>
      </c>
      <c r="I113" s="10">
        <f>LEN(皮卡压缩表[[#This Row],[CAB]])</f>
        <v/>
      </c>
      <c r="J113" s="10">
        <f t="array" ref="J113">_xlfn.XLOOKUP(皮卡压缩表[[#This Row],[CAB]],CAB缩写表[LONG-CAB],CAB缩写表[SHORT-CAB],皮卡压缩表[[#This Row],[CAB]])</f>
        <v/>
      </c>
      <c r="K113" s="19">
        <f t="array" ref="K11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3" s="19">
        <f>TRIM(_xlfn.XLOOKUP(皮卡压缩表[[#This Row],[MAKE]],皮卡前台名表[MAKE],皮卡前台名表[DESCRIPTION],""))</f>
        <v/>
      </c>
      <c r="M113" s="11">
        <f t="array" ref="M113">TRIM(_xlfn.XLOOKUP(皮卡压缩表[[#This Row],[BACKSIZE]],ALL尺码表[内部尺码],ALL尺码表[通用尺码],""))</f>
        <v/>
      </c>
    </row>
    <row r="114" ht="15.75" customHeight="1" s="23">
      <c r="A114" s="8" t="inlineStr">
        <is>
          <t>ALL</t>
        </is>
      </c>
      <c r="B114" s="9" t="inlineStr">
        <is>
          <t>Nissan</t>
        </is>
      </c>
      <c r="C114" s="9" t="inlineStr">
        <is>
          <t>Frontier</t>
        </is>
      </c>
      <c r="D114" s="9" t="inlineStr">
        <is>
          <t>2001-2021</t>
        </is>
      </c>
      <c r="E114" s="9" t="inlineStr"/>
      <c r="F114" s="9" t="inlineStr">
        <is>
          <t>Regular/King</t>
        </is>
      </c>
      <c r="G114" s="9" t="inlineStr">
        <is>
          <t>6</t>
        </is>
      </c>
      <c r="H114" s="9" t="inlineStr">
        <is>
          <t>PK-M</t>
        </is>
      </c>
      <c r="I114" s="10">
        <f>LEN(皮卡压缩表[[#This Row],[CAB]])</f>
        <v/>
      </c>
      <c r="J114" s="10">
        <f t="array" ref="J114">_xlfn.XLOOKUP(皮卡压缩表[[#This Row],[CAB]],CAB缩写表[LONG-CAB],CAB缩写表[SHORT-CAB],皮卡压缩表[[#This Row],[CAB]])</f>
        <v/>
      </c>
      <c r="K114" s="19">
        <f t="array" ref="K11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4" s="19">
        <f>TRIM(_xlfn.XLOOKUP(皮卡压缩表[[#This Row],[MAKE]],皮卡前台名表[MAKE],皮卡前台名表[DESCRIPTION],""))</f>
        <v/>
      </c>
      <c r="M114" s="11">
        <f t="array" ref="M114">TRIM(_xlfn.XLOOKUP(皮卡压缩表[[#This Row],[BACKSIZE]],ALL尺码表[内部尺码],ALL尺码表[通用尺码],""))</f>
        <v/>
      </c>
    </row>
    <row r="115" ht="15.75" customHeight="1" s="23">
      <c r="A115" s="8" t="inlineStr">
        <is>
          <t>ALL</t>
        </is>
      </c>
      <c r="B115" s="9" t="inlineStr">
        <is>
          <t>Nissan</t>
        </is>
      </c>
      <c r="C115" s="9" t="inlineStr">
        <is>
          <t>Frontier</t>
        </is>
      </c>
      <c r="D115" s="9" t="inlineStr">
        <is>
          <t>2002-2021</t>
        </is>
      </c>
      <c r="E115" s="9" t="inlineStr">
        <is>
          <t>Incl: SC-V6</t>
        </is>
      </c>
      <c r="F115" s="9" t="inlineStr">
        <is>
          <t>Crew</t>
        </is>
      </c>
      <c r="G115" s="9" t="inlineStr">
        <is>
          <t>4.5-5</t>
        </is>
      </c>
      <c r="H115" s="9" t="inlineStr">
        <is>
          <t>PK-M</t>
        </is>
      </c>
      <c r="I115" s="10">
        <f>LEN(皮卡压缩表[[#This Row],[CAB]])</f>
        <v/>
      </c>
      <c r="J115" s="10">
        <f t="array" ref="J115">_xlfn.XLOOKUP(皮卡压缩表[[#This Row],[CAB]],CAB缩写表[LONG-CAB],CAB缩写表[SHORT-CAB],皮卡压缩表[[#This Row],[CAB]])</f>
        <v/>
      </c>
      <c r="K115" s="19">
        <f t="array" ref="K11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5" s="19">
        <f>TRIM(_xlfn.XLOOKUP(皮卡压缩表[[#This Row],[MAKE]],皮卡前台名表[MAKE],皮卡前台名表[DESCRIPTION],""))</f>
        <v/>
      </c>
      <c r="M115" s="11">
        <f t="array" ref="M115">TRIM(_xlfn.XLOOKUP(皮卡压缩表[[#This Row],[BACKSIZE]],ALL尺码表[内部尺码],ALL尺码表[通用尺码],""))</f>
        <v/>
      </c>
    </row>
    <row r="116" ht="15.75" customHeight="1" s="23">
      <c r="A116" s="8" t="inlineStr">
        <is>
          <t>ALL</t>
        </is>
      </c>
      <c r="B116" s="9" t="inlineStr">
        <is>
          <t>Nissan</t>
        </is>
      </c>
      <c r="C116" s="9" t="inlineStr">
        <is>
          <t>Frontier</t>
        </is>
      </c>
      <c r="D116" s="9" t="inlineStr">
        <is>
          <t>2002-2021</t>
        </is>
      </c>
      <c r="E116" s="9" t="inlineStr">
        <is>
          <t>Incl: SC-V6</t>
        </is>
      </c>
      <c r="F116" s="9" t="inlineStr">
        <is>
          <t>Crew</t>
        </is>
      </c>
      <c r="G116" s="9" t="inlineStr">
        <is>
          <t>6</t>
        </is>
      </c>
      <c r="H116" s="9" t="inlineStr">
        <is>
          <t>PK-M+</t>
        </is>
      </c>
      <c r="I116" s="10">
        <f>LEN(皮卡压缩表[[#This Row],[CAB]])</f>
        <v/>
      </c>
      <c r="J116" s="10">
        <f t="array" ref="J116">_xlfn.XLOOKUP(皮卡压缩表[[#This Row],[CAB]],CAB缩写表[LONG-CAB],CAB缩写表[SHORT-CAB],皮卡压缩表[[#This Row],[CAB]])</f>
        <v/>
      </c>
      <c r="K116" s="19">
        <f t="array" ref="K11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6" s="19">
        <f>TRIM(_xlfn.XLOOKUP(皮卡压缩表[[#This Row],[MAKE]],皮卡前台名表[MAKE],皮卡前台名表[DESCRIPTION],""))</f>
        <v/>
      </c>
      <c r="M116" s="11">
        <f t="array" ref="M116">TRIM(_xlfn.XLOOKUP(皮卡压缩表[[#This Row],[BACKSIZE]],ALL尺码表[内部尺码],ALL尺码表[通用尺码],""))</f>
        <v/>
      </c>
    </row>
    <row r="117" ht="15.75" customHeight="1" s="23">
      <c r="A117" s="8" t="inlineStr">
        <is>
          <t>ALL</t>
        </is>
      </c>
      <c r="B117" s="9" t="inlineStr">
        <is>
          <t>Nissan</t>
        </is>
      </c>
      <c r="C117" s="9" t="inlineStr">
        <is>
          <t>Frontier</t>
        </is>
      </c>
      <c r="D117" s="9" t="inlineStr">
        <is>
          <t>1998-2000</t>
        </is>
      </c>
      <c r="E117" s="9" t="inlineStr"/>
      <c r="F117" s="9" t="inlineStr">
        <is>
          <t>Regular</t>
        </is>
      </c>
      <c r="G117" s="9" t="inlineStr">
        <is>
          <t>6</t>
        </is>
      </c>
      <c r="H117" s="9" t="inlineStr">
        <is>
          <t>无可用尺码</t>
        </is>
      </c>
      <c r="I117" s="10">
        <f>LEN(皮卡压缩表[[#This Row],[CAB]])</f>
        <v/>
      </c>
      <c r="J117" s="10">
        <f t="array" ref="J117">_xlfn.XLOOKUP(皮卡压缩表[[#This Row],[CAB]],CAB缩写表[LONG-CAB],CAB缩写表[SHORT-CAB],皮卡压缩表[[#This Row],[CAB]])</f>
        <v/>
      </c>
      <c r="K117" s="19">
        <f t="array" ref="K11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7" s="19">
        <f>TRIM(_xlfn.XLOOKUP(皮卡压缩表[[#This Row],[MAKE]],皮卡前台名表[MAKE],皮卡前台名表[DESCRIPTION],""))</f>
        <v/>
      </c>
      <c r="M117" s="11">
        <f t="array" ref="M117">TRIM(_xlfn.XLOOKUP(皮卡压缩表[[#This Row],[BACKSIZE]],ALL尺码表[内部尺码],ALL尺码表[通用尺码],""))</f>
        <v/>
      </c>
    </row>
    <row r="118" ht="15.75" customHeight="1" s="23">
      <c r="A118" s="8" t="inlineStr">
        <is>
          <t>ALL</t>
        </is>
      </c>
      <c r="B118" s="9" t="inlineStr">
        <is>
          <t>Nissan</t>
        </is>
      </c>
      <c r="C118" s="9" t="inlineStr">
        <is>
          <t>Frontier</t>
        </is>
      </c>
      <c r="D118" s="9" t="inlineStr">
        <is>
          <t>2022-2026</t>
        </is>
      </c>
      <c r="E118" s="9" t="inlineStr"/>
      <c r="F118" s="9" t="inlineStr">
        <is>
          <t>Crew</t>
        </is>
      </c>
      <c r="G118" s="9" t="inlineStr">
        <is>
          <t>5</t>
        </is>
      </c>
      <c r="H118" s="9" t="inlineStr">
        <is>
          <t>PK-M+</t>
        </is>
      </c>
      <c r="I118" s="10">
        <f>LEN(皮卡压缩表[[#This Row],[CAB]])</f>
        <v/>
      </c>
      <c r="J118" s="10">
        <f t="array" ref="J118">_xlfn.XLOOKUP(皮卡压缩表[[#This Row],[CAB]],CAB缩写表[LONG-CAB],CAB缩写表[SHORT-CAB],皮卡压缩表[[#This Row],[CAB]])</f>
        <v/>
      </c>
      <c r="K118" s="19">
        <f t="array" ref="K11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8" s="19">
        <f>TRIM(_xlfn.XLOOKUP(皮卡压缩表[[#This Row],[MAKE]],皮卡前台名表[MAKE],皮卡前台名表[DESCRIPTION],""))</f>
        <v/>
      </c>
      <c r="M118" s="11">
        <f t="array" ref="M118">TRIM(_xlfn.XLOOKUP(皮卡压缩表[[#This Row],[BACKSIZE]],ALL尺码表[内部尺码],ALL尺码表[通用尺码],""))</f>
        <v/>
      </c>
    </row>
    <row r="119" ht="15.75" customHeight="1" s="23">
      <c r="A119" s="8" t="inlineStr">
        <is>
          <t>ALL</t>
        </is>
      </c>
      <c r="B119" s="9" t="inlineStr">
        <is>
          <t>Nissan</t>
        </is>
      </c>
      <c r="C119" s="9" t="inlineStr">
        <is>
          <t>Frontier</t>
        </is>
      </c>
      <c r="D119" s="9" t="inlineStr">
        <is>
          <t>2022-2026</t>
        </is>
      </c>
      <c r="E119" s="9" t="inlineStr"/>
      <c r="F119" s="9" t="inlineStr">
        <is>
          <t>Crew</t>
        </is>
      </c>
      <c r="G119" s="9" t="inlineStr">
        <is>
          <t>6</t>
        </is>
      </c>
      <c r="H119" s="9" t="inlineStr">
        <is>
          <t>PK-L</t>
        </is>
      </c>
      <c r="I119" s="10">
        <f>LEN(皮卡压缩表[[#This Row],[CAB]])</f>
        <v/>
      </c>
      <c r="J119" s="10">
        <f t="array" ref="J119">_xlfn.XLOOKUP(皮卡压缩表[[#This Row],[CAB]],CAB缩写表[LONG-CAB],CAB缩写表[SHORT-CAB],皮卡压缩表[[#This Row],[CAB]])</f>
        <v/>
      </c>
      <c r="K119" s="19">
        <f t="array" ref="K11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9" s="19">
        <f>TRIM(_xlfn.XLOOKUP(皮卡压缩表[[#This Row],[MAKE]],皮卡前台名表[MAKE],皮卡前台名表[DESCRIPTION],""))</f>
        <v/>
      </c>
      <c r="M119" s="11">
        <f t="array" ref="M119">TRIM(_xlfn.XLOOKUP(皮卡压缩表[[#This Row],[BACKSIZE]],ALL尺码表[内部尺码],ALL尺码表[通用尺码],""))</f>
        <v/>
      </c>
    </row>
    <row r="120" ht="15.75" customHeight="1" s="23">
      <c r="A120" s="8" t="inlineStr">
        <is>
          <t>ALL</t>
        </is>
      </c>
      <c r="B120" s="9" t="inlineStr">
        <is>
          <t>Nissan</t>
        </is>
      </c>
      <c r="C120" s="9" t="inlineStr">
        <is>
          <t>Frontier</t>
        </is>
      </c>
      <c r="D120" s="9" t="inlineStr">
        <is>
          <t>2022-2026</t>
        </is>
      </c>
      <c r="E120" s="9" t="inlineStr"/>
      <c r="F120" s="9" t="inlineStr">
        <is>
          <t>King</t>
        </is>
      </c>
      <c r="G120" s="9" t="inlineStr">
        <is>
          <t>6</t>
        </is>
      </c>
      <c r="H120" s="9" t="inlineStr">
        <is>
          <t>PK-M+</t>
        </is>
      </c>
      <c r="I120" s="10">
        <f>LEN(皮卡压缩表[[#This Row],[CAB]])</f>
        <v/>
      </c>
      <c r="J120" s="10">
        <f t="array" ref="J120">_xlfn.XLOOKUP(皮卡压缩表[[#This Row],[CAB]],CAB缩写表[LONG-CAB],CAB缩写表[SHORT-CAB],皮卡压缩表[[#This Row],[CAB]])</f>
        <v/>
      </c>
      <c r="K120" s="19">
        <f t="array" ref="K12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0" s="19">
        <f>TRIM(_xlfn.XLOOKUP(皮卡压缩表[[#This Row],[MAKE]],皮卡前台名表[MAKE],皮卡前台名表[DESCRIPTION],""))</f>
        <v/>
      </c>
      <c r="M120" s="11">
        <f t="array" ref="M120">TRIM(_xlfn.XLOOKUP(皮卡压缩表[[#This Row],[BACKSIZE]],ALL尺码表[内部尺码],ALL尺码表[通用尺码],""))</f>
        <v/>
      </c>
    </row>
    <row r="121" ht="15.75" customHeight="1" s="23">
      <c r="A121" s="8" t="inlineStr">
        <is>
          <t>ALL</t>
        </is>
      </c>
      <c r="B121" s="9" t="inlineStr">
        <is>
          <t>Ram</t>
        </is>
      </c>
      <c r="C121" s="9" t="inlineStr">
        <is>
          <t>1500</t>
        </is>
      </c>
      <c r="D121" s="9" t="inlineStr">
        <is>
          <t>1994-2026</t>
        </is>
      </c>
      <c r="E121" s="9" t="inlineStr"/>
      <c r="F121" s="9" t="inlineStr">
        <is>
          <t>Club/Quad</t>
        </is>
      </c>
      <c r="G121" s="9" t="inlineStr">
        <is>
          <t>6.4</t>
        </is>
      </c>
      <c r="H121" s="9" t="inlineStr">
        <is>
          <t>PK-L</t>
        </is>
      </c>
      <c r="I121" s="10">
        <f>LEN(皮卡压缩表[[#This Row],[CAB]])</f>
        <v/>
      </c>
      <c r="J121" s="10">
        <f t="array" ref="J121">_xlfn.XLOOKUP(皮卡压缩表[[#This Row],[CAB]],CAB缩写表[LONG-CAB],CAB缩写表[SHORT-CAB],皮卡压缩表[[#This Row],[CAB]])</f>
        <v/>
      </c>
      <c r="K121" s="19">
        <f t="array" ref="K12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1" s="19">
        <f>TRIM(_xlfn.XLOOKUP(皮卡压缩表[[#This Row],[MAKE]],皮卡前台名表[MAKE],皮卡前台名表[DESCRIPTION],""))</f>
        <v/>
      </c>
      <c r="M121" s="11">
        <f t="array" ref="M121">TRIM(_xlfn.XLOOKUP(皮卡压缩表[[#This Row],[BACKSIZE]],ALL尺码表[内部尺码],ALL尺码表[通用尺码],""))</f>
        <v/>
      </c>
    </row>
    <row r="122" ht="15.75" customHeight="1" s="23">
      <c r="A122" s="8" t="inlineStr">
        <is>
          <t>ALL</t>
        </is>
      </c>
      <c r="B122" s="9" t="inlineStr">
        <is>
          <t>Ram</t>
        </is>
      </c>
      <c r="C122" s="9" t="inlineStr">
        <is>
          <t>1500</t>
        </is>
      </c>
      <c r="D122" s="9" t="inlineStr">
        <is>
          <t>1997-2018</t>
        </is>
      </c>
      <c r="E122" s="9" t="inlineStr"/>
      <c r="F122" s="9" t="inlineStr">
        <is>
          <t>Regular</t>
        </is>
      </c>
      <c r="G122" s="9" t="inlineStr">
        <is>
          <t>8</t>
        </is>
      </c>
      <c r="H122" s="9" t="inlineStr">
        <is>
          <t>PK-XL</t>
        </is>
      </c>
      <c r="I122" s="10">
        <f>LEN(皮卡压缩表[[#This Row],[CAB]])</f>
        <v/>
      </c>
      <c r="J122" s="10">
        <f t="array" ref="J122">_xlfn.XLOOKUP(皮卡压缩表[[#This Row],[CAB]],CAB缩写表[LONG-CAB],CAB缩写表[SHORT-CAB],皮卡压缩表[[#This Row],[CAB]])</f>
        <v/>
      </c>
      <c r="K122" s="19">
        <f t="array" ref="K12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2" s="19">
        <f>TRIM(_xlfn.XLOOKUP(皮卡压缩表[[#This Row],[MAKE]],皮卡前台名表[MAKE],皮卡前台名表[DESCRIPTION],""))</f>
        <v/>
      </c>
      <c r="M122" s="11">
        <f t="array" ref="M122">TRIM(_xlfn.XLOOKUP(皮卡压缩表[[#This Row],[BACKSIZE]],ALL尺码表[内部尺码],ALL尺码表[通用尺码],""))</f>
        <v/>
      </c>
    </row>
    <row r="123" ht="15.75" customHeight="1" s="23">
      <c r="A123" s="8" t="inlineStr">
        <is>
          <t>ALL</t>
        </is>
      </c>
      <c r="B123" s="9" t="inlineStr">
        <is>
          <t>Ram</t>
        </is>
      </c>
      <c r="C123" s="9" t="inlineStr">
        <is>
          <t>1500</t>
        </is>
      </c>
      <c r="D123" s="9" t="inlineStr">
        <is>
          <t>2011-2018</t>
        </is>
      </c>
      <c r="E123" s="9" t="inlineStr"/>
      <c r="F123" s="9" t="inlineStr">
        <is>
          <t>Crew</t>
        </is>
      </c>
      <c r="G123" s="9" t="inlineStr">
        <is>
          <t>5.6</t>
        </is>
      </c>
      <c r="H123" s="9" t="inlineStr">
        <is>
          <t>PK-L</t>
        </is>
      </c>
      <c r="I123" s="10">
        <f>LEN(皮卡压缩表[[#This Row],[CAB]])</f>
        <v/>
      </c>
      <c r="J123" s="10">
        <f t="array" ref="J123">_xlfn.XLOOKUP(皮卡压缩表[[#This Row],[CAB]],CAB缩写表[LONG-CAB],CAB缩写表[SHORT-CAB],皮卡压缩表[[#This Row],[CAB]])</f>
        <v/>
      </c>
      <c r="K123" s="19">
        <f t="array" ref="K12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3" s="19">
        <f>TRIM(_xlfn.XLOOKUP(皮卡压缩表[[#This Row],[MAKE]],皮卡前台名表[MAKE],皮卡前台名表[DESCRIPTION],""))</f>
        <v/>
      </c>
      <c r="M123" s="11">
        <f t="array" ref="M123">TRIM(_xlfn.XLOOKUP(皮卡压缩表[[#This Row],[BACKSIZE]],ALL尺码表[内部尺码],ALL尺码表[通用尺码],""))</f>
        <v/>
      </c>
    </row>
    <row r="124" ht="15.75" customHeight="1" s="23">
      <c r="A124" s="8" t="inlineStr">
        <is>
          <t>ALL</t>
        </is>
      </c>
      <c r="B124" s="9" t="inlineStr">
        <is>
          <t>Ram</t>
        </is>
      </c>
      <c r="C124" s="9" t="inlineStr">
        <is>
          <t>1500</t>
        </is>
      </c>
      <c r="D124" s="9" t="inlineStr">
        <is>
          <t>2019-2026</t>
        </is>
      </c>
      <c r="E124" s="9" t="inlineStr">
        <is>
          <t>Incl: TRX</t>
        </is>
      </c>
      <c r="F124" s="9" t="inlineStr">
        <is>
          <t>Crew</t>
        </is>
      </c>
      <c r="G124" s="9" t="inlineStr">
        <is>
          <t>5.6</t>
        </is>
      </c>
      <c r="H124" s="9" t="inlineStr">
        <is>
          <t>PK-XL+</t>
        </is>
      </c>
      <c r="I124" s="10">
        <f>LEN(皮卡压缩表[[#This Row],[CAB]])</f>
        <v/>
      </c>
      <c r="J124" s="10">
        <f t="array" ref="J124">_xlfn.XLOOKUP(皮卡压缩表[[#This Row],[CAB]],CAB缩写表[LONG-CAB],CAB缩写表[SHORT-CAB],皮卡压缩表[[#This Row],[CAB]])</f>
        <v/>
      </c>
      <c r="K124" s="19">
        <f t="array" ref="K12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4" s="19">
        <f>TRIM(_xlfn.XLOOKUP(皮卡压缩表[[#This Row],[MAKE]],皮卡前台名表[MAKE],皮卡前台名表[DESCRIPTION],""))</f>
        <v/>
      </c>
      <c r="M124" s="11">
        <f t="array" ref="M124">TRIM(_xlfn.XLOOKUP(皮卡压缩表[[#This Row],[BACKSIZE]],ALL尺码表[内部尺码],ALL尺码表[通用尺码],""))</f>
        <v/>
      </c>
    </row>
    <row r="125" ht="15.75" customHeight="1" s="23">
      <c r="A125" s="8" t="inlineStr">
        <is>
          <t>ALL</t>
        </is>
      </c>
      <c r="B125" s="9" t="inlineStr">
        <is>
          <t>Ram</t>
        </is>
      </c>
      <c r="C125" s="9" t="inlineStr">
        <is>
          <t>2500/3500</t>
        </is>
      </c>
      <c r="D125" s="9" t="inlineStr">
        <is>
          <t>1994-2026</t>
        </is>
      </c>
      <c r="E125" s="9" t="inlineStr"/>
      <c r="F125" s="9" t="inlineStr">
        <is>
          <t>Quad/Mega</t>
        </is>
      </c>
      <c r="G125" s="9" t="inlineStr">
        <is>
          <t>6.4-8</t>
        </is>
      </c>
      <c r="H125" s="9" t="inlineStr">
        <is>
          <t>PK-XXL</t>
        </is>
      </c>
      <c r="I125" s="10">
        <f>LEN(皮卡压缩表[[#This Row],[CAB]])</f>
        <v/>
      </c>
      <c r="J125" s="10">
        <f t="array" ref="J125">_xlfn.XLOOKUP(皮卡压缩表[[#This Row],[CAB]],CAB缩写表[LONG-CAB],CAB缩写表[SHORT-CAB],皮卡压缩表[[#This Row],[CAB]])</f>
        <v/>
      </c>
      <c r="K125" s="19">
        <f t="array" ref="K12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5" s="19">
        <f>TRIM(_xlfn.XLOOKUP(皮卡压缩表[[#This Row],[MAKE]],皮卡前台名表[MAKE],皮卡前台名表[DESCRIPTION],""))</f>
        <v/>
      </c>
      <c r="M125" s="11">
        <f t="array" ref="M125">TRIM(_xlfn.XLOOKUP(皮卡压缩表[[#This Row],[BACKSIZE]],ALL尺码表[内部尺码],ALL尺码表[通用尺码],""))</f>
        <v/>
      </c>
    </row>
    <row r="126" ht="15.75" customHeight="1" s="23">
      <c r="A126" s="8" t="inlineStr">
        <is>
          <t>ALL</t>
        </is>
      </c>
      <c r="B126" s="9" t="inlineStr">
        <is>
          <t>Ram</t>
        </is>
      </c>
      <c r="C126" s="9" t="inlineStr">
        <is>
          <t>1500</t>
        </is>
      </c>
      <c r="D126" s="9" t="inlineStr">
        <is>
          <t>1994-2018</t>
        </is>
      </c>
      <c r="E126" s="9" t="inlineStr"/>
      <c r="F126" s="9" t="inlineStr">
        <is>
          <t>Regular</t>
        </is>
      </c>
      <c r="G126" s="9" t="inlineStr">
        <is>
          <t>6.4</t>
        </is>
      </c>
      <c r="H126" s="9" t="inlineStr">
        <is>
          <t>PK-M</t>
        </is>
      </c>
      <c r="I126" s="10">
        <f>LEN(皮卡压缩表[[#This Row],[CAB]])</f>
        <v/>
      </c>
      <c r="J126" s="10">
        <f t="array" ref="J126">_xlfn.XLOOKUP(皮卡压缩表[[#This Row],[CAB]],CAB缩写表[LONG-CAB],CAB缩写表[SHORT-CAB],皮卡压缩表[[#This Row],[CAB]])</f>
        <v/>
      </c>
      <c r="K126" s="19">
        <f t="array" ref="K12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6" s="19">
        <f>TRIM(_xlfn.XLOOKUP(皮卡压缩表[[#This Row],[MAKE]],皮卡前台名表[MAKE],皮卡前台名表[DESCRIPTION],""))</f>
        <v/>
      </c>
      <c r="M126" s="11">
        <f t="array" ref="M126">TRIM(_xlfn.XLOOKUP(皮卡压缩表[[#This Row],[BACKSIZE]],ALL尺码表[内部尺码],ALL尺码表[通用尺码],""))</f>
        <v/>
      </c>
    </row>
    <row r="127" ht="15.75" customHeight="1" s="23">
      <c r="A127" s="8" t="inlineStr">
        <is>
          <t>ALL</t>
        </is>
      </c>
      <c r="B127" s="9" t="inlineStr">
        <is>
          <t>Ram</t>
        </is>
      </c>
      <c r="C127" s="9" t="inlineStr">
        <is>
          <t>1500</t>
        </is>
      </c>
      <c r="D127" s="9" t="inlineStr">
        <is>
          <t>2009-2026</t>
        </is>
      </c>
      <c r="E127" s="9" t="inlineStr"/>
      <c r="F127" s="9" t="inlineStr">
        <is>
          <t>Crew</t>
        </is>
      </c>
      <c r="G127" s="9" t="inlineStr">
        <is>
          <t>6.4</t>
        </is>
      </c>
      <c r="H127" s="9" t="inlineStr">
        <is>
          <t>PK-XL+</t>
        </is>
      </c>
      <c r="I127" s="10">
        <f>LEN(皮卡压缩表[[#This Row],[CAB]])</f>
        <v/>
      </c>
      <c r="J127" s="10">
        <f t="array" ref="J127">_xlfn.XLOOKUP(皮卡压缩表[[#This Row],[CAB]],CAB缩写表[LONG-CAB],CAB缩写表[SHORT-CAB],皮卡压缩表[[#This Row],[CAB]])</f>
        <v/>
      </c>
      <c r="K127" s="19">
        <f t="array" ref="K12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7" s="19">
        <f>TRIM(_xlfn.XLOOKUP(皮卡压缩表[[#This Row],[MAKE]],皮卡前台名表[MAKE],皮卡前台名表[DESCRIPTION],""))</f>
        <v/>
      </c>
      <c r="M127" s="11">
        <f t="array" ref="M127">TRIM(_xlfn.XLOOKUP(皮卡压缩表[[#This Row],[BACKSIZE]],ALL尺码表[内部尺码],ALL尺码表[通用尺码],""))</f>
        <v/>
      </c>
    </row>
    <row r="128" ht="15.75" customHeight="1" s="23">
      <c r="A128" s="8" t="inlineStr">
        <is>
          <t>ALL</t>
        </is>
      </c>
      <c r="B128" s="9" t="inlineStr">
        <is>
          <t>Ram</t>
        </is>
      </c>
      <c r="C128" s="9" t="inlineStr">
        <is>
          <t>1500</t>
        </is>
      </c>
      <c r="D128" s="9" t="inlineStr">
        <is>
          <t>2025-2026</t>
        </is>
      </c>
      <c r="E128" s="9" t="inlineStr">
        <is>
          <t>RHO</t>
        </is>
      </c>
      <c r="F128" s="9" t="inlineStr">
        <is>
          <t>Crew</t>
        </is>
      </c>
      <c r="G128" s="9" t="inlineStr">
        <is>
          <t>5.6</t>
        </is>
      </c>
      <c r="H128" s="9" t="inlineStr">
        <is>
          <t>PK-XXL</t>
        </is>
      </c>
      <c r="I128" s="10">
        <f>LEN(皮卡压缩表[[#This Row],[CAB]])</f>
        <v/>
      </c>
      <c r="J128" s="10">
        <f t="array" ref="J128">_xlfn.XLOOKUP(皮卡压缩表[[#This Row],[CAB]],CAB缩写表[LONG-CAB],CAB缩写表[SHORT-CAB],皮卡压缩表[[#This Row],[CAB]])</f>
        <v/>
      </c>
      <c r="K128" s="19">
        <f t="array" ref="K12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8" s="19">
        <f>TRIM(_xlfn.XLOOKUP(皮卡压缩表[[#This Row],[MAKE]],皮卡前台名表[MAKE],皮卡前台名表[DESCRIPTION],""))</f>
        <v/>
      </c>
      <c r="M128" s="11">
        <f t="array" ref="M128">TRIM(_xlfn.XLOOKUP(皮卡压缩表[[#This Row],[BACKSIZE]],ALL尺码表[内部尺码],ALL尺码表[通用尺码],""))</f>
        <v/>
      </c>
    </row>
    <row r="129" ht="15.75" customHeight="1" s="23">
      <c r="A129" s="8" t="inlineStr">
        <is>
          <t>ALL</t>
        </is>
      </c>
      <c r="B129" s="9" t="inlineStr">
        <is>
          <t>Ram</t>
        </is>
      </c>
      <c r="C129" s="9" t="inlineStr">
        <is>
          <t>1500 Classic</t>
        </is>
      </c>
      <c r="D129" s="9" t="inlineStr">
        <is>
          <t>2019-2023</t>
        </is>
      </c>
      <c r="E129" s="9" t="inlineStr"/>
      <c r="F129" s="9" t="inlineStr">
        <is>
          <t>Crew</t>
        </is>
      </c>
      <c r="G129" s="9" t="inlineStr">
        <is>
          <t>5.6</t>
        </is>
      </c>
      <c r="H129" s="9" t="inlineStr">
        <is>
          <t>PK-L</t>
        </is>
      </c>
      <c r="I129" s="10">
        <f>LEN(皮卡压缩表[[#This Row],[CAB]])</f>
        <v/>
      </c>
      <c r="J129" s="10">
        <f t="array" ref="J129">_xlfn.XLOOKUP(皮卡压缩表[[#This Row],[CAB]],CAB缩写表[LONG-CAB],CAB缩写表[SHORT-CAB],皮卡压缩表[[#This Row],[CAB]])</f>
        <v/>
      </c>
      <c r="K129" s="19">
        <f t="array" ref="K12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9" s="19">
        <f>TRIM(_xlfn.XLOOKUP(皮卡压缩表[[#This Row],[MAKE]],皮卡前台名表[MAKE],皮卡前台名表[DESCRIPTION],""))</f>
        <v/>
      </c>
      <c r="M129" s="11">
        <f t="array" ref="M129">TRIM(_xlfn.XLOOKUP(皮卡压缩表[[#This Row],[BACKSIZE]],ALL尺码表[内部尺码],ALL尺码表[通用尺码],""))</f>
        <v/>
      </c>
    </row>
    <row r="130" ht="15.75" customHeight="1" s="23">
      <c r="A130" s="8" t="inlineStr">
        <is>
          <t>ALL</t>
        </is>
      </c>
      <c r="B130" s="9" t="inlineStr">
        <is>
          <t>Ram</t>
        </is>
      </c>
      <c r="C130" s="9" t="inlineStr">
        <is>
          <t>2500/3500</t>
        </is>
      </c>
      <c r="D130" s="9" t="inlineStr">
        <is>
          <t>1994-2026</t>
        </is>
      </c>
      <c r="E130" s="9" t="inlineStr"/>
      <c r="F130" s="9" t="inlineStr">
        <is>
          <t>Crew</t>
        </is>
      </c>
      <c r="G130" s="9" t="inlineStr">
        <is>
          <t>6.4</t>
        </is>
      </c>
      <c r="H130" s="9" t="inlineStr">
        <is>
          <t>PK-XL+</t>
        </is>
      </c>
      <c r="I130" s="10">
        <f>LEN(皮卡压缩表[[#This Row],[CAB]])</f>
        <v/>
      </c>
      <c r="J130" s="10">
        <f t="array" ref="J130">_xlfn.XLOOKUP(皮卡压缩表[[#This Row],[CAB]],CAB缩写表[LONG-CAB],CAB缩写表[SHORT-CAB],皮卡压缩表[[#This Row],[CAB]])</f>
        <v/>
      </c>
      <c r="K130" s="19">
        <f t="array" ref="K13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0" s="19">
        <f>TRIM(_xlfn.XLOOKUP(皮卡压缩表[[#This Row],[MAKE]],皮卡前台名表[MAKE],皮卡前台名表[DESCRIPTION],""))</f>
        <v/>
      </c>
      <c r="M130" s="11">
        <f t="array" ref="M130">TRIM(_xlfn.XLOOKUP(皮卡压缩表[[#This Row],[BACKSIZE]],ALL尺码表[内部尺码],ALL尺码表[通用尺码],""))</f>
        <v/>
      </c>
    </row>
    <row r="131" ht="15.75" customHeight="1" s="23">
      <c r="A131" s="8" t="inlineStr">
        <is>
          <t>ALL</t>
        </is>
      </c>
      <c r="B131" s="9" t="inlineStr">
        <is>
          <t>Ram</t>
        </is>
      </c>
      <c r="C131" s="9" t="inlineStr">
        <is>
          <t>2500/3500</t>
        </is>
      </c>
      <c r="D131" s="9" t="inlineStr">
        <is>
          <t>1994-2026</t>
        </is>
      </c>
      <c r="E131" s="9" t="inlineStr"/>
      <c r="F131" s="9" t="inlineStr">
        <is>
          <t>Regular</t>
        </is>
      </c>
      <c r="G131" s="9" t="inlineStr">
        <is>
          <t>8</t>
        </is>
      </c>
      <c r="H131" s="9" t="inlineStr">
        <is>
          <t>PK-XL</t>
        </is>
      </c>
      <c r="I131" s="10">
        <f>LEN(皮卡压缩表[[#This Row],[CAB]])</f>
        <v/>
      </c>
      <c r="J131" s="10">
        <f t="array" ref="J131">_xlfn.XLOOKUP(皮卡压缩表[[#This Row],[CAB]],CAB缩写表[LONG-CAB],CAB缩写表[SHORT-CAB],皮卡压缩表[[#This Row],[CAB]])</f>
        <v/>
      </c>
      <c r="K131" s="19">
        <f t="array" ref="K13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1" s="19">
        <f>TRIM(_xlfn.XLOOKUP(皮卡压缩表[[#This Row],[MAKE]],皮卡前台名表[MAKE],皮卡前台名表[DESCRIPTION],""))</f>
        <v/>
      </c>
      <c r="M131" s="11">
        <f t="array" ref="M131">TRIM(_xlfn.XLOOKUP(皮卡压缩表[[#This Row],[BACKSIZE]],ALL尺码表[内部尺码],ALL尺码表[通用尺码],""))</f>
        <v/>
      </c>
    </row>
    <row r="132" ht="15.75" customHeight="1" s="23">
      <c r="A132" s="8" t="inlineStr">
        <is>
          <t>ALL</t>
        </is>
      </c>
      <c r="B132" s="9" t="inlineStr">
        <is>
          <t>Ram</t>
        </is>
      </c>
      <c r="C132" s="9" t="inlineStr">
        <is>
          <t>2500/3500</t>
        </is>
      </c>
      <c r="D132" s="9" t="inlineStr">
        <is>
          <t>2010-2026</t>
        </is>
      </c>
      <c r="E132" s="9" t="inlineStr"/>
      <c r="F132" s="9" t="inlineStr">
        <is>
          <t>Crew</t>
        </is>
      </c>
      <c r="G132" s="9" t="inlineStr">
        <is>
          <t>8</t>
        </is>
      </c>
      <c r="H132" s="9" t="inlineStr">
        <is>
          <t>PK-XXXL</t>
        </is>
      </c>
      <c r="I132" s="10">
        <f>LEN(皮卡压缩表[[#This Row],[CAB]])</f>
        <v/>
      </c>
      <c r="J132" s="10">
        <f t="array" ref="J132">_xlfn.XLOOKUP(皮卡压缩表[[#This Row],[CAB]],CAB缩写表[LONG-CAB],CAB缩写表[SHORT-CAB],皮卡压缩表[[#This Row],[CAB]])</f>
        <v/>
      </c>
      <c r="K132" s="19">
        <f t="array" ref="K13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2" s="19">
        <f>TRIM(_xlfn.XLOOKUP(皮卡压缩表[[#This Row],[MAKE]],皮卡前台名表[MAKE],皮卡前台名表[DESCRIPTION],""))</f>
        <v/>
      </c>
      <c r="M132" s="11">
        <f t="array" ref="M132">TRIM(_xlfn.XLOOKUP(皮卡压缩表[[#This Row],[BACKSIZE]],ALL尺码表[内部尺码],ALL尺码表[通用尺码],""))</f>
        <v/>
      </c>
    </row>
    <row r="133" ht="15.75" customHeight="1" s="23">
      <c r="A133" s="8" t="inlineStr">
        <is>
          <t>ALL</t>
        </is>
      </c>
      <c r="B133" s="9" t="inlineStr">
        <is>
          <t>Rivian</t>
        </is>
      </c>
      <c r="C133" s="9" t="inlineStr">
        <is>
          <t>R1T</t>
        </is>
      </c>
      <c r="D133" s="9" t="inlineStr">
        <is>
          <t>2022-2026</t>
        </is>
      </c>
      <c r="E133" s="9" t="inlineStr">
        <is>
          <t>Incl: Adventure/Dual/Quad</t>
        </is>
      </c>
      <c r="F133" s="9" t="inlineStr">
        <is>
          <t>Crew</t>
        </is>
      </c>
      <c r="G133" s="9" t="inlineStr">
        <is>
          <t>4.5</t>
        </is>
      </c>
      <c r="H133" s="9" t="inlineStr">
        <is>
          <t>PK-M+</t>
        </is>
      </c>
      <c r="I133" s="10">
        <f>LEN(皮卡压缩表[[#This Row],[CAB]])</f>
        <v/>
      </c>
      <c r="J133" s="10">
        <f t="array" ref="J133">_xlfn.XLOOKUP(皮卡压缩表[[#This Row],[CAB]],CAB缩写表[LONG-CAB],CAB缩写表[SHORT-CAB],皮卡压缩表[[#This Row],[CAB]])</f>
        <v/>
      </c>
      <c r="K133" s="19">
        <f t="array" ref="K13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3" s="19">
        <f>TRIM(_xlfn.XLOOKUP(皮卡压缩表[[#This Row],[MAKE]],皮卡前台名表[MAKE],皮卡前台名表[DESCRIPTION],""))</f>
        <v/>
      </c>
      <c r="M133" s="11">
        <f t="array" ref="M133">TRIM(_xlfn.XLOOKUP(皮卡压缩表[[#This Row],[BACKSIZE]],ALL尺码表[内部尺码],ALL尺码表[通用尺码],""))</f>
        <v/>
      </c>
    </row>
    <row r="134" ht="15.75" customHeight="1" s="23">
      <c r="A134" s="8" t="inlineStr">
        <is>
          <t>ALL</t>
        </is>
      </c>
      <c r="B134" s="9" t="inlineStr">
        <is>
          <t>Toyota</t>
        </is>
      </c>
      <c r="C134" s="9" t="inlineStr">
        <is>
          <t>Tacoma</t>
        </is>
      </c>
      <c r="D134" s="9" t="inlineStr">
        <is>
          <t>1995-2013</t>
        </is>
      </c>
      <c r="E134" s="9" t="inlineStr"/>
      <c r="F134" s="9" t="inlineStr">
        <is>
          <t>XtraCab/Access</t>
        </is>
      </c>
      <c r="G134" s="9" t="inlineStr">
        <is>
          <t>6</t>
        </is>
      </c>
      <c r="H134" s="9" t="inlineStr">
        <is>
          <t>PK-M</t>
        </is>
      </c>
      <c r="I134" s="10">
        <f>LEN(皮卡压缩表[[#This Row],[CAB]])</f>
        <v/>
      </c>
      <c r="J134" s="10">
        <f t="array" ref="J134">_xlfn.XLOOKUP(皮卡压缩表[[#This Row],[CAB]],CAB缩写表[LONG-CAB],CAB缩写表[SHORT-CAB],皮卡压缩表[[#This Row],[CAB]])</f>
        <v/>
      </c>
      <c r="K134" s="19">
        <f t="array" ref="K13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4" s="19">
        <f>TRIM(_xlfn.XLOOKUP(皮卡压缩表[[#This Row],[MAKE]],皮卡前台名表[MAKE],皮卡前台名表[DESCRIPTION],""))</f>
        <v/>
      </c>
      <c r="M134" s="11">
        <f t="array" ref="M134">TRIM(_xlfn.XLOOKUP(皮卡压缩表[[#This Row],[BACKSIZE]],ALL尺码表[内部尺码],ALL尺码表[通用尺码],""))</f>
        <v/>
      </c>
    </row>
    <row r="135" ht="15.75" customHeight="1" s="23">
      <c r="A135" s="8" t="inlineStr">
        <is>
          <t>ALL</t>
        </is>
      </c>
      <c r="B135" s="9" t="inlineStr">
        <is>
          <t>Toyota</t>
        </is>
      </c>
      <c r="C135" s="9" t="inlineStr">
        <is>
          <t>Tacoma</t>
        </is>
      </c>
      <c r="D135" s="9" t="inlineStr">
        <is>
          <t>2003-2015</t>
        </is>
      </c>
      <c r="E135" s="9" t="inlineStr"/>
      <c r="F135" s="9" t="inlineStr">
        <is>
          <t>Double</t>
        </is>
      </c>
      <c r="G135" s="9" t="inlineStr">
        <is>
          <t>5</t>
        </is>
      </c>
      <c r="H135" s="9" t="inlineStr">
        <is>
          <t>PK-M</t>
        </is>
      </c>
      <c r="I135" s="10">
        <f>LEN(皮卡压缩表[[#This Row],[CAB]])</f>
        <v/>
      </c>
      <c r="J135" s="10">
        <f t="array" ref="J135">_xlfn.XLOOKUP(皮卡压缩表[[#This Row],[CAB]],CAB缩写表[LONG-CAB],CAB缩写表[SHORT-CAB],皮卡压缩表[[#This Row],[CAB]])</f>
        <v/>
      </c>
      <c r="K135" s="19">
        <f t="array" ref="K13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5" s="19">
        <f>TRIM(_xlfn.XLOOKUP(皮卡压缩表[[#This Row],[MAKE]],皮卡前台名表[MAKE],皮卡前台名表[DESCRIPTION],""))</f>
        <v/>
      </c>
      <c r="M135" s="11">
        <f t="array" ref="M135">TRIM(_xlfn.XLOOKUP(皮卡压缩表[[#This Row],[BACKSIZE]],ALL尺码表[内部尺码],ALL尺码表[通用尺码],""))</f>
        <v/>
      </c>
    </row>
    <row r="136" ht="15.75" customHeight="1" s="23">
      <c r="A136" s="8" t="inlineStr">
        <is>
          <t>ALL</t>
        </is>
      </c>
      <c r="B136" s="9" t="inlineStr">
        <is>
          <t>Toyota</t>
        </is>
      </c>
      <c r="C136" s="9" t="inlineStr">
        <is>
          <t>Tacoma</t>
        </is>
      </c>
      <c r="D136" s="9" t="inlineStr">
        <is>
          <t>2005-2026</t>
        </is>
      </c>
      <c r="E136" s="9" t="inlineStr"/>
      <c r="F136" s="9" t="inlineStr">
        <is>
          <t>Double/XtraCab</t>
        </is>
      </c>
      <c r="G136" s="9" t="inlineStr">
        <is>
          <t>6</t>
        </is>
      </c>
      <c r="H136" s="9" t="inlineStr">
        <is>
          <t>PK-L</t>
        </is>
      </c>
      <c r="I136" s="10">
        <f>LEN(皮卡压缩表[[#This Row],[CAB]])</f>
        <v/>
      </c>
      <c r="J136" s="10">
        <f t="array" ref="J136">_xlfn.XLOOKUP(皮卡压缩表[[#This Row],[CAB]],CAB缩写表[LONG-CAB],CAB缩写表[SHORT-CAB],皮卡压缩表[[#This Row],[CAB]])</f>
        <v/>
      </c>
      <c r="K136" s="19">
        <f t="array" ref="K13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6" s="19">
        <f>TRIM(_xlfn.XLOOKUP(皮卡压缩表[[#This Row],[MAKE]],皮卡前台名表[MAKE],皮卡前台名表[DESCRIPTION],""))</f>
        <v/>
      </c>
      <c r="M136" s="11">
        <f t="array" ref="M136">TRIM(_xlfn.XLOOKUP(皮卡压缩表[[#This Row],[BACKSIZE]],ALL尺码表[内部尺码],ALL尺码表[通用尺码],""))</f>
        <v/>
      </c>
    </row>
    <row r="137" ht="15.75" customHeight="1" s="23">
      <c r="A137" s="8" t="inlineStr">
        <is>
          <t>ALL</t>
        </is>
      </c>
      <c r="B137" s="9" t="inlineStr">
        <is>
          <t>Toyota</t>
        </is>
      </c>
      <c r="C137" s="9" t="inlineStr">
        <is>
          <t>Tacoma</t>
        </is>
      </c>
      <c r="D137" s="9" t="inlineStr">
        <is>
          <t>2016-2026</t>
        </is>
      </c>
      <c r="E137" s="9" t="inlineStr">
        <is>
          <t>Incl: Trailhunter/TRD Pro</t>
        </is>
      </c>
      <c r="F137" s="9" t="inlineStr">
        <is>
          <t>Double</t>
        </is>
      </c>
      <c r="G137" s="9" t="inlineStr">
        <is>
          <t>5</t>
        </is>
      </c>
      <c r="H137" s="9" t="inlineStr">
        <is>
          <t>PK-M+</t>
        </is>
      </c>
      <c r="I137" s="10">
        <f>LEN(皮卡压缩表[[#This Row],[CAB]])</f>
        <v/>
      </c>
      <c r="J137" s="10">
        <f t="array" ref="J137">_xlfn.XLOOKUP(皮卡压缩表[[#This Row],[CAB]],CAB缩写表[LONG-CAB],CAB缩写表[SHORT-CAB],皮卡压缩表[[#This Row],[CAB]])</f>
        <v/>
      </c>
      <c r="K137" s="19">
        <f t="array" ref="K13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7" s="19">
        <f>TRIM(_xlfn.XLOOKUP(皮卡压缩表[[#This Row],[MAKE]],皮卡前台名表[MAKE],皮卡前台名表[DESCRIPTION],""))</f>
        <v/>
      </c>
      <c r="M137" s="11">
        <f t="array" ref="M137">TRIM(_xlfn.XLOOKUP(皮卡压缩表[[#This Row],[BACKSIZE]],ALL尺码表[内部尺码],ALL尺码表[通用尺码],""))</f>
        <v/>
      </c>
    </row>
    <row r="138" ht="15.75" customHeight="1" s="23">
      <c r="A138" s="8" t="inlineStr">
        <is>
          <t>ALL</t>
        </is>
      </c>
      <c r="B138" s="9" t="inlineStr">
        <is>
          <t>Toyota</t>
        </is>
      </c>
      <c r="C138" s="9" t="inlineStr">
        <is>
          <t>Tundra</t>
        </is>
      </c>
      <c r="D138" s="9" t="inlineStr">
        <is>
          <t>2000-2005</t>
        </is>
      </c>
      <c r="E138" s="9" t="inlineStr"/>
      <c r="F138" s="9" t="inlineStr">
        <is>
          <t>Access</t>
        </is>
      </c>
      <c r="G138" s="9" t="inlineStr">
        <is>
          <t>6.5</t>
        </is>
      </c>
      <c r="H138" s="9" t="inlineStr">
        <is>
          <t>PK-M+</t>
        </is>
      </c>
      <c r="I138" s="10">
        <f>LEN(皮卡压缩表[[#This Row],[CAB]])</f>
        <v/>
      </c>
      <c r="J138" s="10">
        <f t="array" ref="J138">_xlfn.XLOOKUP(皮卡压缩表[[#This Row],[CAB]],CAB缩写表[LONG-CAB],CAB缩写表[SHORT-CAB],皮卡压缩表[[#This Row],[CAB]])</f>
        <v/>
      </c>
      <c r="K138" s="19">
        <f t="array" ref="K13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8" s="19">
        <f>TRIM(_xlfn.XLOOKUP(皮卡压缩表[[#This Row],[MAKE]],皮卡前台名表[MAKE],皮卡前台名表[DESCRIPTION],""))</f>
        <v/>
      </c>
      <c r="M138" s="11">
        <f t="array" ref="M138">TRIM(_xlfn.XLOOKUP(皮卡压缩表[[#This Row],[BACKSIZE]],ALL尺码表[内部尺码],ALL尺码表[通用尺码],""))</f>
        <v/>
      </c>
    </row>
    <row r="139" ht="15.75" customHeight="1" s="23">
      <c r="A139" s="8" t="inlineStr">
        <is>
          <t>ALL</t>
        </is>
      </c>
      <c r="B139" s="9" t="inlineStr">
        <is>
          <t>Toyota</t>
        </is>
      </c>
      <c r="C139" s="9" t="inlineStr">
        <is>
          <t>Tundra</t>
        </is>
      </c>
      <c r="D139" s="9" t="inlineStr">
        <is>
          <t>2000-2006</t>
        </is>
      </c>
      <c r="E139" s="9" t="inlineStr"/>
      <c r="F139" s="9" t="inlineStr">
        <is>
          <t>Regular</t>
        </is>
      </c>
      <c r="G139" s="9" t="inlineStr">
        <is>
          <t>6.5-8</t>
        </is>
      </c>
      <c r="H139" s="9" t="inlineStr">
        <is>
          <t>PK-XL</t>
        </is>
      </c>
      <c r="I139" s="10">
        <f>LEN(皮卡压缩表[[#This Row],[CAB]])</f>
        <v/>
      </c>
      <c r="J139" s="10">
        <f t="array" ref="J139">_xlfn.XLOOKUP(皮卡压缩表[[#This Row],[CAB]],CAB缩写表[LONG-CAB],CAB缩写表[SHORT-CAB],皮卡压缩表[[#This Row],[CAB]])</f>
        <v/>
      </c>
      <c r="K139" s="19">
        <f t="array" ref="K13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9" s="19">
        <f>TRIM(_xlfn.XLOOKUP(皮卡压缩表[[#This Row],[MAKE]],皮卡前台名表[MAKE],皮卡前台名表[DESCRIPTION],""))</f>
        <v/>
      </c>
      <c r="M139" s="11">
        <f t="array" ref="M139">TRIM(_xlfn.XLOOKUP(皮卡压缩表[[#This Row],[BACKSIZE]],ALL尺码表[内部尺码],ALL尺码表[通用尺码],""))</f>
        <v/>
      </c>
    </row>
    <row r="140" ht="15.75" customHeight="1" s="23">
      <c r="A140" s="8" t="inlineStr">
        <is>
          <t>ALL</t>
        </is>
      </c>
      <c r="B140" s="9" t="inlineStr">
        <is>
          <t>Toyota</t>
        </is>
      </c>
      <c r="C140" s="9" t="inlineStr">
        <is>
          <t>Tundra</t>
        </is>
      </c>
      <c r="D140" s="9" t="inlineStr">
        <is>
          <t>2007-2021</t>
        </is>
      </c>
      <c r="E140" s="9" t="inlineStr"/>
      <c r="F140" s="9" t="inlineStr">
        <is>
          <t>CrewMax/Double</t>
        </is>
      </c>
      <c r="G140" s="9" t="inlineStr">
        <is>
          <t>5.5-6.5</t>
        </is>
      </c>
      <c r="H140" s="9" t="inlineStr">
        <is>
          <t>PK-L</t>
        </is>
      </c>
      <c r="I140" s="10">
        <f>LEN(皮卡压缩表[[#This Row],[CAB]])</f>
        <v/>
      </c>
      <c r="J140" s="10">
        <f t="array" ref="J140">_xlfn.XLOOKUP(皮卡压缩表[[#This Row],[CAB]],CAB缩写表[LONG-CAB],CAB缩写表[SHORT-CAB],皮卡压缩表[[#This Row],[CAB]])</f>
        <v/>
      </c>
      <c r="K140" s="19">
        <f t="array" ref="K14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0" s="19">
        <f>TRIM(_xlfn.XLOOKUP(皮卡压缩表[[#This Row],[MAKE]],皮卡前台名表[MAKE],皮卡前台名表[DESCRIPTION],""))</f>
        <v/>
      </c>
      <c r="M140" s="11">
        <f t="array" ref="M140">TRIM(_xlfn.XLOOKUP(皮卡压缩表[[#This Row],[BACKSIZE]],ALL尺码表[内部尺码],ALL尺码表[通用尺码],""))</f>
        <v/>
      </c>
    </row>
    <row r="141" ht="15.75" customHeight="1" s="23">
      <c r="A141" s="8" t="inlineStr">
        <is>
          <t>ALL</t>
        </is>
      </c>
      <c r="B141" s="9" t="inlineStr">
        <is>
          <t>Toyota</t>
        </is>
      </c>
      <c r="C141" s="9" t="inlineStr">
        <is>
          <t>Tundra</t>
        </is>
      </c>
      <c r="D141" s="9" t="inlineStr">
        <is>
          <t>2022-2026</t>
        </is>
      </c>
      <c r="E141" s="9" t="inlineStr"/>
      <c r="F141" s="9" t="inlineStr">
        <is>
          <t>CrewMax/Double</t>
        </is>
      </c>
      <c r="G141" s="9" t="inlineStr">
        <is>
          <t>5.5-6.5</t>
        </is>
      </c>
      <c r="H141" s="9" t="inlineStr">
        <is>
          <t>PK-XL+</t>
        </is>
      </c>
      <c r="I141" s="10">
        <f>LEN(皮卡压缩表[[#This Row],[CAB]])</f>
        <v/>
      </c>
      <c r="J141" s="10">
        <f t="array" ref="J141">_xlfn.XLOOKUP(皮卡压缩表[[#This Row],[CAB]],CAB缩写表[LONG-CAB],CAB缩写表[SHORT-CAB],皮卡压缩表[[#This Row],[CAB]])</f>
        <v/>
      </c>
      <c r="K141" s="19">
        <f t="array" ref="K14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1" s="19">
        <f>TRIM(_xlfn.XLOOKUP(皮卡压缩表[[#This Row],[MAKE]],皮卡前台名表[MAKE],皮卡前台名表[DESCRIPTION],""))</f>
        <v/>
      </c>
      <c r="M141" s="11">
        <f t="array" ref="M141">TRIM(_xlfn.XLOOKUP(皮卡压缩表[[#This Row],[BACKSIZE]],ALL尺码表[内部尺码],ALL尺码表[通用尺码],""))</f>
        <v/>
      </c>
    </row>
    <row r="142" ht="15.75" customHeight="1" s="23">
      <c r="A142" s="8" t="inlineStr">
        <is>
          <t>ALL</t>
        </is>
      </c>
      <c r="B142" s="9" t="inlineStr">
        <is>
          <t>Toyota</t>
        </is>
      </c>
      <c r="C142" s="9" t="inlineStr">
        <is>
          <t>Tacoma</t>
        </is>
      </c>
      <c r="D142" s="9" t="inlineStr">
        <is>
          <t>1995-2004</t>
        </is>
      </c>
      <c r="E142" s="9" t="inlineStr"/>
      <c r="F142" s="9" t="inlineStr">
        <is>
          <t>Regular</t>
        </is>
      </c>
      <c r="G142" s="9" t="inlineStr">
        <is>
          <t>6</t>
        </is>
      </c>
      <c r="H142" s="9" t="inlineStr">
        <is>
          <t>无可用尺码</t>
        </is>
      </c>
      <c r="I142" s="10">
        <f>LEN(皮卡压缩表[[#This Row],[CAB]])</f>
        <v/>
      </c>
      <c r="J142" s="10">
        <f t="array" ref="J142">_xlfn.XLOOKUP(皮卡压缩表[[#This Row],[CAB]],CAB缩写表[LONG-CAB],CAB缩写表[SHORT-CAB],皮卡压缩表[[#This Row],[CAB]])</f>
        <v/>
      </c>
      <c r="K142" s="19">
        <f t="array" ref="K14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2" s="19">
        <f>TRIM(_xlfn.XLOOKUP(皮卡压缩表[[#This Row],[MAKE]],皮卡前台名表[MAKE],皮卡前台名表[DESCRIPTION],""))</f>
        <v/>
      </c>
      <c r="M142" s="11">
        <f t="array" ref="M142">TRIM(_xlfn.XLOOKUP(皮卡压缩表[[#This Row],[BACKSIZE]],ALL尺码表[内部尺码],ALL尺码表[通用尺码],""))</f>
        <v/>
      </c>
    </row>
    <row r="143" ht="15.75" customHeight="1" s="23">
      <c r="A143" s="8" t="inlineStr">
        <is>
          <t>ALL</t>
        </is>
      </c>
      <c r="B143" s="9" t="inlineStr">
        <is>
          <t>Toyota</t>
        </is>
      </c>
      <c r="C143" s="9" t="inlineStr">
        <is>
          <t>Tacoma</t>
        </is>
      </c>
      <c r="D143" s="9" t="inlineStr">
        <is>
          <t>2016-2023</t>
        </is>
      </c>
      <c r="E143" s="9" t="inlineStr"/>
      <c r="F143" s="9" t="inlineStr">
        <is>
          <t>Access</t>
        </is>
      </c>
      <c r="G143" s="9" t="inlineStr">
        <is>
          <t>6</t>
        </is>
      </c>
      <c r="H143" s="9" t="inlineStr">
        <is>
          <t>PK-M+</t>
        </is>
      </c>
      <c r="I143" s="10">
        <f>LEN(皮卡压缩表[[#This Row],[CAB]])</f>
        <v/>
      </c>
      <c r="J143" s="10">
        <f t="array" ref="J143">_xlfn.XLOOKUP(皮卡压缩表[[#This Row],[CAB]],CAB缩写表[LONG-CAB],CAB缩写表[SHORT-CAB],皮卡压缩表[[#This Row],[CAB]])</f>
        <v/>
      </c>
      <c r="K143" s="19">
        <f t="array" ref="K14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3" s="19">
        <f>TRIM(_xlfn.XLOOKUP(皮卡压缩表[[#This Row],[MAKE]],皮卡前台名表[MAKE],皮卡前台名表[DESCRIPTION],""))</f>
        <v/>
      </c>
      <c r="M143" s="11">
        <f t="array" ref="M143">TRIM(_xlfn.XLOOKUP(皮卡压缩表[[#This Row],[BACKSIZE]],ALL尺码表[内部尺码],ALL尺码表[通用尺码],""))</f>
        <v/>
      </c>
    </row>
    <row r="144" ht="15.75" customHeight="1" s="23">
      <c r="A144" s="8" t="inlineStr">
        <is>
          <t>ALL</t>
        </is>
      </c>
      <c r="B144" s="9" t="inlineStr">
        <is>
          <t>Toyota</t>
        </is>
      </c>
      <c r="C144" s="9" t="inlineStr">
        <is>
          <t>Tundra</t>
        </is>
      </c>
      <c r="D144" s="9" t="inlineStr">
        <is>
          <t>2004-2006</t>
        </is>
      </c>
      <c r="E144" s="9" t="inlineStr"/>
      <c r="F144" s="9" t="inlineStr">
        <is>
          <t>Double</t>
        </is>
      </c>
      <c r="G144" s="9" t="inlineStr">
        <is>
          <t>6.5</t>
        </is>
      </c>
      <c r="H144" s="9" t="inlineStr">
        <is>
          <t>PK-XL+</t>
        </is>
      </c>
      <c r="I144" s="10">
        <f>LEN(皮卡压缩表[[#This Row],[CAB]])</f>
        <v/>
      </c>
      <c r="J144" s="10">
        <f t="array" ref="J144">_xlfn.XLOOKUP(皮卡压缩表[[#This Row],[CAB]],CAB缩写表[LONG-CAB],CAB缩写表[SHORT-CAB],皮卡压缩表[[#This Row],[CAB]])</f>
        <v/>
      </c>
      <c r="K144" s="19">
        <f t="array" ref="K14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4" s="19">
        <f>TRIM(_xlfn.XLOOKUP(皮卡压缩表[[#This Row],[MAKE]],皮卡前台名表[MAKE],皮卡前台名表[DESCRIPTION],""))</f>
        <v/>
      </c>
      <c r="M144" s="11">
        <f t="array" ref="M144">TRIM(_xlfn.XLOOKUP(皮卡压缩表[[#This Row],[BACKSIZE]],ALL尺码表[内部尺码],ALL尺码表[通用尺码],""))</f>
        <v/>
      </c>
    </row>
    <row r="145" ht="15.75" customHeight="1" s="23">
      <c r="A145" s="8" t="inlineStr">
        <is>
          <t>ALL</t>
        </is>
      </c>
      <c r="B145" s="9" t="inlineStr">
        <is>
          <t>Toyota</t>
        </is>
      </c>
      <c r="C145" s="9" t="inlineStr">
        <is>
          <t>Tundra</t>
        </is>
      </c>
      <c r="D145" s="9" t="inlineStr">
        <is>
          <t>2007-2017</t>
        </is>
      </c>
      <c r="E145" s="9" t="inlineStr"/>
      <c r="F145" s="9" t="inlineStr">
        <is>
          <t>Regular</t>
        </is>
      </c>
      <c r="G145" s="9" t="inlineStr">
        <is>
          <t>6.5</t>
        </is>
      </c>
      <c r="H145" s="9" t="inlineStr">
        <is>
          <t>PK-M</t>
        </is>
      </c>
      <c r="I145" s="10">
        <f>LEN(皮卡压缩表[[#This Row],[CAB]])</f>
        <v/>
      </c>
      <c r="J145" s="10">
        <f t="array" ref="J145">_xlfn.XLOOKUP(皮卡压缩表[[#This Row],[CAB]],CAB缩写表[LONG-CAB],CAB缩写表[SHORT-CAB],皮卡压缩表[[#This Row],[CAB]])</f>
        <v/>
      </c>
      <c r="K145" s="19">
        <f t="array" ref="K14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5" s="19">
        <f>TRIM(_xlfn.XLOOKUP(皮卡压缩表[[#This Row],[MAKE]],皮卡前台名表[MAKE],皮卡前台名表[DESCRIPTION],""))</f>
        <v/>
      </c>
      <c r="M145" s="11">
        <f t="array" ref="M145">TRIM(_xlfn.XLOOKUP(皮卡压缩表[[#This Row],[BACKSIZE]],ALL尺码表[内部尺码],ALL尺码表[通用尺码],""))</f>
        <v/>
      </c>
    </row>
    <row r="146" ht="15.75" customHeight="1" s="23">
      <c r="A146" s="8" t="inlineStr">
        <is>
          <t>ALL</t>
        </is>
      </c>
      <c r="B146" s="9" t="inlineStr">
        <is>
          <t>Toyota</t>
        </is>
      </c>
      <c r="C146" s="9" t="inlineStr">
        <is>
          <t>Tundra</t>
        </is>
      </c>
      <c r="D146" s="9" t="inlineStr">
        <is>
          <t>2007-2017</t>
        </is>
      </c>
      <c r="E146" s="9" t="inlineStr"/>
      <c r="F146" s="9" t="inlineStr">
        <is>
          <t>Regular</t>
        </is>
      </c>
      <c r="G146" s="9" t="inlineStr">
        <is>
          <t>8.1</t>
        </is>
      </c>
      <c r="H146" s="9" t="inlineStr">
        <is>
          <t>PK-XL</t>
        </is>
      </c>
      <c r="I146" s="10">
        <f>LEN(皮卡压缩表[[#This Row],[CAB]])</f>
        <v/>
      </c>
      <c r="J146" s="10">
        <f t="array" ref="J146">_xlfn.XLOOKUP(皮卡压缩表[[#This Row],[CAB]],CAB缩写表[LONG-CAB],CAB缩写表[SHORT-CAB],皮卡压缩表[[#This Row],[CAB]])</f>
        <v/>
      </c>
      <c r="K146" s="19">
        <f t="array" ref="K14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6" s="19">
        <f>TRIM(_xlfn.XLOOKUP(皮卡压缩表[[#This Row],[MAKE]],皮卡前台名表[MAKE],皮卡前台名表[DESCRIPTION],""))</f>
        <v/>
      </c>
      <c r="M146" s="11">
        <f t="array" ref="M146">TRIM(_xlfn.XLOOKUP(皮卡压缩表[[#This Row],[BACKSIZE]],ALL尺码表[内部尺码],ALL尺码表[通用尺码],""))</f>
        <v/>
      </c>
    </row>
    <row r="147" ht="15.75" customHeight="1" s="23">
      <c r="A147" s="8" t="inlineStr">
        <is>
          <t>ALL</t>
        </is>
      </c>
      <c r="B147" s="9" t="inlineStr">
        <is>
          <t>Toyota</t>
        </is>
      </c>
      <c r="C147" s="9" t="inlineStr">
        <is>
          <t>Tundra</t>
        </is>
      </c>
      <c r="D147" s="9" t="inlineStr">
        <is>
          <t>2007-2021</t>
        </is>
      </c>
      <c r="E147" s="9" t="inlineStr"/>
      <c r="F147" s="9" t="inlineStr">
        <is>
          <t>Double</t>
        </is>
      </c>
      <c r="G147" s="9" t="inlineStr">
        <is>
          <t>8.1</t>
        </is>
      </c>
      <c r="H147" s="9" t="inlineStr">
        <is>
          <t>PK-XXL</t>
        </is>
      </c>
      <c r="I147" s="10">
        <f>LEN(皮卡压缩表[[#This Row],[CAB]])</f>
        <v/>
      </c>
      <c r="J147" s="10">
        <f t="array" ref="J147">_xlfn.XLOOKUP(皮卡压缩表[[#This Row],[CAB]],CAB缩写表[LONG-CAB],CAB缩写表[SHORT-CAB],皮卡压缩表[[#This Row],[CAB]])</f>
        <v/>
      </c>
      <c r="K147" s="19">
        <f t="array" ref="K14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7" s="19">
        <f>TRIM(_xlfn.XLOOKUP(皮卡压缩表[[#This Row],[MAKE]],皮卡前台名表[MAKE],皮卡前台名表[DESCRIPTION],""))</f>
        <v/>
      </c>
      <c r="M147" s="11">
        <f t="array" ref="M147">TRIM(_xlfn.XLOOKUP(皮卡压缩表[[#This Row],[BACKSIZE]],ALL尺码表[内部尺码],ALL尺码表[通用尺码],""))</f>
        <v/>
      </c>
    </row>
    <row r="148" ht="15.75" customHeight="1" s="23">
      <c r="A148" s="8" t="inlineStr">
        <is>
          <t>ALL</t>
        </is>
      </c>
      <c r="B148" s="9" t="inlineStr">
        <is>
          <t>Toyota</t>
        </is>
      </c>
      <c r="C148" s="9" t="inlineStr">
        <is>
          <t>Tundra</t>
        </is>
      </c>
      <c r="D148" s="9" t="inlineStr">
        <is>
          <t>2022-2026</t>
        </is>
      </c>
      <c r="E148" s="9" t="inlineStr"/>
      <c r="F148" s="9" t="inlineStr">
        <is>
          <t>Double</t>
        </is>
      </c>
      <c r="G148" s="9" t="inlineStr">
        <is>
          <t>8.1</t>
        </is>
      </c>
      <c r="H148" s="9" t="inlineStr">
        <is>
          <t>PK-XXXL</t>
        </is>
      </c>
      <c r="I148" s="10">
        <f>LEN(皮卡压缩表[[#This Row],[CAB]])</f>
        <v/>
      </c>
      <c r="J148" s="10">
        <f t="array" ref="J148">_xlfn.XLOOKUP(皮卡压缩表[[#This Row],[CAB]],CAB缩写表[LONG-CAB],CAB缩写表[SHORT-CAB],皮卡压缩表[[#This Row],[CAB]])</f>
        <v/>
      </c>
      <c r="K148" s="19">
        <f t="array" ref="K14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8" s="19">
        <f>TRIM(_xlfn.XLOOKUP(皮卡压缩表[[#This Row],[MAKE]],皮卡前台名表[MAKE],皮卡前台名表[DESCRIPTION],""))</f>
        <v/>
      </c>
      <c r="M148" s="11">
        <f t="array" ref="M148">TRIM(_xlfn.XLOOKUP(皮卡压缩表[[#This Row],[BACKSIZE]],ALL尺码表[内部尺码],ALL尺码表[通用尺码],""))</f>
        <v/>
      </c>
    </row>
    <row r="149" ht="15" customHeight="1" s="23">
      <c r="A149" s="8" t="inlineStr">
        <is>
          <t>ALL</t>
        </is>
      </c>
      <c r="B149" s="9" t="inlineStr">
        <is>
          <t>Chevrolet</t>
        </is>
      </c>
      <c r="C149" s="9" t="inlineStr">
        <is>
          <t>SSR</t>
        </is>
      </c>
      <c r="D149" s="9" t="inlineStr">
        <is>
          <t>2003-2006</t>
        </is>
      </c>
      <c r="E149" s="9" t="inlineStr"/>
      <c r="F149" s="9" t="inlineStr">
        <is>
          <t>Regular</t>
        </is>
      </c>
      <c r="G149" s="9" t="inlineStr">
        <is>
          <t>4.1</t>
        </is>
      </c>
      <c r="H149" s="9" t="inlineStr">
        <is>
          <t>PK-M</t>
        </is>
      </c>
      <c r="I149" s="10">
        <f>LEN(皮卡压缩表[[#This Row],[CAB]])</f>
        <v/>
      </c>
      <c r="J149" s="10">
        <f t="array" ref="J149">_xlfn.XLOOKUP(皮卡压缩表[[#This Row],[CAB]],CAB缩写表[LONG-CAB],CAB缩写表[SHORT-CAB],皮卡压缩表[[#This Row],[CAB]])</f>
        <v/>
      </c>
      <c r="K149" s="19">
        <f t="array" ref="K14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9" s="19">
        <f>TRIM(_xlfn.XLOOKUP(皮卡压缩表[[#This Row],[MAKE]],皮卡前台名表[MAKE],皮卡前台名表[DESCRIPTION],""))</f>
        <v/>
      </c>
      <c r="M149" s="11">
        <f t="array" ref="M149">TRIM(_xlfn.XLOOKUP(皮卡压缩表[[#This Row],[BACKSIZE]],ALL尺码表[内部尺码],ALL尺码表[通用尺码],""))</f>
        <v/>
      </c>
    </row>
  </sheetData>
  <conditionalFormatting sqref="B2:M9571">
    <cfRule type="expression" priority="165" dxfId="59">
      <formula>MOD(SUMPRODUCT(--(($B$2:$B2&amp;"|"&amp;$C$2:$C2)&lt;&gt;($B$1:$B1&amp;"|"&amp;$C$1:$C1))),2)=1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Licheng Wang</dc:creator>
  <dcterms:created xsi:type="dcterms:W3CDTF">2026-06-16T19:21:00Z</dcterms:created>
  <dcterms:modified xsi:type="dcterms:W3CDTF">2026-07-16T05:05:56Z</dcterms:modified>
  <cp:lastModifiedBy>讨债龙王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8BBCC0ED53E74A3298EBCBF531196DFB_13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